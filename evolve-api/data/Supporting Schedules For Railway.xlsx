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evolvemedspanj.sharepoint.com/sites/BusinessIntelligence/Shared Documents/Reports or Dashboards/External sources/"/>
    </mc:Choice>
  </mc:AlternateContent>
  <xr:revisionPtr revIDLastSave="159" documentId="8_{F9A444E7-4E95-43DA-9693-5ACFE138E1F5}" xr6:coauthVersionLast="47" xr6:coauthVersionMax="47" xr10:uidLastSave="{A70A761A-BDFB-40ED-AECB-B5F6DB16B795}"/>
  <bookViews>
    <workbookView xWindow="-108" yWindow="-108" windowWidth="23256" windowHeight="12456" xr2:uid="{9D72B971-79CA-451F-A6AC-4483C6E1C75F}"/>
  </bookViews>
  <sheets>
    <sheet name="FFS Schedule" sheetId="1" r:id="rId1"/>
    <sheet name="Hourly Wage" sheetId="2" r:id="rId2"/>
    <sheet name="Operating Schedule" sheetId="4" r:id="rId3"/>
    <sheet name="Locations Data" sheetId="5" r:id="rId4"/>
  </sheets>
  <definedNames>
    <definedName name="\" localSheetId="3" hidden="1">{"kricash",#N/A,FALSE,"INC";"kriinc",#N/A,FALSE,"INC";"krimiami",#N/A,FALSE,"INC";"kriother",#N/A,FALSE,"INC";"kripapers",#N/A,FALSE,"INC"}</definedName>
    <definedName name="\" hidden="1">{"kricash",#N/A,FALSE,"INC";"kriinc",#N/A,FALSE,"INC";"krimiami",#N/A,FALSE,"INC";"kriother",#N/A,FALSE,"INC";"kripapers",#N/A,FALSE,"INC"}</definedName>
    <definedName name="\0">#REF!</definedName>
    <definedName name="\11" hidden="1">#REF!</definedName>
    <definedName name="\A">#REF!</definedName>
    <definedName name="\B">#REF!</definedName>
    <definedName name="\C">#REF!</definedName>
    <definedName name="\D">#REF!</definedName>
    <definedName name="\M">#REF!</definedName>
    <definedName name="\P">#REF!</definedName>
    <definedName name="\Q">#REF!</definedName>
    <definedName name="_">#REF!</definedName>
    <definedName name="___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___rod1" localSheetId="3" hidden="1">{#N/A,#N/A,FALSE,"Projections";#N/A,#N/A,FALSE,"Multiples Valuation";#N/A,#N/A,FALSE,"LBO";#N/A,#N/A,FALSE,"Multiples_Sensitivity";#N/A,#N/A,FALSE,"Summary"}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__rod1" localSheetId="3" hidden="1">{#N/A,#N/A,FALSE,"Projections";#N/A,#N/A,FALSE,"Multiples Valuation";#N/A,#N/A,FALSE,"LBO";#N/A,#N/A,FALSE,"Multiples_Sensitivity";#N/A,#N/A,FALSE,"Summary"}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_rod1" localSheetId="3" hidden="1">{#N/A,#N/A,FALSE,"Projections";#N/A,#N/A,FALSE,"Multiples Valuation";#N/A,#N/A,FALSE,"LBO";#N/A,#N/A,FALSE,"Multiples_Sensitivity";#N/A,#N/A,FALSE,"Summary"}</definedName>
    <definedName name="______________rod1" hidden="1">{#N/A,#N/A,FALSE,"Projections";#N/A,#N/A,FALSE,"Multiples Valuation";#N/A,#N/A,FALSE,"LBO";#N/A,#N/A,FALSE,"Multiples_Sensitivity";#N/A,#N/A,FALSE,"Summary"}</definedName>
    <definedName name="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rod1" localSheetId="3" hidden="1">{#N/A,#N/A,FALSE,"Projections";#N/A,#N/A,FALSE,"Multiples Valuation";#N/A,#N/A,FALSE,"LBO";#N/A,#N/A,FALSE,"Multiples_Sensitivity";#N/A,#N/A,FALSE,"Summary"}</definedName>
    <definedName name="_____________rod1" hidden="1">{#N/A,#N/A,FALSE,"Projections";#N/A,#N/A,FALSE,"Multiples Valuation";#N/A,#N/A,FALSE,"LBO";#N/A,#N/A,FALSE,"Multiples_Sensitivity";#N/A,#N/A,FALSE,"Summary"}</definedName>
    <definedName name="_____________t2" localSheetId="3" hidden="1">{"'Sheet1'!$A$5:$G$42"}</definedName>
    <definedName name="_____________t2" hidden="1">{"'Sheet1'!$A$5:$G$42"}</definedName>
    <definedName name="_______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localSheetId="3" hidden="1">{"'Sheet1'!$A$5:$G$42"}</definedName>
    <definedName name="____________t2" hidden="1">{"'Sheet1'!$A$5:$G$42"}</definedName>
    <definedName name="______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rod1" localSheetId="3" hidden="1">{#N/A,#N/A,FALSE,"Projections";#N/A,#N/A,FALSE,"Multiples Valuation";#N/A,#N/A,FALSE,"LBO";#N/A,#N/A,FALSE,"Multiples_Sensitivity";#N/A,#N/A,FALSE,"Summary"}</definedName>
    <definedName name="___________rod1" hidden="1">{#N/A,#N/A,FALSE,"Projections";#N/A,#N/A,FALSE,"Multiples Valuation";#N/A,#N/A,FALSE,"LBO";#N/A,#N/A,FALSE,"Multiples_Sensitivity";#N/A,#N/A,FALSE,"Summary"}</definedName>
    <definedName name="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rod1" localSheetId="3" hidden="1">{#N/A,#N/A,FALSE,"Projections";#N/A,#N/A,FALSE,"Multiples Valuation";#N/A,#N/A,FALSE,"LBO";#N/A,#N/A,FALSE,"Multiples_Sensitivity";#N/A,#N/A,FALSE,"Summary"}</definedName>
    <definedName name="__________rod1" hidden="1">{#N/A,#N/A,FALSE,"Projections";#N/A,#N/A,FALSE,"Multiples Valuation";#N/A,#N/A,FALSE,"LBO";#N/A,#N/A,FALSE,"Multiples_Sensitivity";#N/A,#N/A,FALSE,"Summary"}</definedName>
    <definedName name="__________t2" localSheetId="3" hidden="1">{"'Sheet1'!$A$5:$G$42"}</definedName>
    <definedName name="__________t2" hidden="1">{"'Sheet1'!$A$5:$G$42"}</definedName>
    <definedName name="____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rod1" localSheetId="3" hidden="1">{#N/A,#N/A,FALSE,"Projections";#N/A,#N/A,FALSE,"Multiples Valuation";#N/A,#N/A,FALSE,"LBO";#N/A,#N/A,FALSE,"Multiples_Sensitivity";#N/A,#N/A,FALSE,"Summary"}</definedName>
    <definedName name="_________rod1" hidden="1">{#N/A,#N/A,FALSE,"Projections";#N/A,#N/A,FALSE,"Multiples Valuation";#N/A,#N/A,FALSE,"LBO";#N/A,#N/A,FALSE,"Multiples_Sensitivity";#N/A,#N/A,FALSE,"Summary"}</definedName>
    <definedName name="_________t2" localSheetId="3" hidden="1">{"'Sheet1'!$A$5:$G$42"}</definedName>
    <definedName name="_________t2" hidden="1">{"'Sheet1'!$A$5:$G$42"}</definedName>
    <definedName name="___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rod1" localSheetId="3" hidden="1">{#N/A,#N/A,FALSE,"Projections";#N/A,#N/A,FALSE,"Multiples Valuation";#N/A,#N/A,FALSE,"LBO";#N/A,#N/A,FALSE,"Multiples_Sensitivity";#N/A,#N/A,FALSE,"Summary"}</definedName>
    <definedName name="________rod1" hidden="1">{#N/A,#N/A,FALSE,"Projections";#N/A,#N/A,FALSE,"Multiples Valuation";#N/A,#N/A,FALSE,"LBO";#N/A,#N/A,FALSE,"Multiples_Sensitivity";#N/A,#N/A,FALSE,"Summary"}</definedName>
    <definedName name="________t2" localSheetId="3" hidden="1">{"'Sheet1'!$A$5:$G$42"}</definedName>
    <definedName name="________t2" hidden="1">{"'Sheet1'!$A$5:$G$42"}</definedName>
    <definedName name="__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rod1" localSheetId="3" hidden="1">{#N/A,#N/A,FALSE,"Projections";#N/A,#N/A,FALSE,"Multiples Valuation";#N/A,#N/A,FALSE,"LBO";#N/A,#N/A,FALSE,"Multiples_Sensitivity";#N/A,#N/A,FALSE,"Summary"}</definedName>
    <definedName name="_______rod1" hidden="1">{#N/A,#N/A,FALSE,"Projections";#N/A,#N/A,FALSE,"Multiples Valuation";#N/A,#N/A,FALSE,"LBO";#N/A,#N/A,FALSE,"Multiples_Sensitivity";#N/A,#N/A,FALSE,"Summary"}</definedName>
    <definedName name="_______t2" localSheetId="3" hidden="1">{"'Sheet1'!$A$5:$G$42"}</definedName>
    <definedName name="_______t2" hidden="1">{"'Sheet1'!$A$5:$G$42"}</definedName>
    <definedName name="_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rod1" localSheetId="3" hidden="1">{#N/A,#N/A,FALSE,"Projections";#N/A,#N/A,FALSE,"Multiples Valuation";#N/A,#N/A,FALSE,"LBO";#N/A,#N/A,FALSE,"Multiples_Sensitivity";#N/A,#N/A,FALSE,"Summary"}</definedName>
    <definedName name="______rod1" hidden="1">{#N/A,#N/A,FALSE,"Projections";#N/A,#N/A,FALSE,"Multiples Valuation";#N/A,#N/A,FALSE,"LBO";#N/A,#N/A,FALSE,"Multiples_Sensitivity";#N/A,#N/A,FALSE,"Summary"}</definedName>
    <definedName name="______t2" localSheetId="3" hidden="1">{"'Sheet1'!$A$5:$G$42"}</definedName>
    <definedName name="______t2" hidden="1">{"'Sheet1'!$A$5:$G$42"}</definedName>
    <definedName name="______WHO2" localSheetId="3" hidden="1">{#N/A,#N/A,FALSE,"SUMMARY";#N/A,#N/A,FALSE,"DETAIL";#N/A,#N/A,FALSE,"VARIANCE"}</definedName>
    <definedName name="______WHO2" hidden="1">{#N/A,#N/A,FALSE,"SUMMARY";#N/A,#N/A,FALSE,"DETAIL";#N/A,#N/A,FALSE,"VARIANCE"}</definedName>
    <definedName name="______wrn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rod1" localSheetId="3" hidden="1">{#N/A,#N/A,FALSE,"Projections";#N/A,#N/A,FALSE,"Multiples Valuation";#N/A,#N/A,FALSE,"LBO";#N/A,#N/A,FALSE,"Multiples_Sensitivity";#N/A,#N/A,FALSE,"Summary"}</definedName>
    <definedName name="_____rod1" hidden="1">{#N/A,#N/A,FALSE,"Projections";#N/A,#N/A,FALSE,"Multiples Valuation";#N/A,#N/A,FALSE,"LBO";#N/A,#N/A,FALSE,"Multiples_Sensitivity";#N/A,#N/A,FALSE,"Summary"}</definedName>
    <definedName name="_____t2" localSheetId="3" hidden="1">{"'Sheet1'!$A$5:$G$42"}</definedName>
    <definedName name="_____t2" hidden="1">{"'Sheet1'!$A$5:$G$42"}</definedName>
    <definedName name="_____wrn2" localSheetId="3" hidden="1">{#N/A,#N/A,FALSE,"ASSUMPTIONS";#N/A,#N/A,FALSE,"Valuation Summary";"page1",#N/A,FALSE,"PRESENTATION";"page2",#N/A,FALSE,"PRESENTATION";#N/A,#N/A,FALSE,"ORIGINAL_ROLLBACK"}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localSheetId="3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c" localSheetId="3" hidden="1">{#N/A,#N/A,FALSE,"Layout Cash Flow"}</definedName>
    <definedName name="____c" hidden="1">{#N/A,#N/A,FALSE,"Layout Cash Flow"}</definedName>
    <definedName name="____CAP1">#REF!</definedName>
    <definedName name="____CAP2">#REF!</definedName>
    <definedName name="____CAP3">#REF!</definedName>
    <definedName name="____CAP4">#REF!</definedName>
    <definedName name="____CAP5">#REF!</definedName>
    <definedName name="____CAP6">#REF!</definedName>
    <definedName name="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ibo2" hidden="1">{#N/A,#N/A,FALSE,"Summary";#N/A,#N/A,FALSE,"Projections";#N/A,#N/A,FALSE,"Mkt Mults";#N/A,#N/A,FALSE,"DCF";#N/A,#N/A,FALSE,"Accr Dil";#N/A,#N/A,FALSE,"PIC LBO";#N/A,#N/A,FALSE,"MULT10_4";#N/A,#N/A,FALSE,"CBI LBO"}</definedName>
    <definedName name="____mty1" localSheetId="3" hidden="1">{#N/A,#N/A,TRUE,"2432"}</definedName>
    <definedName name="____mty1" hidden="1">{#N/A,#N/A,TRUE,"2432"}</definedName>
    <definedName name="____NDE1">#REF!</definedName>
    <definedName name="____NDE2">#REF!</definedName>
    <definedName name="____NDE3">#REF!</definedName>
    <definedName name="____NDE4">#REF!</definedName>
    <definedName name="____NDE5">#REF!</definedName>
    <definedName name="____NDE6">#REF!</definedName>
    <definedName name="____rod1" localSheetId="3" hidden="1">{#N/A,#N/A,FALSE,"Projections";#N/A,#N/A,FALSE,"Multiples Valuation";#N/A,#N/A,FALSE,"LBO";#N/A,#N/A,FALSE,"Multiples_Sensitivity";#N/A,#N/A,FALSE,"Summary"}</definedName>
    <definedName name="____rod1" hidden="1">{#N/A,#N/A,FALSE,"Projections";#N/A,#N/A,FALSE,"Multiples Valuation";#N/A,#N/A,FALSE,"LBO";#N/A,#N/A,FALSE,"Multiples_Sensitivity";#N/A,#N/A,FALSE,"Summary"}</definedName>
    <definedName name="____t2" localSheetId="3" hidden="1">{"'Sheet1'!$A$5:$G$42"}</definedName>
    <definedName name="____t2" hidden="1">{"'Sheet1'!$A$5:$G$42"}</definedName>
    <definedName name="____WHO2" localSheetId="3" hidden="1">{#N/A,#N/A,FALSE,"SUMMARY";#N/A,#N/A,FALSE,"DETAIL";#N/A,#N/A,FALSE,"VARIANCE"}</definedName>
    <definedName name="____WHO2" hidden="1">{#N/A,#N/A,FALSE,"SUMMARY";#N/A,#N/A,FALSE,"DETAIL";#N/A,#N/A,FALSE,"VARIANCE"}</definedName>
    <definedName name="____wr3" localSheetId="3" hidden="1">{#N/A,#N/A,FALSE,"ASSUMPTIONS";#N/A,#N/A,FALSE,"Valuation Summary";"page1",#N/A,FALSE,"PRESENTATION";"page2",#N/A,FALSE,"PRESENTATION";#N/A,#N/A,FALSE,"ORIGINAL_ROLLBACK"}</definedName>
    <definedName name="____wr3" hidden="1">{#N/A,#N/A,FALSE,"ASSUMPTIONS";#N/A,#N/A,FALSE,"Valuation Summary";"page1",#N/A,FALSE,"PRESENTATION";"page2",#N/A,FALSE,"PRESENTATION";#N/A,#N/A,FALSE,"ORIGINAL_ROLLBACK"}</definedName>
    <definedName name="____wrn2" localSheetId="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localSheetId="3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c" localSheetId="3" hidden="1">{#N/A,#N/A,FALSE,"Layout Cash Flow"}</definedName>
    <definedName name="___c" hidden="1">{#N/A,#N/A,FALSE,"Layout Cash Flow"}</definedName>
    <definedName name="___DB1">#REF!</definedName>
    <definedName name="___DB2">#REF!</definedName>
    <definedName name="___DB4">#REF!</definedName>
    <definedName name="___DB6">#REF!</definedName>
    <definedName name="___DB7">#REF!</definedName>
    <definedName name="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NDEX_SHEET___ASAP_Utilities">#REF!</definedName>
    <definedName name="___jba2">#REF!</definedName>
    <definedName name="___k1" hidden="1">#REF!</definedName>
    <definedName name="___k10" hidden="1">#REF!</definedName>
    <definedName name="___k11" hidden="1">#REF!</definedName>
    <definedName name="___k12" hidden="1">#REF!</definedName>
    <definedName name="___k13" hidden="1">#REF!</definedName>
    <definedName name="___k14" hidden="1">#REF!</definedName>
    <definedName name="___k15" hidden="1">#REF!</definedName>
    <definedName name="___k16" hidden="1">#REF!</definedName>
    <definedName name="___k17" hidden="1">#REF!</definedName>
    <definedName name="___k18" hidden="1">#REF!</definedName>
    <definedName name="___k19" hidden="1">#REF!</definedName>
    <definedName name="___k2" hidden="1">#REF!</definedName>
    <definedName name="___k20" hidden="1">#REF!</definedName>
    <definedName name="___k21" hidden="1">#REF!</definedName>
    <definedName name="___k22" hidden="1">#REF!</definedName>
    <definedName name="___k23" hidden="1">#REF!</definedName>
    <definedName name="___k24" hidden="1">#REF!</definedName>
    <definedName name="___k25" hidden="1">#REF!</definedName>
    <definedName name="___k26" hidden="1">#REF!</definedName>
    <definedName name="___k27" hidden="1">#REF!</definedName>
    <definedName name="___k28" hidden="1">#REF!</definedName>
    <definedName name="___k29" hidden="1">#REF!</definedName>
    <definedName name="___k3" hidden="1">#REF!</definedName>
    <definedName name="___k30" hidden="1">#REF!</definedName>
    <definedName name="___k4" hidden="1">#REF!</definedName>
    <definedName name="___k40" hidden="1">#REF!</definedName>
    <definedName name="___k41" hidden="1">#REF!</definedName>
    <definedName name="___k42" hidden="1">#REF!</definedName>
    <definedName name="___k43" hidden="1">#REF!</definedName>
    <definedName name="___k44" hidden="1">#REF!</definedName>
    <definedName name="___k45" hidden="1">#REF!</definedName>
    <definedName name="___k46" hidden="1">#REF!</definedName>
    <definedName name="___k47" hidden="1">#REF!</definedName>
    <definedName name="___k48" hidden="1">#REF!</definedName>
    <definedName name="___k49" hidden="1">#REF!</definedName>
    <definedName name="___k5" hidden="1">#REF!</definedName>
    <definedName name="___k50" hidden="1">#REF!</definedName>
    <definedName name="___k51" hidden="1">#REF!</definedName>
    <definedName name="___k52" hidden="1">#REF!</definedName>
    <definedName name="___k53" hidden="1">#REF!</definedName>
    <definedName name="___k54" hidden="1">#REF!</definedName>
    <definedName name="___k55" hidden="1">#REF!</definedName>
    <definedName name="___k56" hidden="1">#REF!</definedName>
    <definedName name="___k57" hidden="1">#REF!</definedName>
    <definedName name="___k58" hidden="1">#REF!</definedName>
    <definedName name="___k59" hidden="1">#REF!</definedName>
    <definedName name="___k6" hidden="1">#REF!</definedName>
    <definedName name="___k60" hidden="1">#REF!</definedName>
    <definedName name="___k61" hidden="1">#REF!</definedName>
    <definedName name="___k62" hidden="1">#REF!</definedName>
    <definedName name="___k63" hidden="1">#REF!</definedName>
    <definedName name="___k64" hidden="1">#REF!</definedName>
    <definedName name="___k65" hidden="1">#REF!</definedName>
    <definedName name="___k66" hidden="1">#REF!</definedName>
    <definedName name="___k7" hidden="1">#REF!</definedName>
    <definedName name="___k8" hidden="1">#REF!</definedName>
    <definedName name="___k9" hidden="1">#REF!</definedName>
    <definedName name="___mty1" localSheetId="3" hidden="1">{#N/A,#N/A,TRUE,"2432"}</definedName>
    <definedName name="___mty1" hidden="1">{#N/A,#N/A,TRUE,"2432"}</definedName>
    <definedName name="___rod1" localSheetId="3" hidden="1">{#N/A,#N/A,FALSE,"Projections";#N/A,#N/A,FALSE,"Multiples Valuation";#N/A,#N/A,FALSE,"LBO";#N/A,#N/A,FALSE,"Multiples_Sensitivity";#N/A,#N/A,FALSE,"Summary"}</definedName>
    <definedName name="___rod1" hidden="1">{#N/A,#N/A,FALSE,"Projections";#N/A,#N/A,FALSE,"Multiples Valuation";#N/A,#N/A,FALSE,"LBO";#N/A,#N/A,FALSE,"Multiples_Sensitivity";#N/A,#N/A,FALSE,"Summary"}</definedName>
    <definedName name="___t2" localSheetId="3" hidden="1">{"'Sheet1'!$A$5:$G$42"}</definedName>
    <definedName name="___t2" hidden="1">{"'Sheet1'!$A$5:$G$42"}</definedName>
    <definedName name="___wrn2" localSheetId="3" hidden="1">{#N/A,#N/A,FALSE,"ASSUMPTIONS";#N/A,#N/A,FALSE,"Valuation Summary";"page1",#N/A,FALSE,"PRESENTATION";"page2",#N/A,FALSE,"PRESENTATION";#N/A,#N/A,FALSE,"ORIGINAL_ROLLBACK"}</definedName>
    <definedName name="___wrn2" hidden="1">{#N/A,#N/A,FALSE,"ASSUMPTIONS";#N/A,#N/A,FALSE,"Valuation Summary";"page1",#N/A,FALSE,"PRESENTATION";"page2",#N/A,FALSE,"PRESENTATION";#N/A,#N/A,FALSE,"ORIGINAL_ROLLBACK"}</definedName>
    <definedName name="___wrn3" localSheetId="3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1__123Graph_ACHART_2" hidden="1">#REF!</definedName>
    <definedName name="__1__123Graph_BCHART_1" hidden="1">#REF!</definedName>
    <definedName name="__1__123Graph_BSPLICE_95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A" hidden="1">#REF!</definedName>
    <definedName name="__123Graph_ACurrent" hidden="1">#REF!</definedName>
    <definedName name="__123Graph_AKNS" hidden="1">#REF!</definedName>
    <definedName name="__123Graph_AKVS" hidden="1">#REF!</definedName>
    <definedName name="__123Graph_APRINCIPAL" hidden="1">#REF!</definedName>
    <definedName name="__123Graph_APROCEEDS" hidden="1">#REF!</definedName>
    <definedName name="__123Graph_B" hidden="1">#REF!</definedName>
    <definedName name="__123Graph_BCurrent" hidden="1">#REF!</definedName>
    <definedName name="__123Graph_BFUEL" hidden="1">#REF!</definedName>
    <definedName name="__123Graph_BPROCEEDS" hidden="1">#REF!</definedName>
    <definedName name="__123Graph_C" hidden="1">#REF!</definedName>
    <definedName name="__123Graph_CCurrent" hidden="1">#REF!</definedName>
    <definedName name="__123Graph_CPROCEEDS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PRINCIPAL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KNS" hidden="1">#REF!</definedName>
    <definedName name="__123Graph_XKVS" hidden="1">#REF!</definedName>
    <definedName name="__123Graph_XPROCEEDS" hidden="1">#REF!</definedName>
    <definedName name="__123Grph_B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3" hidden="1">#REF!</definedName>
    <definedName name="__2__123Graph_CCHART_1" hidden="1">#REF!</definedName>
    <definedName name="__2__123Graph_ESPLICE_95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3__123Graph_ACHART_4" hidden="1">#REF!</definedName>
    <definedName name="__3__123Graph_DCHART_1" hidden="1">#REF!</definedName>
    <definedName name="__3__123Graph_FSPLICE_95" hidden="1">#REF!</definedName>
    <definedName name="__4__123Graph_ACHART_5" hidden="1">#REF!</definedName>
    <definedName name="__4__123Graph_XCHART_1" hidden="1">#REF!</definedName>
    <definedName name="__5__123Graph_BCHART_2" hidden="1">#REF!</definedName>
    <definedName name="__6__123Graph_BCHART_3" hidden="1">#REF!</definedName>
    <definedName name="__7__123Graph_BCHART_4" hidden="1">#REF!</definedName>
    <definedName name="__8__123Graph_BCHART_5" hidden="1">#REF!</definedName>
    <definedName name="__9__123Graph_CCHART_2" hidden="1">#REF!</definedName>
    <definedName name="__a1" localSheetId="3" hidden="1">{#N/A,#N/A,FALSE,"Pharm";#N/A,#N/A,FALSE,"WWCM"}</definedName>
    <definedName name="__a1" hidden="1">{#N/A,#N/A,FALSE,"Pharm";#N/A,#N/A,FALSE,"WWCM"}</definedName>
    <definedName name="__A11" localSheetId="3" hidden="1">{#N/A,#N/A,FALSE,"Umsatz 99";#N/A,#N/A,FALSE,"ER 99 "}</definedName>
    <definedName name="__A11" hidden="1">{#N/A,#N/A,FALSE,"Umsatz 99";#N/A,#N/A,FALSE,"ER 99 "}</definedName>
    <definedName name="__aaa1" localSheetId="3" hidden="1">{#N/A,#N/A,FALSE,"REPORT"}</definedName>
    <definedName name="__aaa1" hidden="1">{#N/A,#N/A,FALSE,"REPORT"}</definedName>
    <definedName name="__aas1" localSheetId="3" hidden="1">{#N/A,#N/A,FALSE,"REPORT"}</definedName>
    <definedName name="__aas1" hidden="1">{#N/A,#N/A,FALSE,"REPORT"}</definedName>
    <definedName name="__ACS2000" localSheetId="3" hidden="1">{#N/A,#N/A,FALSE,"REPORT"}</definedName>
    <definedName name="__ACS2000" hidden="1">{#N/A,#N/A,FALSE,"REPORT"}</definedName>
    <definedName name="__ANCOUR">#REF!</definedName>
    <definedName name="__ANPREC">#REF!</definedName>
    <definedName name="__B_1_ERE_ANNN">#REF!</definedName>
    <definedName name="__B_AIDE_MEMOI">#REF!</definedName>
    <definedName name="__B_GAINNONMAT">#REF!</definedName>
    <definedName name="__B_IMPOTEXIGI">#REF!</definedName>
    <definedName name="__b111" localSheetId="3" hidden="1">{#N/A,#N/A,FALSE,"Pharm";#N/A,#N/A,FALSE,"WWCM"}</definedName>
    <definedName name="__b111" hidden="1">{#N/A,#N/A,FALSE,"Pharm";#N/A,#N/A,FALSE,"WWCM"}</definedName>
    <definedName name="__c" localSheetId="3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D_1_ERE_ANNN">#REF!</definedName>
    <definedName name="__D_AIDE_MEMOI">#REF!</definedName>
    <definedName name="__D_GAINNONMAT">#REF!</definedName>
    <definedName name="__D_IMPOTEXIGI">#REF!</definedName>
    <definedName name="__DB1">#REF!</definedName>
    <definedName name="__DB2">#REF!</definedName>
    <definedName name="__DB4">#REF!</definedName>
    <definedName name="__DB6">#REF!</definedName>
    <definedName name="__DB7">#REF!</definedName>
    <definedName name="__DTFIN">#REF!</definedName>
    <definedName name="__DTPER">#REF!</definedName>
    <definedName name="__FDS_HYPERLINK_TOGGLE_STATE__" hidden="1">"ON"</definedName>
    <definedName name="__FDS_UNIQUE_RANGE_ID_GENERATOR_COUNTER" hidden="1">1</definedName>
    <definedName name="__FDS_USED_FOR_REUSING_RANGE_IDS_RECYCLE" localSheetId="3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ntlFixup" hidden="1">TRUE</definedName>
    <definedName name="__jba2">#REF!</definedName>
    <definedName name="__k1" hidden="1">#REF!</definedName>
    <definedName name="__k10" hidden="1">#REF!</definedName>
    <definedName name="__k11" hidden="1">#REF!</definedName>
    <definedName name="__k12" hidden="1">#REF!</definedName>
    <definedName name="__k13" hidden="1">#REF!</definedName>
    <definedName name="__k14" hidden="1">#REF!</definedName>
    <definedName name="__k15" hidden="1">#REF!</definedName>
    <definedName name="__k16" hidden="1">#REF!</definedName>
    <definedName name="__k17" hidden="1">#REF!</definedName>
    <definedName name="__k18" hidden="1">#REF!</definedName>
    <definedName name="__k19" hidden="1">#REF!</definedName>
    <definedName name="__k2" hidden="1">#REF!</definedName>
    <definedName name="__k20" hidden="1">#REF!</definedName>
    <definedName name="__k21" hidden="1">#REF!</definedName>
    <definedName name="__k22" hidden="1">#REF!</definedName>
    <definedName name="__k23" hidden="1">#REF!</definedName>
    <definedName name="__k24" hidden="1">#REF!</definedName>
    <definedName name="__k25" hidden="1">#REF!</definedName>
    <definedName name="__k26" hidden="1">#REF!</definedName>
    <definedName name="__k27" hidden="1">#REF!</definedName>
    <definedName name="__k28" hidden="1">#REF!</definedName>
    <definedName name="__k29" hidden="1">#REF!</definedName>
    <definedName name="__k3" hidden="1">#REF!</definedName>
    <definedName name="__k30" hidden="1">#REF!</definedName>
    <definedName name="__k4" hidden="1">#REF!</definedName>
    <definedName name="__k40" hidden="1">#REF!</definedName>
    <definedName name="__k41" hidden="1">#REF!</definedName>
    <definedName name="__k42" hidden="1">#REF!</definedName>
    <definedName name="__k43" hidden="1">#REF!</definedName>
    <definedName name="__k44" hidden="1">#REF!</definedName>
    <definedName name="__k45" hidden="1">#REF!</definedName>
    <definedName name="__k46" hidden="1">#REF!</definedName>
    <definedName name="__k47" hidden="1">#REF!</definedName>
    <definedName name="__k48" hidden="1">#REF!</definedName>
    <definedName name="__k49" hidden="1">#REF!</definedName>
    <definedName name="__k5" hidden="1">#REF!</definedName>
    <definedName name="__k50" hidden="1">#REF!</definedName>
    <definedName name="__k51" hidden="1">#REF!</definedName>
    <definedName name="__k52" hidden="1">#REF!</definedName>
    <definedName name="__k53" hidden="1">#REF!</definedName>
    <definedName name="__k54" hidden="1">#REF!</definedName>
    <definedName name="__k55" hidden="1">#REF!</definedName>
    <definedName name="__k56" hidden="1">#REF!</definedName>
    <definedName name="__k57" hidden="1">#REF!</definedName>
    <definedName name="__k58" hidden="1">#REF!</definedName>
    <definedName name="__k59" hidden="1">#REF!</definedName>
    <definedName name="__k6" hidden="1">#REF!</definedName>
    <definedName name="__k60" hidden="1">#REF!</definedName>
    <definedName name="__k61" hidden="1">#REF!</definedName>
    <definedName name="__k62" hidden="1">#REF!</definedName>
    <definedName name="__k63" hidden="1">#REF!</definedName>
    <definedName name="__k64" hidden="1">#REF!</definedName>
    <definedName name="__k65" hidden="1">#REF!</definedName>
    <definedName name="__k66" hidden="1">#REF!</definedName>
    <definedName name="__k7" hidden="1">#REF!</definedName>
    <definedName name="__k8" hidden="1">#REF!</definedName>
    <definedName name="__k9" hidden="1">#REF!</definedName>
    <definedName name="__mty1" localSheetId="3" hidden="1">{#N/A,#N/A,TRUE,"2432"}</definedName>
    <definedName name="__mty1" hidden="1">{#N/A,#N/A,TRUE,"2432"}</definedName>
    <definedName name="__new1" localSheetId="3" hidden="1">{#N/A,#N/A,FALSE,"Pharm";#N/A,#N/A,FALSE,"WWCM"}</definedName>
    <definedName name="__new1" hidden="1">{#N/A,#N/A,FALSE,"Pharm";#N/A,#N/A,FALSE,"WWCM"}</definedName>
    <definedName name="__p1" localSheetId="3" hidden="1">{"SUM",#N/A,FALSE,"Details (2)"}</definedName>
    <definedName name="__p1" hidden="1">{"SUM",#N/A,FALSE,"Details (2)"}</definedName>
    <definedName name="__pp2" localSheetId="3" hidden="1">{"Summary",#N/A,FALSE,"Details (2)"}</definedName>
    <definedName name="__pp2" hidden="1">{"Summary",#N/A,FALSE,"Details (2)"}</definedName>
    <definedName name="__ppp1" localSheetId="3" hidden="1">{"SUM",#N/A,FALSE,"Details (2)"}</definedName>
    <definedName name="__ppp1" hidden="1">{"SUM",#N/A,FALSE,"Details (2)"}</definedName>
    <definedName name="__q2" localSheetId="3" hidden="1">{"Summary",#N/A,FALSE,"Details (2)"}</definedName>
    <definedName name="__q2" hidden="1">{"Summary",#N/A,FALSE,"Details (2)"}</definedName>
    <definedName name="__q3" localSheetId="3" hidden="1">{"SUM",#N/A,FALSE,"Details (2)"}</definedName>
    <definedName name="__q3" hidden="1">{"SUM",#N/A,FALSE,"Details (2)"}</definedName>
    <definedName name="__q4" localSheetId="3" hidden="1">{"Summary",#N/A,FALSE,"Details (2)"}</definedName>
    <definedName name="__q4" hidden="1">{"Summary",#N/A,FALSE,"Details (2)"}</definedName>
    <definedName name="__q5" localSheetId="3" hidden="1">{"SUM",#N/A,FALSE,"Details (2)"}</definedName>
    <definedName name="__q5" hidden="1">{"SUM",#N/A,FALSE,"Details (2)"}</definedName>
    <definedName name="__r" localSheetId="3" hidden="1">{#N/A,#N/A,FALSE,"Pharm";#N/A,#N/A,FALSE,"WWCM"}</definedName>
    <definedName name="__r" hidden="1">{#N/A,#N/A,FALSE,"Pharm";#N/A,#N/A,FALSE,"WWCM"}</definedName>
    <definedName name="__rod1" localSheetId="3" hidden="1">{#N/A,#N/A,FALSE,"Projections";#N/A,#N/A,FALSE,"Multiples Valuation";#N/A,#N/A,FALSE,"LBO";#N/A,#N/A,FALSE,"Multiples_Sensitivity";#N/A,#N/A,FALSE,"Summary"}</definedName>
    <definedName name="__rod1" hidden="1">{#N/A,#N/A,FALSE,"Projections";#N/A,#N/A,FALSE,"Multiples Valuation";#N/A,#N/A,FALSE,"LBO";#N/A,#N/A,FALSE,"Multiples_Sensitivity";#N/A,#N/A,FALSE,"Summary"}</definedName>
    <definedName name="__SMC9612">#REF!</definedName>
    <definedName name="__t2" localSheetId="3" hidden="1">{"'Sheet1'!$A$5:$G$42"}</definedName>
    <definedName name="__t2" hidden="1">{"'Sheet1'!$A$5:$G$42"}</definedName>
    <definedName name="__TITRE">#REF!</definedName>
    <definedName name="__tm1" localSheetId="3" hidden="1">{#N/A,#N/A,FALSE,"Pharm";#N/A,#N/A,FALSE,"WWCM"}</definedName>
    <definedName name="__tm1" hidden="1">{#N/A,#N/A,FALSE,"Pharm";#N/A,#N/A,FALSE,"WWCM"}</definedName>
    <definedName name="__v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localSheetId="3" hidden="1">{#N/A,#N/A,FALSE,"SUMMARY";#N/A,#N/A,FALSE,"DETAIL";#N/A,#N/A,FALSE,"VARIANCE"}</definedName>
    <definedName name="__WHO2" hidden="1">{#N/A,#N/A,FALSE,"SUMMARY";#N/A,#N/A,FALSE,"DETAIL";#N/A,#N/A,FALSE,"VARIANCE"}</definedName>
    <definedName name="__wrn2" localSheetId="3" hidden="1">{#N/A,#N/A,FALSE,"ASSUMPTIONS";#N/A,#N/A,FALSE,"Valuation Summary";"page1",#N/A,FALSE,"PRESENTATION";"page2",#N/A,FALSE,"PRESENTATION";#N/A,#N/A,FALSE,"ORIGINAL_ROLLBACK"}</definedName>
    <definedName name="__wrn2" hidden="1">{#N/A,#N/A,FALSE,"ASSUMPTIONS";#N/A,#N/A,FALSE,"Valuation Summary";"page1",#N/A,FALSE,"PRESENTATION";"page2",#N/A,FALSE,"PRESENTATION";#N/A,#N/A,FALSE,"ORIGINAL_ROLLBACK"}</definedName>
    <definedName name="__wrn3" localSheetId="3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localSheetId="3" hidden="1">{"Summary",#N/A,FALSE,"Details (2)"}</definedName>
    <definedName name="__X1" hidden="1">{"Summary",#N/A,FALSE,"Details (2)"}</definedName>
    <definedName name="__X2" localSheetId="3" hidden="1">{#N/A,#N/A,FALSE,"Other";#N/A,#N/A,FALSE,"Ace";#N/A,#N/A,FALSE,"Derm"}</definedName>
    <definedName name="__X2" hidden="1">{#N/A,#N/A,FALSE,"Other";#N/A,#N/A,FALSE,"Ace";#N/A,#N/A,FALSE,"Derm"}</definedName>
    <definedName name="__xlfn.IFERROR" hidden="1">#NAME?</definedName>
    <definedName name="_1___123Graph_ACHART_2" hidden="1">#REF!</definedName>
    <definedName name="_1__123Graph_A07_CUSTOM" hidden="1">#REF!</definedName>
    <definedName name="_1__123Graph_ACHART_1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SPLICE_95" hidden="1">#REF!</definedName>
    <definedName name="_1__FDSAUDITLINK__" localSheetId="3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1_0_Dist_Val" hidden="1">#REF!</definedName>
    <definedName name="_10___123Graph_CCHART_3" hidden="1">#REF!</definedName>
    <definedName name="_10__123Graph_ACHART_16" hidden="1">#REF!</definedName>
    <definedName name="_10__123Graph_BCHART_6" hidden="1">#REF!</definedName>
    <definedName name="_10__123Graph_CCHART_3" hidden="1">#REF!</definedName>
    <definedName name="_100__123Graph_ACHART_4" hidden="1">#REF!</definedName>
    <definedName name="_11___123Graph_CCHART_4" hidden="1">#REF!</definedName>
    <definedName name="_11__123Graph_ACHART_1" hidden="1">#REF!</definedName>
    <definedName name="_11__123Graph_ACHART_17" hidden="1">#REF!</definedName>
    <definedName name="_11__123Graph_ACHART_2" hidden="1">#REF!</definedName>
    <definedName name="_11__123Graph_BCHART_7" hidden="1">#REF!</definedName>
    <definedName name="_11__123Graph_CCHART_4" hidden="1">#REF!</definedName>
    <definedName name="_110__123Graph_CCHART_3" hidden="1">#REF!</definedName>
    <definedName name="_112__FDSAUDITLINK__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___123Graph_CCHART_5" hidden="1">#REF!</definedName>
    <definedName name="_12__123Graph_ACHART_18" hidden="1">#REF!</definedName>
    <definedName name="_12__123Graph_BCHART_1" hidden="1">#REF!</definedName>
    <definedName name="_12__123Graph_BCHART_8" hidden="1">#REF!</definedName>
    <definedName name="_12__123Graph_CCHART_5" hidden="1">#REF!</definedName>
    <definedName name="_12__123Graph_ESPLICE_95" hidden="1">#REF!</definedName>
    <definedName name="_120__FDSAUDITLINK__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CCHART_4" hidden="1">#REF!</definedName>
    <definedName name="_123" hidden="1">#REF!</definedName>
    <definedName name="_123Graph" hidden="1">#REF!</definedName>
    <definedName name="_123Graph_C" hidden="1">#REF!</definedName>
    <definedName name="_123Graph_C1" hidden="1">#REF!</definedName>
    <definedName name="_123Graph_X" hidden="1">#REF!</definedName>
    <definedName name="_125__123Graph_BCHART_1" hidden="1">#REF!</definedName>
    <definedName name="_13___123Graph_DCHART_2" hidden="1">#REF!</definedName>
    <definedName name="_13__123Graph_ACHART_19" hidden="1">#REF!</definedName>
    <definedName name="_13__123Graph_BCHART_9" hidden="1">#REF!</definedName>
    <definedName name="_13__123Graph_DCHART_2" hidden="1">#REF!</definedName>
    <definedName name="_13__123Graph_XCHART_1" hidden="1">#REF!</definedName>
    <definedName name="_132__123Graph_CCHART_5" hidden="1">#REF!</definedName>
    <definedName name="_14___123Graph_DCHART_3" hidden="1">#REF!</definedName>
    <definedName name="_14__123Graph_ACHART_2" hidden="1">#REF!</definedName>
    <definedName name="_14__123Graph_CCHART_1" hidden="1">#REF!</definedName>
    <definedName name="_14__123Graph_DCHART_3" hidden="1">#REF!</definedName>
    <definedName name="_143__123Graph_DCHART_2" hidden="1">#REF!</definedName>
    <definedName name="_144__FDSAUDITLINK__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5___123Graph_DCHART_4" hidden="1">#REF!</definedName>
    <definedName name="_15__123Graph_ACHART_20" hidden="1">#REF!</definedName>
    <definedName name="_15__123Graph_CCHART_2" hidden="1">#REF!</definedName>
    <definedName name="_15__123Graph_DCHART_4" hidden="1">#REF!</definedName>
    <definedName name="_150__123Graph_BCHART_2" hidden="1">#REF!</definedName>
    <definedName name="_154__123Graph_DCHART_3" hidden="1">#REF!</definedName>
    <definedName name="_16___123Graph_DCHART_5" hidden="1">#REF!</definedName>
    <definedName name="_16__123Graph_ACHART_21" hidden="1">#REF!</definedName>
    <definedName name="_16__123Graph_CCHART_6" hidden="1">#REF!</definedName>
    <definedName name="_16__123Graph_DCHART_5" hidden="1">#REF!</definedName>
    <definedName name="_160__FDSAUDITLINK__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5__123Graph_DCHART_4" hidden="1">#REF!</definedName>
    <definedName name="_17___123Graph_ECHART_2" hidden="1">#REF!</definedName>
    <definedName name="_17__123Graph_ACHART_22" hidden="1">#REF!</definedName>
    <definedName name="_17__123Graph_BEXPORTS_HEAVY1" hidden="1">#REF!</definedName>
    <definedName name="_17__123Graph_CCHART_7" hidden="1">#REF!</definedName>
    <definedName name="_17__123Graph_ECHART_2" hidden="1">#REF!</definedName>
    <definedName name="_175__123Graph_BCHART_3" hidden="1">#REF!</definedName>
    <definedName name="_176__123Graph_DCHART_5" hidden="1">#REF!</definedName>
    <definedName name="_18___123Graph_ECHART_3" hidden="1">#REF!</definedName>
    <definedName name="_18__123Graph_ACHART_23" hidden="1">#REF!</definedName>
    <definedName name="_18__123Graph_CCHART_8" hidden="1">#REF!</definedName>
    <definedName name="_18__123Graph_ECHART_3" hidden="1">#REF!</definedName>
    <definedName name="_18__123Graph_FSPLICE_95" hidden="1">#REF!</definedName>
    <definedName name="_187__123Graph_ECHART_2" hidden="1">#REF!</definedName>
    <definedName name="_19___123Graph_ECHART_4" hidden="1">#REF!</definedName>
    <definedName name="_19__123Graph_ACHART_24" hidden="1">#REF!</definedName>
    <definedName name="_19__123Graph_CCHART_9" hidden="1">#REF!</definedName>
    <definedName name="_19__123Graph_ECHART_4" hidden="1">#REF!</definedName>
    <definedName name="_198__123Graph_ECHART_3" hidden="1">#REF!</definedName>
    <definedName name="_1P">#REF!</definedName>
    <definedName name="_1st_Pass">#REF!</definedName>
    <definedName name="_2___123Graph_ACHART_3" hidden="1">#REF!</definedName>
    <definedName name="_2__123Graph_ACHART_12" hidden="1">#REF!</definedName>
    <definedName name="_2__123Graph_ACHART_3" hidden="1">#REF!</definedName>
    <definedName name="_2__123Graph_BSPLICE_95" hidden="1">#REF!</definedName>
    <definedName name="_2__123Graph_CCHART_1" hidden="1">#REF!</definedName>
    <definedName name="_2__123Graph_ESPLICE_95" hidden="1">#REF!</definedName>
    <definedName name="_2__123Graph_X07_CUSTOM" hidden="1">#REF!</definedName>
    <definedName name="_2__123Graph_XCHART_3" hidden="1">#REF!</definedName>
    <definedName name="_2__FDSAUDITLINK__" localSheetId="3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20___123Graph_ECHART_5" hidden="1">#REF!</definedName>
    <definedName name="_20__123Graph_A_Chart_1A" hidden="1">#REF!</definedName>
    <definedName name="_20__123Graph_ACHART_3" hidden="1">#REF!</definedName>
    <definedName name="_20__123Graph_DCHART_12" hidden="1">#REF!</definedName>
    <definedName name="_20__123Graph_ECHART_5" hidden="1">#REF!</definedName>
    <definedName name="_200__123Graph_LBL_ACHART_1" hidden="1">#REF!</definedName>
    <definedName name="_206__FDSAUDITLINK__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9__123Graph_ECHART_4" hidden="1">#REF!</definedName>
    <definedName name="_21___123Graph_FCHART_2" hidden="1">#REF!</definedName>
    <definedName name="_21__123Graph_AChart_1" hidden="1">#REF!</definedName>
    <definedName name="_21__123Graph_ACHART_4" hidden="1">#REF!</definedName>
    <definedName name="_21__123Graph_DCHART_6" hidden="1">#REF!</definedName>
    <definedName name="_21__123Graph_FCHART_2" hidden="1">#REF!</definedName>
    <definedName name="_22___123Graph_FCHART_3" hidden="1">#REF!</definedName>
    <definedName name="_22__123Graph_AChart_2" hidden="1">#REF!</definedName>
    <definedName name="_22__123Graph_ACHART_3" hidden="1">#REF!</definedName>
    <definedName name="_22__123Graph_ACHART_5" hidden="1">#REF!</definedName>
    <definedName name="_22__123Graph_DCHART_7" hidden="1">#REF!</definedName>
    <definedName name="_22__123Graph_FCHART_3" hidden="1">#REF!</definedName>
    <definedName name="_220__123Graph_ECHART_5" hidden="1">#REF!</definedName>
    <definedName name="_225__123Graph_LBL_ACHART_2" hidden="1">#REF!</definedName>
    <definedName name="_23___123Graph_FCHART_4" hidden="1">#REF!</definedName>
    <definedName name="_23__123Graph_AChart_3" hidden="1">#REF!</definedName>
    <definedName name="_23__123Graph_ACHART_6" hidden="1">#REF!</definedName>
    <definedName name="_23__123Graph_BEXPORTS_HEAVY1" hidden="1">#REF!</definedName>
    <definedName name="_23__123Graph_ECHART_12" hidden="1">#REF!</definedName>
    <definedName name="_23__123Graph_FCHART_4" hidden="1">#REF!</definedName>
    <definedName name="_231__123Graph_FCHART_2" hidden="1">#REF!</definedName>
    <definedName name="_24___123Graph_FCHART_5" hidden="1">#REF!</definedName>
    <definedName name="_24__123Graph_AChart_4" hidden="1">#REF!</definedName>
    <definedName name="_24__123Graph_ACHART_7" hidden="1">#REF!</definedName>
    <definedName name="_24__123Graph_ECHART_6" hidden="1">#REF!</definedName>
    <definedName name="_24__123Graph_FCHART_5" hidden="1">#REF!</definedName>
    <definedName name="_242__123Graph_FCHART_3" hidden="1">#REF!</definedName>
    <definedName name="_25__123Graph_ACHART_1" hidden="1">#REF!</definedName>
    <definedName name="_25__123Graph_AChart_5" hidden="1">#REF!</definedName>
    <definedName name="_25__123Graph_ACHART_8" hidden="1">#REF!</definedName>
    <definedName name="_25__123Graph_ECHART_7" hidden="1">#REF!</definedName>
    <definedName name="_250__123Graph_LBL_ACHART_3" hidden="1">#REF!</definedName>
    <definedName name="_253__123Graph_FCHART_4" hidden="1">#REF!</definedName>
    <definedName name="_26__123Graph_AChart_6" hidden="1">#REF!</definedName>
    <definedName name="_26__123Graph_ACHART_9" hidden="1">#REF!</definedName>
    <definedName name="_26__123Graph_FCHART_6" hidden="1">#REF!</definedName>
    <definedName name="_264__123Graph_FCHART_5" hidden="1">#REF!</definedName>
    <definedName name="_27__123Graph_ACHART_2" hidden="1">#REF!</definedName>
    <definedName name="_27__123Graph_B_Chart_1A" hidden="1">#REF!</definedName>
    <definedName name="_27__123Graph_BCHART_1" hidden="1">#REF!</definedName>
    <definedName name="_27__123Graph_FCHART_7" hidden="1">#REF!</definedName>
    <definedName name="_275__123Graph_LBL_ACHART_4" hidden="1">#REF!</definedName>
    <definedName name="_28__123Graph_ACHART_3" hidden="1">#REF!</definedName>
    <definedName name="_28__123Graph_BCHART_10" hidden="1">#REF!</definedName>
    <definedName name="_28__123Graph_C_Chart_1A" hidden="1">#REF!</definedName>
    <definedName name="_28__123Graph_XCHART_1" hidden="1">#REF!</definedName>
    <definedName name="_29__123Graph_ACHART_4" hidden="1">#REF!</definedName>
    <definedName name="_29__123Graph_BCHART_13" hidden="1">#REF!</definedName>
    <definedName name="_29__123Graph_D_Chart_1A" hidden="1">#REF!</definedName>
    <definedName name="_29__123Graph_XCHART_8" hidden="1">#REF!</definedName>
    <definedName name="_3" hidden="1">#REF!</definedName>
    <definedName name="_3___123Graph_ACHART_4" hidden="1">#REF!</definedName>
    <definedName name="_3__123Graph_ACHART_1" hidden="1">#REF!</definedName>
    <definedName name="_3__123Graph_ACHART_2" hidden="1">#REF!</definedName>
    <definedName name="_3__123Graph_ACHART_4" hidden="1">#REF!</definedName>
    <definedName name="_3__123Graph_BSPLICE_95" hidden="1">#REF!</definedName>
    <definedName name="_3__123Graph_DCHART_1" hidden="1">#REF!</definedName>
    <definedName name="_3__123Graph_FSPLICE_95" hidden="1">#REF!</definedName>
    <definedName name="_3__123Graph_XCHART_4" hidden="1">#REF!</definedName>
    <definedName name="_3__FDSAUDITLINK__" localSheetId="3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30__123Graph_ACHART_5" hidden="1">#REF!</definedName>
    <definedName name="_30__123Graph_BCHART_14" hidden="1">#REF!</definedName>
    <definedName name="_30__123Graph_E_Chart_1A" hidden="1">#REF!</definedName>
    <definedName name="_300__123Graph_LBL_BCHART_1" hidden="1">#REF!</definedName>
    <definedName name="_31__123Graph_BCHART_16" hidden="1">#REF!</definedName>
    <definedName name="_31__123Graph_BCHART_2" hidden="1">#REF!</definedName>
    <definedName name="_31__123Graph_F_Chart_1A" hidden="1">#REF!</definedName>
    <definedName name="_32__123Graph_BCHART_17" hidden="1">#REF!</definedName>
    <definedName name="_32__123Graph_BCHART_3" hidden="1">#REF!</definedName>
    <definedName name="_32__123Graph_X_Chart_1A" hidden="1">#REF!</definedName>
    <definedName name="_325__123Graph_LBL_BCHART_2" hidden="1">#REF!</definedName>
    <definedName name="_33__123Graph_ACHART_4" hidden="1">#REF!</definedName>
    <definedName name="_33__123Graph_BCHART_19" hidden="1">#REF!</definedName>
    <definedName name="_33__123Graph_BCHART_4" hidden="1">#REF!</definedName>
    <definedName name="_33__123Graph_XChart_1" hidden="1">#REF!</definedName>
    <definedName name="_34__123Graph_BCHART_2" hidden="1">#REF!</definedName>
    <definedName name="_34__123Graph_BCHART_5" hidden="1">#REF!</definedName>
    <definedName name="_34__123Graph_XChart_2" hidden="1">#REF!</definedName>
    <definedName name="_35__123Graph_BCHART_20" hidden="1">#REF!</definedName>
    <definedName name="_35__123Graph_CCHART_2" hidden="1">#REF!</definedName>
    <definedName name="_35__123Graph_XChart_3" hidden="1">#REF!</definedName>
    <definedName name="_350__123Graph_LBL_BCHART_3" hidden="1">#REF!</definedName>
    <definedName name="_353__FDSAUDITLINK__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BCHART_22" hidden="1">#REF!</definedName>
    <definedName name="_36__123Graph_CCHART_3" hidden="1">#REF!</definedName>
    <definedName name="_36__123Graph_XChart_4" hidden="1">#REF!</definedName>
    <definedName name="_37__123Graph_BCHART_23" hidden="1">#REF!</definedName>
    <definedName name="_37__123Graph_CCHART_4" hidden="1">#REF!</definedName>
    <definedName name="_37__123Graph_XChart_5" hidden="1">#REF!</definedName>
    <definedName name="_371__FDSAUDITLINK__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5__123Graph_XCHART_1" hidden="1">#REF!</definedName>
    <definedName name="_38__123Graph_BCHART_4" hidden="1">#REF!</definedName>
    <definedName name="_38__123Graph_CCHART_5" hidden="1">#REF!</definedName>
    <definedName name="_38__123Graph_XChart_6" hidden="1">#REF!</definedName>
    <definedName name="_39__123Graph_BCHART_5" hidden="1">#REF!</definedName>
    <definedName name="_39__123Graph_DCHART_2" hidden="1">#REF!</definedName>
    <definedName name="_4___123Graph_ACHART_5" hidden="1">#REF!</definedName>
    <definedName name="_4__123Graph_ACHART_10" hidden="1">#REF!</definedName>
    <definedName name="_4__123Graph_ACHART_3" hidden="1">#REF!</definedName>
    <definedName name="_4__123Graph_ACHART_5" hidden="1">#REF!</definedName>
    <definedName name="_4__123Graph_ESPLICE_95" hidden="1">#REF!</definedName>
    <definedName name="_4__123Graph_XCHART_1" hidden="1">#REF!</definedName>
    <definedName name="_40__123Graph_BCHART_7" hidden="1">#REF!</definedName>
    <definedName name="_40__123Graph_DCHART_3" hidden="1">#REF!</definedName>
    <definedName name="_400__123Graph_XCHART_2" hidden="1">#REF!</definedName>
    <definedName name="_41__123Graph_BCHART_8" hidden="1">#REF!</definedName>
    <definedName name="_41__123Graph_DCHART_4" hidden="1">#REF!</definedName>
    <definedName name="_42__123Graph_BCHART_9" hidden="1">#REF!</definedName>
    <definedName name="_42__123Graph_DCHART_5" hidden="1">#REF!</definedName>
    <definedName name="_425__123Graph_XCHART_3" hidden="1">#REF!</definedName>
    <definedName name="_42wrn.²Ä1­Ó¤ë1_Ü20¤H." localSheetId="3" hidden="1">{#N/A,#N/A,FALSE,"²Ä1­Ó¤ë"}</definedName>
    <definedName name="_42wrn.²Ä1­Ó¤ë1_Ü20¤H." hidden="1">{#N/A,#N/A,FALSE,"²Ä1­Ó¤ë"}</definedName>
    <definedName name="_43__123Graph_CCHART_10" hidden="1">#REF!</definedName>
    <definedName name="_43__123Graph_ECHART_2" hidden="1">#REF!</definedName>
    <definedName name="_44__123Graph_ACHART_5" hidden="1">#REF!</definedName>
    <definedName name="_44__123Graph_CCHART_14" hidden="1">#REF!</definedName>
    <definedName name="_44__123Graph_ECHART_3" hidden="1">#REF!</definedName>
    <definedName name="_45__123Graph_CCHART_17" hidden="1">#REF!</definedName>
    <definedName name="_45__123Graph_ECHART_4" hidden="1">#REF!</definedName>
    <definedName name="_450__123Graph_XCHART_4" hidden="1">#REF!</definedName>
    <definedName name="_456GRAPH_B" hidden="1">#REF!</definedName>
    <definedName name="_46__123Graph_CCHART_2" hidden="1">#REF!</definedName>
    <definedName name="_46__123Graph_ECHART_5" hidden="1">#REF!</definedName>
    <definedName name="_47__123Graph_CCHART_20" hidden="1">#REF!</definedName>
    <definedName name="_47__123Graph_FCHART_2" hidden="1">#REF!</definedName>
    <definedName name="_48__123Graph_CCHART_23" hidden="1">#REF!</definedName>
    <definedName name="_48__123Graph_FCHART_3" hidden="1">#REF!</definedName>
    <definedName name="_49__123Graph_CCHART_5" hidden="1">#REF!</definedName>
    <definedName name="_49__123Graph_FCHART_4" hidden="1">#REF!</definedName>
    <definedName name="_5___123Graph_BCHART_2" hidden="1">#REF!</definedName>
    <definedName name="_5__123Graph_ACHART_11" hidden="1">#REF!</definedName>
    <definedName name="_5__123Graph_ACHART_6" hidden="1">#REF!</definedName>
    <definedName name="_5__123Graph_BCHART_2" hidden="1">#REF!</definedName>
    <definedName name="_50__123Graph_ACHART_2" hidden="1">#REF!</definedName>
    <definedName name="_50__123Graph_CCHART_8" hidden="1">#REF!</definedName>
    <definedName name="_50__123Graph_FCHART_5" hidden="1">#REF!</definedName>
    <definedName name="_51__123Graph_XCHART_10" hidden="1">#REF!</definedName>
    <definedName name="_52__123Graph_XCHART_11" hidden="1">#REF!</definedName>
    <definedName name="_53__123Graph_XCHART_14" hidden="1">#REF!</definedName>
    <definedName name="_54__123Graph_XCHART_15" hidden="1">#REF!</definedName>
    <definedName name="_55__123Graph_BCHART_2" hidden="1">#REF!</definedName>
    <definedName name="_55__123Graph_XCHART_17" hidden="1">#REF!</definedName>
    <definedName name="_56__123Graph_XCHART_18" hidden="1">#REF!</definedName>
    <definedName name="_57__123Graph_XCHART_2" hidden="1">#REF!</definedName>
    <definedName name="_58__123Graph_XCHART_20" hidden="1">#REF!</definedName>
    <definedName name="_59__123Graph_XCHART_21" hidden="1">#REF!</definedName>
    <definedName name="_5Version">#REF!</definedName>
    <definedName name="_6___123Graph_BCHART_3" hidden="1">#REF!</definedName>
    <definedName name="_6__123Graph_ACHART_12" hidden="1">#REF!</definedName>
    <definedName name="_6__123Graph_ACHART_8" hidden="1">#REF!</definedName>
    <definedName name="_6__123Graph_BCHART_3" hidden="1">#REF!</definedName>
    <definedName name="_6__123Graph_BSPLICE_95" hidden="1">#REF!</definedName>
    <definedName name="_6__123Graph_ESPLICE_95" hidden="1">#REF!</definedName>
    <definedName name="_6__123Graph_FSPLICE_95" hidden="1">#REF!</definedName>
    <definedName name="_60__123Graph_XCHART_23" hidden="1">#REF!</definedName>
    <definedName name="_61__123Graph_XCHART_24" hidden="1">#REF!</definedName>
    <definedName name="_62__123Graph_XCHART_3" hidden="1">#REF!</definedName>
    <definedName name="_63__123Graph_XCHART_5" hidden="1">#REF!</definedName>
    <definedName name="_64__123Graph_XCHART_6" hidden="1">#REF!</definedName>
    <definedName name="_65__123Graph_XCHART_8" hidden="1">#REF!</definedName>
    <definedName name="_66__123Graph_BCHART_3" hidden="1">#REF!</definedName>
    <definedName name="_68__FDSAUDITLINK__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0_0Cwvu.GREY_A" hidden="1">#REF!</definedName>
    <definedName name="_6Version">#REF!</definedName>
    <definedName name="_7___123Graph_BCHART_4" hidden="1">#REF!</definedName>
    <definedName name="_7__123Graph_ACHART_13" hidden="1">#REF!</definedName>
    <definedName name="_7__123Graph_ACHART_9" hidden="1">#REF!</definedName>
    <definedName name="_7__123Graph_BCHART_4" hidden="1">#REF!</definedName>
    <definedName name="_75__123Graph_ACHART_3" hidden="1">#REF!</definedName>
    <definedName name="_77__123Graph_BCHART_4" hidden="1">#REF!</definedName>
    <definedName name="_7Version">#REF!</definedName>
    <definedName name="_8___123Graph_BCHART_5" hidden="1">#REF!</definedName>
    <definedName name="_8__123Graph_ACHART_14" hidden="1">#REF!</definedName>
    <definedName name="_8__123Graph_BCHART_1" hidden="1">#REF!</definedName>
    <definedName name="_8__123Graph_BCHART_5" hidden="1">#REF!</definedName>
    <definedName name="_88__123Graph_BCHART_5" hidden="1">#REF!</definedName>
    <definedName name="_8Version">#REF!</definedName>
    <definedName name="_9___123Graph_CCHART_2" hidden="1">#REF!</definedName>
    <definedName name="_9__123Graph_ACHART_15" hidden="1">#REF!</definedName>
    <definedName name="_9__123Graph_BCHART_2" hidden="1">#REF!</definedName>
    <definedName name="_9__123Graph_CCHART_2" hidden="1">#REF!</definedName>
    <definedName name="_9__123Graph_FSPLICE_95" hidden="1">#REF!</definedName>
    <definedName name="_99__123Graph_CCHART_2" hidden="1">#REF!</definedName>
    <definedName name="_a1" localSheetId="3" hidden="1">{#N/A,#N/A,FALSE,"Pharm";#N/A,#N/A,FALSE,"WWCM"}</definedName>
    <definedName name="_a1" hidden="1">{#N/A,#N/A,FALSE,"Pharm";#N/A,#N/A,FALSE,"WWCM"}</definedName>
    <definedName name="_A11" localSheetId="3" hidden="1">{#N/A,#N/A,FALSE,"Umsatz 99";#N/A,#N/A,FALSE,"ER 99 "}</definedName>
    <definedName name="_A11" hidden="1">{#N/A,#N/A,FALSE,"Umsatz 99";#N/A,#N/A,FALSE,"ER 99 "}</definedName>
    <definedName name="_a2" localSheetId="3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aa1" localSheetId="3" hidden="1">{#N/A,#N/A,FALSE,"REPORT"}</definedName>
    <definedName name="_aaa1" hidden="1">{#N/A,#N/A,FALSE,"REPORT"}</definedName>
    <definedName name="_aas1" localSheetId="3" hidden="1">{#N/A,#N/A,FALSE,"REPORT"}</definedName>
    <definedName name="_aas1" hidden="1">{#N/A,#N/A,FALSE,"REPORT"}</definedName>
    <definedName name="_ACS2000" localSheetId="3" hidden="1">{#N/A,#N/A,FALSE,"REPORT"}</definedName>
    <definedName name="_ACS2000" hidden="1">{#N/A,#N/A,FALSE,"REPORT"}</definedName>
    <definedName name="_ADS1" localSheetId="3" hidden="1">{"FCB_ALL",#N/A,FALSE,"FCB"}</definedName>
    <definedName name="_ADS1" hidden="1">{"FCB_ALL",#N/A,FALSE,"FCB"}</definedName>
    <definedName name="_AMO_UniqueIdentifier" hidden="1">"'5375716e-454b-48bf-b2c6-623a22f6f7fd'"</definedName>
    <definedName name="_amo2007">#REF!</definedName>
    <definedName name="_as1" localSheetId="3" hidden="1">{"FCB_ALL",#N/A,FALSE,"FCB"}</definedName>
    <definedName name="_as1" hidden="1">{"FCB_ALL",#N/A,FALSE,"FCB"}</definedName>
    <definedName name="_AS2" localSheetId="3" hidden="1">{"FCB_ALL",#N/A,FALSE,"FCB"}</definedName>
    <definedName name="_AS2" hidden="1">{"FCB_ALL",#N/A,FALSE,"FCB"}</definedName>
    <definedName name="_as3" localSheetId="3" hidden="1">{"FCB_ALL",#N/A,FALSE,"FCB"}</definedName>
    <definedName name="_as3" hidden="1">{"FCB_ALL",#N/A,FALSE,"FCB"}</definedName>
    <definedName name="_AS4" localSheetId="3" hidden="1">{"FCB_ALL",#N/A,FALSE,"FCB"}</definedName>
    <definedName name="_AS4" hidden="1">{"FCB_ALL",#N/A,FALSE,"FCB"}</definedName>
    <definedName name="_as6" localSheetId="3" hidden="1">{"FCB_ALL",#N/A,FALSE,"FCB"}</definedName>
    <definedName name="_as6" hidden="1">{"FCB_ALL",#N/A,FALSE,"FCB"}</definedName>
    <definedName name="_AS7" localSheetId="3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_IMPOTEXI">#REF!</definedName>
    <definedName name="_b111" localSheetId="3" hidden="1">{#N/A,#N/A,FALSE,"Pharm";#N/A,#N/A,FALSE,"WWCM"}</definedName>
    <definedName name="_b111" hidden="1">{#N/A,#N/A,FALSE,"Pharm";#N/A,#N/A,FALSE,"WWCM"}</definedName>
    <definedName name="_bdm.00220E9FEFDA40B8AEA0CB3224E45063.edm" hidden="1">#REF!</definedName>
    <definedName name="_bdm.008E3276261649E2A271C4712BBAD6F0.edm" hidden="1">#REF!</definedName>
    <definedName name="_bdm.0108B2604C1F46EEA61E89AEAE6D8A0F.edm" hidden="1">#REF!</definedName>
    <definedName name="_bdm.019D86CC9B5F4A438ECE0F5A68BFB1B6.edm" hidden="1">#REF!</definedName>
    <definedName name="_bdm.03D87D66EE9C4708BEA523340DDB1D70.edm" hidden="1">#REF!</definedName>
    <definedName name="_bdm.057BBD2217374FE4AB160E13229D080F.edm" hidden="1">#REF!</definedName>
    <definedName name="_bdm.05906B188E6A444082AB012DF78D1B67.edm" hidden="1">#REF!</definedName>
    <definedName name="_bdm.059A04CEAB6841FD8376385191BA7A2B.edm" hidden="1">#REF!</definedName>
    <definedName name="_bdm.06E5010190C04085BB7DF691B93AEFBB.edm" hidden="1">#REF!</definedName>
    <definedName name="_bdm.074B34DF101F45EC9B6F9ADFF46BA88F.edm" hidden="1">#REF!</definedName>
    <definedName name="_bdm.07E00CA0196F42B6BE973B0CBDC4EA04.edm" hidden="1">#REF!</definedName>
    <definedName name="_bdm.09BC332E7B564202B176B48D54B905EF.edm" hidden="1">#REF!</definedName>
    <definedName name="_bdm.09D0D9456D73480CAF45397B650870CA.edm" hidden="1">#REF!</definedName>
    <definedName name="_bdm.0A7FCE01396546258E3BF2486B0EB921.edm" hidden="1">#REF!</definedName>
    <definedName name="_bdm.0b63dcc0316840d2a36768a02046c663.edm" hidden="1">#REF!</definedName>
    <definedName name="_bdm.0bf4731371764b79aada7618e34abadc.edm" hidden="1">#REF!</definedName>
    <definedName name="_bdm.0CE515F768C944B1B7DC26B5138956EC.edm" hidden="1">#REF!</definedName>
    <definedName name="_bdm.0D9406D4DF7248D891E65992B6EED3C4.edm" hidden="1">#REF!</definedName>
    <definedName name="_bdm.0DBFF7C0C2D94F60B9F54617CA5E347F.edm" hidden="1">#REF!</definedName>
    <definedName name="_bdm.0dcde86f5c264b32839add635779805d.edm" hidden="1">#REF!</definedName>
    <definedName name="_bdm.0F9C06B7D3BB4D5DA957BA5664F6B0BD.edm" hidden="1">#REF!</definedName>
    <definedName name="_bdm.0FCCD82E92174F49BA510BC58EA65A32.edm" hidden="1">#REF!</definedName>
    <definedName name="_bdm.1299E3C52BC942B685A0EC24DD305DC1.edm" hidden="1">#REF!</definedName>
    <definedName name="_bdm.12c6c2d1a7e6442eace52c6b84a03766.edm" hidden="1">#REF!</definedName>
    <definedName name="_bdm.12D9E426EBF545758EAA5A996D741CC4.edm" hidden="1">#REF!</definedName>
    <definedName name="_bdm.13854F83437D4F3AA5DF93A98777AEA2.edm" hidden="1">#REF!</definedName>
    <definedName name="_bdm.149914AF909B4BFE8FF2A6A24E27951F.edm" hidden="1">#REF!</definedName>
    <definedName name="_bdm.15FE907E1D2A493792154510A6B1C9F9.edm" hidden="1">#REF!</definedName>
    <definedName name="_bdm.171C68A1357D4142B702A3D76BDC8AFD.edm" hidden="1">#REF!</definedName>
    <definedName name="_bdm.17BDBAFA96E3414AADD23A3AB8ADB20D.edm" hidden="1">#REF!</definedName>
    <definedName name="_bdm.182E22C13B9C4F58BF066CB9A62F0692.edm" hidden="1">#REF!</definedName>
    <definedName name="_bdm.19DAB0D4C207482E9D76B5A396521792.edm" hidden="1">#REF!</definedName>
    <definedName name="_bdm.1A0F74F416E84363A342474C0C51096B.edm" hidden="1">#REF!</definedName>
    <definedName name="_bdm.1AEA78CBDF4C4DAC8E32E61EF1B11F6E.edm" hidden="1">#REF!</definedName>
    <definedName name="_bdm.1AF3FEE39B244891BB39A613E5EDE96C.edm" hidden="1">#REF!</definedName>
    <definedName name="_bdm.1b75746a16dd489f92d98f5507c09557.edm" hidden="1">#REF!</definedName>
    <definedName name="_bdm.1BDFBBA213EB4285949C716D88478A09.edm" hidden="1">#REF!</definedName>
    <definedName name="_bdm.1bfbef6c19f044fd8399238e5832ac57.edm" hidden="1">#REF!</definedName>
    <definedName name="_bdm.1C0980E7FBEF47EBBC1F714F915B70D8.edm" hidden="1">#REF!</definedName>
    <definedName name="_bdm.1e14970e09304d13abd24f1686b70712.edm" hidden="1">#REF!</definedName>
    <definedName name="_bdm.1EFA6E5F736544CC9E170A4836210CBC.edm" hidden="1">#REF!</definedName>
    <definedName name="_bdm.1F2E4FC8DF08484182C16648ECF57F69.edm" hidden="1">#REF!</definedName>
    <definedName name="_bdm.21A4E7E5E7DA459897F5393DC3017A0C.edm" hidden="1">#REF!</definedName>
    <definedName name="_bdm.21AAD65AAFA54CED85FAEC2BFF1A9B66.edm" hidden="1">#REF!</definedName>
    <definedName name="_bdm.21BD3C68137B432897A83FDAA840A4F7.edm" hidden="1">#REF!</definedName>
    <definedName name="_bdm.21F6A454388643188DDBA6B8208D6875.edm" hidden="1">#REF!</definedName>
    <definedName name="_bdm.226EE3270C8749F2B19A5867E085E28F.edm" hidden="1">#REF!</definedName>
    <definedName name="_bdm.22ECC8B0302A4CE383E089487D232A26.edm" hidden="1">#REF!</definedName>
    <definedName name="_bdm.2389c2159483436dbe38d6df22dee433.edm" hidden="1">#REF!</definedName>
    <definedName name="_bdm.23a105669c414e5b8d5ddb74ca871017.edm" hidden="1">#REF!</definedName>
    <definedName name="_bdm.2421dee46476498ba01ba2b15bfaee10.edm" hidden="1">#REF!</definedName>
    <definedName name="_bdm.243A2999D4E642808487D781DFF4DDF4.edm" hidden="1">#REF!</definedName>
    <definedName name="_bdm.25029F5B8D594E3DB459EE6D26BB9561.edm" hidden="1">#REF!</definedName>
    <definedName name="_bdm.2684887D20E34B868BB1C1562FECD8F1.edm" hidden="1">#REF!</definedName>
    <definedName name="_bdm.27187d9f625a4294830a789281aec161.edm" hidden="1">#REF!</definedName>
    <definedName name="_bdm.274B0D3A6F384C2EBB51DA0832E6C5F3.edm" hidden="1">#REF!</definedName>
    <definedName name="_bdm.275b1f68b8c74968bbd404b12a61917c.edm" hidden="1">#REF!</definedName>
    <definedName name="_bdm.27720b2a948241ddb0babab968714ced.edm" hidden="1">#REF!</definedName>
    <definedName name="_bdm.27AF6D5BF45F4FA6A484C424DED4890F.edm" hidden="1">#REF!</definedName>
    <definedName name="_bdm.299635CADA3347AA9F4E28229D24C0AA.edm" hidden="1">#REF!</definedName>
    <definedName name="_bdm.29B0110651EC41F8AA7D00F490BD88A3.edm" hidden="1">#REF!</definedName>
    <definedName name="_bdm.2b23ee7fb6954c4199e575891037c327.edm" hidden="1">#REF!</definedName>
    <definedName name="_bdm.2c6234b49d69439dac28c3c137fd0061.edm" hidden="1">#REF!</definedName>
    <definedName name="_bdm.2C62F0F9A76D482C81350F72E774BA90.edm" hidden="1">#REF!</definedName>
    <definedName name="_bdm.2DA86893C7B0489FB92D791F9536EE03.edm" hidden="1">#REF!</definedName>
    <definedName name="_bdm.2DB520859F9F4716AE0EB5B978C3FCCF.edm" hidden="1">#REF!</definedName>
    <definedName name="_bdm.2F27BB94C070456CA7A2B5CADFA5D872.edm" hidden="1">#REF!</definedName>
    <definedName name="_bdm.2F81116E52134147B9C0A47EA702BC9B.edm" hidden="1">#REF!</definedName>
    <definedName name="_bdm.31045FDB070C4B7B955DA288E0536ECF.edm" hidden="1">#REF!</definedName>
    <definedName name="_bdm.32088C57A9EA4B2781198BBF698C26B3.edm" hidden="1">#REF!</definedName>
    <definedName name="_bdm.321461BAC40D4545B76FDBACCB2D1F7F.edm" hidden="1">#REF!</definedName>
    <definedName name="_bdm.321B399DBF3746749CD595BE232B38EE.edm" hidden="1">#REF!</definedName>
    <definedName name="_bdm.3302EBBDB3BC4E49B7A3AAD63CCA4EB5.edm" hidden="1">#REF!</definedName>
    <definedName name="_bdm.335F3336C0D14B1C965852F46F4921F6.edm" hidden="1">#REF!</definedName>
    <definedName name="_bdm.359419c36bee48ce8b9d211d096c87c5.edm" hidden="1">#REF!</definedName>
    <definedName name="_bdm.361666C641EF4D7A87DED85479E86CFF.edm" hidden="1">#REF!</definedName>
    <definedName name="_bdm.367EF29020F54464A604B6D1C035A4CE.edm" hidden="1">#REF!</definedName>
    <definedName name="_bdm.370DE0D4930C46529FACBDAB3CB72FA1.edm" hidden="1">#REF!</definedName>
    <definedName name="_bdm.388fdf1381144ec3a303b39976d8b87b.edm" hidden="1">#REF!</definedName>
    <definedName name="_bdm.3AAEA1B972FD4854B6D588497CA07013.edm" hidden="1">#REF!</definedName>
    <definedName name="_bdm.3AF2E5D9117A443F8D013643FA2ED498.edm" hidden="1">#REF!</definedName>
    <definedName name="_bdm.3be2404f1e3e4dd6aef736a17419d908.edm" hidden="1">#REF!</definedName>
    <definedName name="_bdm.3CEA6569C8E343FA99AA03396582BDAA.edm" hidden="1">#REF!</definedName>
    <definedName name="_bdm.3D8DD8A196234B238B135DBBF4C005CA.edm" hidden="1">#REF!</definedName>
    <definedName name="_bdm.40007D5D40F74A8AAAA78F502D9A0882.edm" hidden="1">#REF!</definedName>
    <definedName name="_bdm.411EE77F3685454E8822D29C00A41408.edm" hidden="1">#REF!</definedName>
    <definedName name="_bdm.41D9A5FA07314A20828BD69D1E0D315D.edm" hidden="1">#REF!</definedName>
    <definedName name="_bdm.42623E4AE1BF4C6089A8D15AFAE40DB0.edm" hidden="1">#REF!</definedName>
    <definedName name="_bdm.42C40459A4C34E0AA6250D465EAC2F88.edm" hidden="1">#REF!</definedName>
    <definedName name="_bdm.431872109BAF42B3A0714FE8C585E876.edm" hidden="1">#REF!</definedName>
    <definedName name="_bdm.4549d3b880a04029a3ce8771b5285120.edm" hidden="1">#REF!</definedName>
    <definedName name="_bdm.4735976A139745F79B17E462A6D17679.edm" hidden="1">#REF!</definedName>
    <definedName name="_bdm.479675BA8C4D495DBE75011ED53CF4E3.edm" hidden="1">#REF!</definedName>
    <definedName name="_bdm.48B72D2E794D41CEADD80C30956F1E99.edm" hidden="1">#REF!</definedName>
    <definedName name="_bdm.49354E02FA0D4244A4242718045BCC20.edm" hidden="1">#REF!</definedName>
    <definedName name="_bdm.494429C835544C20841E2E54BE079CD4.edm" hidden="1">#REF!</definedName>
    <definedName name="_bdm.4978DEBA7ADE448EB563D89389745330.edm" hidden="1">#REF!</definedName>
    <definedName name="_bdm.4B42AB0B6BCC4F958F9E879B2A757EFA.edm" hidden="1">#REF!</definedName>
    <definedName name="_bdm.4C13F1BEC3534CB1970CAE653D74DCCA.edm" hidden="1">#REF!</definedName>
    <definedName name="_bdm.4C8895223A2B4FE1AFD882B9A5D94BB4.edm" hidden="1">#REF!</definedName>
    <definedName name="_bdm.4cfc91df08f544b3a0e074adbeaee8fd.edm" hidden="1">#REF!</definedName>
    <definedName name="_bdm.50dadeb1703e4619bfe7ee6827912c44.edm" hidden="1">#REF!</definedName>
    <definedName name="_bdm.515B329D21B94004BC9D2839AEA09C9F.edm" hidden="1">#REF!</definedName>
    <definedName name="_bdm.526823e30acd4059964c4aa3a2d2038d.edm" hidden="1">#REF!</definedName>
    <definedName name="_bdm.52D07BF78B6A4374AEFFF1768349FFED.edm" hidden="1">#REF!</definedName>
    <definedName name="_bdm.5396CB5824984BD1A40D7DB71618CC4A.edm" hidden="1">#REF!</definedName>
    <definedName name="_bdm.547D9667B7E84455B755D2FCD87B5A92.edm" hidden="1">#REF!</definedName>
    <definedName name="_bdm.5558DE87FE724F46A833942B5EA69FD1.edm" hidden="1">#REF!</definedName>
    <definedName name="_bdm.5645A9D36D8546D5B4448AD4C3B4E2DA.edm" hidden="1">#REF!</definedName>
    <definedName name="_bdm.567924da58aa4c50a24a22fecdce4d68.edm" hidden="1">#REF!</definedName>
    <definedName name="_bdm.57ac34b012b8456393309c8151ce35ee.edm" hidden="1">#REF!</definedName>
    <definedName name="_bdm.593F268FE8B74DFFAEE7731B3E01A9D1.edm" hidden="1">#REF!</definedName>
    <definedName name="_bdm.5A04ECE0D0564824BCBF65944AC5692F.edm" hidden="1">#REF!</definedName>
    <definedName name="_bdm.5AC4F688EF9B46FA952C1B5B39AC8F59.edm" hidden="1">#REF!</definedName>
    <definedName name="_bdm.5B61145DA3BF4A62BA04F83EE8543301.edm" hidden="1">#REF!</definedName>
    <definedName name="_bdm.5C515283C3844DE7B59A1A3C7E357272.edm" hidden="1">#REF!</definedName>
    <definedName name="_bdm.5c6b272e881c4fc7937ef3f4f0e52626.edm" hidden="1">#REF!</definedName>
    <definedName name="_bdm.5c800220376e4620a1efa15a49e76b02.edm" hidden="1">#REF!</definedName>
    <definedName name="_bdm.5CD28223F5C44141A46E86A4A8FF4778.edm" hidden="1">#REF!</definedName>
    <definedName name="_bdm.5D476653CC2F47B28FDD049BFB077EB3.edm" hidden="1">#REF!</definedName>
    <definedName name="_bdm.5e1aa01e99934a22ba549510c3c32e0e.edm" hidden="1">#REF!</definedName>
    <definedName name="_bdm.5EF220C07FF1443B9B267B77045D113A.edm" hidden="1">#REF!</definedName>
    <definedName name="_bdm.61CF0F5FEFBB48F9835220A128252BDD.edm" hidden="1">#REF!</definedName>
    <definedName name="_bdm.624E92CD4D4A427988E90E9C14DEEB67.edm" hidden="1">#REF!</definedName>
    <definedName name="_bdm.634E55053E494700A86064F5C19441A5.edm" hidden="1">#REF!</definedName>
    <definedName name="_bdm.6439EF6C1B7947B697BEA44180D08C14.edm" hidden="1">#REF!</definedName>
    <definedName name="_bdm.64BAB34749FD400EB053008C00D754AD.edm" hidden="1">#REF!</definedName>
    <definedName name="_bdm.651A4162E1AE4A47B078E661F1A2C149.edm" hidden="1">#REF!</definedName>
    <definedName name="_bdm.65CCB4D45AD24719B036F883C374E470.edm" hidden="1">#REF!</definedName>
    <definedName name="_bdm.65EE466136DC4D80982C80CD12E002A4.edm" hidden="1">#REF!</definedName>
    <definedName name="_bdm.665A67D6F8C6430589846DEE15408F95.edm" hidden="1">#REF!</definedName>
    <definedName name="_bdm.668967EF1F364ACAAC31DD93E530B8EE.edm" hidden="1">#REF!</definedName>
    <definedName name="_bdm.66BE816396184F71BC418A8CF42B5A89.edm" hidden="1">#REF!</definedName>
    <definedName name="_bdm.67436B83C309477C8B11A15B83C95ED5.edm" hidden="1">#REF!</definedName>
    <definedName name="_bdm.67735DD73BFE44CFA608DA2783C8BA11.edm" hidden="1">#REF!</definedName>
    <definedName name="_bdm.69e062dc0a514853808815fdc24b0ce5.edm" hidden="1">#REF!</definedName>
    <definedName name="_bdm.6A4FF9AD28A3454AA22A1468D4A9750A.edm" hidden="1">#REF!</definedName>
    <definedName name="_bdm.6ADBF63E715F43C2A9A0CBA21ED98CA9.edm" hidden="1">#REF!</definedName>
    <definedName name="_bdm.6ADF736214764BA28B477645936E6CA7.edm" hidden="1">#REF!</definedName>
    <definedName name="_bdm.6B287C83082B427D820083F9080E79B9.edm" hidden="1">#REF!</definedName>
    <definedName name="_bdm.6b48514cf75d456cac523067c230d0e7.edm" hidden="1">#REF!</definedName>
    <definedName name="_bdm.6B93DC17073148DCB5B12F9DC9711371.edm" hidden="1">#REF!</definedName>
    <definedName name="_bdm.6DBA0D5EB72E4A3A8DC84AB4F2E37B94.edm" hidden="1">#REF!</definedName>
    <definedName name="_bdm.6E0547F9C2BF4BC7937E18FAB50C7409.edm" hidden="1">#REF!</definedName>
    <definedName name="_bdm.6E60C805C41E4299A170AA1FECC51CC2.edm" hidden="1">#REF!</definedName>
    <definedName name="_bdm.6F3F1A8C268C466CB5758BE84D2F0D22.edm" hidden="1">#REF!</definedName>
    <definedName name="_bdm.6faeb8ee9a664789af70d1b2c577ed60.edm" hidden="1">#REF!</definedName>
    <definedName name="_bdm.703449D680A44B3689FACFBD68A1B0C4.edm" hidden="1">#REF!</definedName>
    <definedName name="_bdm.703B908213E0443E9BF084AB7C4F0DAD.edm" hidden="1">#REF!</definedName>
    <definedName name="_bdm.70C38F52E55045CBBD4198E9D3CDDCD3.edm" hidden="1">#REF!</definedName>
    <definedName name="_bdm.71DA018E51BA4650BCC51E6E68D5E532.edm" hidden="1">#REF!</definedName>
    <definedName name="_bdm.7281F6A5FAA1459CA054B0A9014DFCCB.edm" hidden="1">#REF!</definedName>
    <definedName name="_bdm.73BDE23904204C3F874CE215B48ED097.edm" hidden="1">#REF!</definedName>
    <definedName name="_bdm.75bd2877a7414089b777e643901829c6.edm" hidden="1">#REF!</definedName>
    <definedName name="_bdm.7632579755CA49338BABD8085642D373.edm" hidden="1">#REF!</definedName>
    <definedName name="_bdm.7642D67D3A4649329119F37E5AF35977.edm" hidden="1">#REF!</definedName>
    <definedName name="_bdm.77ED16C170524866A3660FA5811F03E8.edm" hidden="1">#REF!</definedName>
    <definedName name="_bdm.793a56f133d54609ac0c9c58bf2c48cf.edm" hidden="1">#REF!</definedName>
    <definedName name="_bdm.7A0A0738951843F39F2AA6E5D9239D65.edm" hidden="1">#REF!</definedName>
    <definedName name="_bdm.7D7A3B6354074BE1BA4FC4696582EADC.edm" hidden="1">#REF!</definedName>
    <definedName name="_bdm.7FEF9344A97347EFBA3B3D00578B2768.edm" hidden="1">#REF!</definedName>
    <definedName name="_bdm.8102F6EFBC44462EA051D935085C4AF8.edm" hidden="1">#REF!</definedName>
    <definedName name="_bdm.82C4A5D790A1400CB250B4EC8B731491.edm" hidden="1">#REF!</definedName>
    <definedName name="_bdm.849EE48FD1B14D24857694A3289BE768.edm" hidden="1">#REF!</definedName>
    <definedName name="_bdm.85A091D5714B41568AB974CFF2841C1D.edm" hidden="1">#REF!</definedName>
    <definedName name="_bdm.86178254898C4E2FAAA5D69D2572FC67.edm" hidden="1">#REF!</definedName>
    <definedName name="_bdm.86743DCB9C8D4CBFA83D68C9702D09FA.edm" hidden="1">#REF!</definedName>
    <definedName name="_bdm.86D0CAF7072E486284E0697461F2E2D8.edm" hidden="1">#REF!</definedName>
    <definedName name="_bdm.87B961DA449147019B127CB030FB395D.edm" hidden="1">#REF!</definedName>
    <definedName name="_bdm.886DD3A361554CD38516193AF16AF0A3.edm" hidden="1">#REF!</definedName>
    <definedName name="_bdm.8953c7ea88284c92a09098790e5b546c.edm" hidden="1">#REF!</definedName>
    <definedName name="_bdm.8AF2CC9501CD418195C5AAF6469D5BF0.edm" hidden="1">#REF!</definedName>
    <definedName name="_bdm.8B7B69BE71F941AE86CBFE44374839D0.edm" hidden="1">#REF!</definedName>
    <definedName name="_bdm.8BF2AEA7EF6D48A08BF046805387368F.edm" hidden="1">#REF!</definedName>
    <definedName name="_bdm.8D1F6BA5FE2F464FB92AA4F90CDEB27C.edm" hidden="1">#REF!</definedName>
    <definedName name="_bdm.8DB5495F314B4390B7640FE8A875C628.edm" hidden="1">#REF!</definedName>
    <definedName name="_bdm.8E2DF08400E947FF925837C56BBE1CF1.edm" hidden="1">#REF!</definedName>
    <definedName name="_bdm.8EDB28874E7740DAB3588584BA6B3AC0.edm" hidden="1">#REF!</definedName>
    <definedName name="_bdm.8F7CC7AC0DB04A63889E7AEA72029DD5.edm" hidden="1">#REF!</definedName>
    <definedName name="_bdm.8F7EA46C2AF44FD8B9853320F4C1D308.edm" hidden="1">#REF!</definedName>
    <definedName name="_bdm.9001A051BE39498C898B9C755B4B3C1C.edm" hidden="1">#REF!</definedName>
    <definedName name="_bdm.9107573414d64875899ab2f1d5ff7a09.edm" hidden="1">#REF!</definedName>
    <definedName name="_bdm.933a1919639941d6914994f14e073102.edm" hidden="1">#REF!</definedName>
    <definedName name="_bdm.94f86e9ee15b4448b24e28a08d2f5465.edm" hidden="1">#REF!</definedName>
    <definedName name="_bdm.95FE1E00E9E84CC4B00B2BCF64E839F9.edm" hidden="1">#REF!</definedName>
    <definedName name="_bdm.9632FA047B6C4BD6A9EC28180C36ECC2.edm" hidden="1">#REF!</definedName>
    <definedName name="_bdm.967C861DFF6F4466AFD5B1B633425083.edm" hidden="1">#REF!</definedName>
    <definedName name="_bdm.970A06C5E77B41F29BCFF792C30B73E4.edm" hidden="1">#REF!</definedName>
    <definedName name="_bdm.99172AA5CED74240BA6B51C225076D3E.edm" hidden="1">#REF!</definedName>
    <definedName name="_bdm.9939764B0FEF41EC9D0BB1E176EEDAB8.edm" hidden="1">#REF!</definedName>
    <definedName name="_bdm.99D25071176349DF9DBCD692266E3E9E.edm" hidden="1">#REF!</definedName>
    <definedName name="_bdm.9BC143DF971E44559310B4E576EAB1ED.edm" hidden="1">#REF!</definedName>
    <definedName name="_bdm.9CC7787391C94A8BA19A9CC51BD9F207.edm" hidden="1">#REF!</definedName>
    <definedName name="_bdm.9D05AF9DF7824466BA6DE1B2CC7C1F2D.edm" hidden="1">#REF!</definedName>
    <definedName name="_bdm.9d5bc01b14e34e60bc3f1d7c698a1212.edm" hidden="1">#REF!</definedName>
    <definedName name="_bdm.9DA169C413B74723B84B724E0A74AFAB.edm" hidden="1">#REF!</definedName>
    <definedName name="_bdm.9da99b31b4be48a68c4b67c449cb7dd1.edm" hidden="1">#REF!</definedName>
    <definedName name="_bdm.9ddb7e9cb8aa4350ac8969ac0b0f2559.edm" hidden="1">#REF!</definedName>
    <definedName name="_bdm.A1185A8D0CA2459EB8A7CFEC229528D3.edm" hidden="1">#REF!</definedName>
    <definedName name="_bdm.a132335378694ddd95f7de7362a5ff5f.edm" hidden="1">#REF!</definedName>
    <definedName name="_bdm.A1CB2BAD2DCF4602ABF442E9884A30B5.edm" hidden="1">#REF!</definedName>
    <definedName name="_bdm.a1ec59364f8f47e39ce758fe1f3d934a.edm" hidden="1">#REF!</definedName>
    <definedName name="_bdm.A299BEEB3FAE40A1A0AD3459A19626FA.edm" hidden="1">#REF!</definedName>
    <definedName name="_bdm.A350F1950F5F48B8AFAC3F04217878F3.edm" hidden="1">#REF!</definedName>
    <definedName name="_bdm.a36dbdf2558346a6be1385c6c203ee3e.edm" hidden="1">#REF!</definedName>
    <definedName name="_bdm.a3b43ee50fd84f518423e5225580881a.edm" hidden="1">#REF!</definedName>
    <definedName name="_bdm.A40EC8A60DE94918B4D588790F19D18F.edm" hidden="1">#REF!</definedName>
    <definedName name="_bdm.A4847A84AF1D4B269D8378ED51F8F142.edm" hidden="1">#REF!</definedName>
    <definedName name="_bdm.a5d5bad93ecc40428e1aef56c7d463eb.edm" hidden="1">#REF!</definedName>
    <definedName name="_bdm.A694A878831F4213AFF2B0748B50DCE1.edm" hidden="1">#REF!</definedName>
    <definedName name="_bdm.A7D567BEB5464BFCA9460F24123A5BF9.edm" hidden="1">#REF!</definedName>
    <definedName name="_bdm.A847EBE60DB44A82A7499FE41394FEEB.edm" hidden="1">#REF!</definedName>
    <definedName name="_bdm.A9B1C771C59C4AD590329BBC18EB68A0.edm" hidden="1">#REF!</definedName>
    <definedName name="_bdm.AA18AC00CDA14213ADD21F202BB67BF3.edm" hidden="1">#REF!</definedName>
    <definedName name="_bdm.AB246678DC234898B769ECDB226B561E.edm" hidden="1">#REF!</definedName>
    <definedName name="_bdm.ABB251D7DDC5490DAE0D57CD114A7E08.edm" hidden="1">#REF!</definedName>
    <definedName name="_bdm.ae2e4d8e21124323919c12fa3e0bb66f.edm" hidden="1">#REF!</definedName>
    <definedName name="_bdm.AE61EDD50C67442099755723E527ED8D.edm" hidden="1">#REF!</definedName>
    <definedName name="_bdm.AEBFD5DBB2194FFAAEA35CC33AD6FACF.edm" hidden="1">#REF!</definedName>
    <definedName name="_bdm.AFA5325CABEF411D973B2A96C516455C.edm" hidden="1">#REF!</definedName>
    <definedName name="_bdm.B131DE0E4B0D4E6886A3F87C0269FABE.edm" hidden="1">#REF!</definedName>
    <definedName name="_bdm.B1F6F797AAE9430A81115F658EEF8940.edm" hidden="1">#REF!</definedName>
    <definedName name="_bdm.b2d134eb0de14c8393bac393debb3704.edm" hidden="1">#REF!</definedName>
    <definedName name="_bdm.b4457e5bfdf94a768457f204a2ec0706.edm" hidden="1">#REF!</definedName>
    <definedName name="_bdm.B47F2B432EAA4566BDA80970C57797B2.edm" hidden="1">#REF!</definedName>
    <definedName name="_bdm.B51CB6333167488690E78A8209CF83E6.edm" hidden="1">#REF!</definedName>
    <definedName name="_bdm.b551ef01d1d3490291acb280491f410b.edm" hidden="1">#REF!</definedName>
    <definedName name="_bdm.B5AA4D493B8F4944831CC7956F823060.edm" hidden="1">#REF!</definedName>
    <definedName name="_bdm.B5EE3489FBDF4B229C6FC9C36401DCA0.edm" hidden="1">#REF!</definedName>
    <definedName name="_bdm.b5fa221823b64978bcf0aa009b15d818.edm" hidden="1">#REF!</definedName>
    <definedName name="_bdm.B6A1AAA4249246C3ABA115CF5AF8A91C.edm" hidden="1">#REF!</definedName>
    <definedName name="_bdm.B71E0E2E18AB4EE1BDB505653DE2F393.edm" hidden="1">#REF!</definedName>
    <definedName name="_bdm.B861D090EC3F489BA0CA25929B6D2D05.edm" hidden="1">#REF!</definedName>
    <definedName name="_bdm.b965e048ad2140e2a15c755a7bf74cff.edm" hidden="1">#REF!</definedName>
    <definedName name="_bdm.B9A660B732094214BD8FD30C78D1832C.edm" hidden="1">#REF!</definedName>
    <definedName name="_bdm.BB2AF9426A3647139CAEB910F946DDD6.edm" hidden="1">#REF!</definedName>
    <definedName name="_bdm.bcd6196830d842e6ba1237fbf1fdab6c.edm" hidden="1">#REF!</definedName>
    <definedName name="_bdm.BD39BB7AC1224A079EA0DD2F311F674F.edm" hidden="1">#REF!</definedName>
    <definedName name="_bdm.BF287DABCEF24D6CABDC00780FA1B36B.edm" hidden="1">#REF!</definedName>
    <definedName name="_bdm.bf7dcee72c5945f0ad40efa3361aec7c.edm" hidden="1">#REF!</definedName>
    <definedName name="_bdm.C152CC4385C64DCDA1150BC66534B2C0.edm" hidden="1">#REF!</definedName>
    <definedName name="_bdm.C188DEB9EA794D2B9424146E2B96FFB1.edm" hidden="1">#REF!</definedName>
    <definedName name="_bdm.C1CB2F364E584B21BE9100309D7A9EB1.edm" hidden="1">#REF!</definedName>
    <definedName name="_bdm.c3382a95f52a49fb9556252098db6695.edm" hidden="1">#REF!</definedName>
    <definedName name="_bdm.C396501E45A94741B1EB6607D31A1016.edm" hidden="1">#REF!</definedName>
    <definedName name="_bdm.C44E31DF6C60426E880C72CDF290FE31.edm" hidden="1">#REF!</definedName>
    <definedName name="_bdm.C4B8454115804806B71A13003DC18E4E.edm" hidden="1">#REF!</definedName>
    <definedName name="_bdm.C4D87501EB8D4F529BF6D6E187C446B2.edm" hidden="1">#REF!</definedName>
    <definedName name="_bdm.C5A3D26BA1D24E8DB76551E7C9DD4202.edm" hidden="1">#REF!</definedName>
    <definedName name="_bdm.c5db4e85698c4d319875ab8ce3e27eeb.edm" hidden="1">#REF!</definedName>
    <definedName name="_bdm.C6F47B22DCBF439EB6B2211A976C9932.edm" hidden="1">#REF!</definedName>
    <definedName name="_bdm.C6F79AFD93C446BF8943EEA3AAE90C31.edm" hidden="1">#REF!</definedName>
    <definedName name="_bdm.C71A5F309EE4490CA65D08C18C15A019.edm" hidden="1">#REF!</definedName>
    <definedName name="_bdm.C7CC55C9ABCC45E884F97F9F2E3F4C20.edm" hidden="1">#REF!</definedName>
    <definedName name="_bdm.C8A0D37526D64E019C14844D20647990.edm" hidden="1">#REF!</definedName>
    <definedName name="_bdm.C8DDE54DC0E04D76AB329B8884DB8F3D.edm" hidden="1">#REF!</definedName>
    <definedName name="_bdm.C91F5F3D079A4D32A04223D4D2D0D2EF.edm" hidden="1">#REF!</definedName>
    <definedName name="_bdm.CA00DA434C5448129FC1AF82C88EFFA0.edm" hidden="1">#REF!</definedName>
    <definedName name="_bdm.CB11E00FDD8848DDADCC6BB323865A35.edm" hidden="1">#REF!</definedName>
    <definedName name="_bdm.CB259BD4849049109A20B61D26E7B3A1.edm" hidden="1">#REF!</definedName>
    <definedName name="_bdm.cc78a0bd667845219dc7359aa804a154.edm" hidden="1">#REF!</definedName>
    <definedName name="_bdm.CCEAF1C7CD844F1680C21E598238AD7E.edm" hidden="1">#REF!</definedName>
    <definedName name="_bdm.CD68F174392445A1AAD2D748A8B8E2DA.edm" hidden="1">#REF!</definedName>
    <definedName name="_bdm.CD7D288B5176451BBC3359C071E017A8.edm" hidden="1">#REF!</definedName>
    <definedName name="_bdm.cdc54b5b8a8347ed826023522e9241e5.edm" hidden="1">#REF!</definedName>
    <definedName name="_bdm.CE09E2743BB84A9CB308426E2B57BD1F.edm" hidden="1">#REF!</definedName>
    <definedName name="_bdm.CE25B96F6E914B8DB13D2A00AF08C2FD.edm" hidden="1">#REF!</definedName>
    <definedName name="_bdm.CE78A6BB68D54BEAB22D8892695FFBEA.edm" hidden="1">#REF!</definedName>
    <definedName name="_bdm.ce8191b0b7254c3386876b95b0210550.edm" hidden="1">#REF!</definedName>
    <definedName name="_bdm.CEA45A96F4A74F558EDD10E4AF75DA78.edm" hidden="1">#REF!</definedName>
    <definedName name="_bdm.CF1E9D0AD8B54C3BBFE95FB750D4D664.edm" hidden="1">#REF!</definedName>
    <definedName name="_bdm.D0008D4E150A49C4A91FE6572142E2E9.edm" hidden="1">#REF!</definedName>
    <definedName name="_bdm.d017ac8ea8774a638b2918babb3ca8aa.edm" hidden="1">#REF!</definedName>
    <definedName name="_bdm.D0E4B4437D604E51B4015A7F13AF9A75.edm" hidden="1">#REF!</definedName>
    <definedName name="_bdm.D22757C8C8DF45518136188139C38B74.edm" hidden="1">#REF!</definedName>
    <definedName name="_bdm.D36D726655004665A13BAE16C8FB4BE2.edm" hidden="1">#REF!</definedName>
    <definedName name="_bdm.D46855DF652F42BE89C491E9A6869A75.edm" hidden="1">#REF!</definedName>
    <definedName name="_bdm.d4e0509ef4ee4e9da71b1acd68066e55.edm" hidden="1">#REF!</definedName>
    <definedName name="_bdm.D518E94C1F2E4FD6B7A8548530B4815B.edm" hidden="1">#REF!</definedName>
    <definedName name="_bdm.D5E05C2051544E1BBBCD4738FFC0DD06.edm" hidden="1">#REF!</definedName>
    <definedName name="_bdm.D62E5C31CBF1463EAC255F9335E425E5.edm" hidden="1">#REF!</definedName>
    <definedName name="_bdm.D774AB0006584CD993318BF8BD7F5258.edm" hidden="1">#REF!</definedName>
    <definedName name="_bdm.D7D23A2E11FE417997F459ABCBA6D247.edm" hidden="1">#REF!</definedName>
    <definedName name="_bdm.d7daedc30a45497196e6cbd8116bf580.edm" hidden="1">#REF!</definedName>
    <definedName name="_bdm.da06910fb5d345918a7b269256ec506a.edm" hidden="1">#REF!</definedName>
    <definedName name="_bdm.DA1B4B6C97584E3BA0D5F5393F9BEDE2.edm" hidden="1">#REF!</definedName>
    <definedName name="_bdm.da5c51ecd34e4327b0c520dd045a0bd8.edm" hidden="1">#REF!</definedName>
    <definedName name="_bdm.da88afac572b43ba9b351a6310032ef8.edm" hidden="1">#REF!</definedName>
    <definedName name="_bdm.daaec433545946439bee2b429ee13201.edm" hidden="1">#REF!</definedName>
    <definedName name="_bdm.DABC74680ED04854BE84D3C72D208A71.edm" hidden="1">#REF!</definedName>
    <definedName name="_bdm.dc1034a3c32446968c92a0575733f98e.edm" hidden="1">#REF!</definedName>
    <definedName name="_bdm.DCB06C74F1A54262A898247CF9FDC37B.edm" hidden="1">#REF!</definedName>
    <definedName name="_bdm.DD1DEE0534424DA49947DDA9530A0368.edm" hidden="1">#REF!</definedName>
    <definedName name="_bdm.dd351e7e6cbc487cafd406d1db5d5288.edm" hidden="1">#REF!</definedName>
    <definedName name="_bdm.DDB5CB573643446A980413F5587958A7.edm" hidden="1">#REF!</definedName>
    <definedName name="_bdm.DDC14BBC0CF8407EA0423E89E2AC8335.edm" hidden="1">#REF!</definedName>
    <definedName name="_bdm.DDFD186977C3490DB27E6BDB784C088E.edm" hidden="1">#REF!</definedName>
    <definedName name="_bdm.DFDC38C5F56941BC8F029D8799181430.edm" hidden="1">#REF!</definedName>
    <definedName name="_bdm.e0e721901a214b46aa7a289e5148e753.edm" hidden="1">#REF!</definedName>
    <definedName name="_bdm.E25DFB2D5F7348FAA986B280A4191B95.edm" hidden="1">#REF!</definedName>
    <definedName name="_bdm.E301D10B88FE49F2B5A5CEFC37657D97.edm" hidden="1">#REF!</definedName>
    <definedName name="_bdm.E576996971784DA5BDA30CAB4378208D.edm" hidden="1">#REF!</definedName>
    <definedName name="_bdm.E69A3EEB583F457C97A8CDB76AB1A85B.edm" hidden="1">#REF!</definedName>
    <definedName name="_bdm.E74A80ABEC474939A6F66E8098D617C1.edm" hidden="1">#REF!</definedName>
    <definedName name="_bdm.E753A15E33E84DC790E05E9E35F80D8C.edm" hidden="1">#REF!</definedName>
    <definedName name="_bdm.E76A9B3ED0434D30838E372D690D40D8.edm" hidden="1">#REF!</definedName>
    <definedName name="_bdm.E871C32F753E446698C12201DE2D87B4.edm" hidden="1">#REF!</definedName>
    <definedName name="_bdm.E937EE7248F84D859F21599AD1D57D1F.edm" hidden="1">#REF!</definedName>
    <definedName name="_bdm.e98f1a7a9e9c43158da9b943f425c294.edm" hidden="1">#REF!</definedName>
    <definedName name="_bdm.E99B2DFE0F9C4E7F95021A087B8D83CD.edm" hidden="1">#REF!</definedName>
    <definedName name="_bdm.E9D45B746AD742B09BB2628271A67CB3.edm" hidden="1">#REF!</definedName>
    <definedName name="_bdm.EA3767DAA0A74A5882F1B6E57C2932A4.edm" hidden="1">#REF!</definedName>
    <definedName name="_bdm.EC90B2DB50C04ADB8B1BE6E20AA6CAAC.edm" hidden="1">#REF!</definedName>
    <definedName name="_bdm.ECA3CA02B5ED4F24BEC15EE10924B9C1.edm" hidden="1">#REF!</definedName>
    <definedName name="_bdm.ED7C571EEFC14F9584076B9304F560B4.edm" hidden="1">#REF!</definedName>
    <definedName name="_bdm.EDD4D6580B864EBD968C2B7A3EB8070D.edm" hidden="1">#REF!</definedName>
    <definedName name="_bdm.EE54FFB826EE404F9E91348E24A430FF.edm" hidden="1">#REF!</definedName>
    <definedName name="_bdm.EECF0B3F672641E0861270A4B8BE56FC.edm" hidden="1">#REF!</definedName>
    <definedName name="_bdm.EF3DF8188EA64E628739BB270A3D163B.edm" hidden="1">#REF!</definedName>
    <definedName name="_bdm.EFBF36B19F3D40E5AA9B1AE4BBF25B0C.edm" hidden="1">#REF!</definedName>
    <definedName name="_bdm.EFFE85B69881429E82FC98B1A1AD2365.edm" hidden="1">#REF!</definedName>
    <definedName name="_bdm.f0da782fdf214e43a52f760cba70060f.edm" hidden="1">#REF!</definedName>
    <definedName name="_bdm.F0E8B3AA36434C88A050E249D68F9290.edm" hidden="1">#REF!</definedName>
    <definedName name="_bdm.F1334AD43C2E4746B541D794CFA4C6EF.edm" hidden="1">#REF!</definedName>
    <definedName name="_bdm.F2BA1AC816734F6DB2CB1813D06AF67A.edm" hidden="1">#REF!</definedName>
    <definedName name="_bdm.F2DB89BE62CC409980CB013651416C5F.edm" hidden="1">#REF!</definedName>
    <definedName name="_bdm.F35283313FC542F98F601554FE71EFA4.edm" hidden="1">#REF!</definedName>
    <definedName name="_bdm.F3FB2C5515504EC4BEE43F12A36A185D.edm" hidden="1">#REF!</definedName>
    <definedName name="_bdm.F462BF77F8554E6C96A7A8AF3AD6FA02.edm" hidden="1">#REF!</definedName>
    <definedName name="_bdm.F46E017D074143C9B9D28C6A9CDB3133.edm" hidden="1">#REF!</definedName>
    <definedName name="_bdm.F4985BF27CF34BE09809D9D4637A50C6.edm" hidden="1">#REF!</definedName>
    <definedName name="_bdm.F4DAB2FEF6D940019C155E824FF6F374.edm" hidden="1">#REF!</definedName>
    <definedName name="_bdm.F848A28F624047A9B448DE8F0847A61D.edm" hidden="1">#REF!</definedName>
    <definedName name="_bdm.F8AB60488883426D87055020BCDF6932.edm" hidden="1">#REF!</definedName>
    <definedName name="_bdm.F92277C17C604507824E7D09151BA3D8.edm" hidden="1">#REF!</definedName>
    <definedName name="_bdm.f9265776620943dc8c2194f3709cfc36.edm" hidden="1">#REF!</definedName>
    <definedName name="_bdm.F995C78138A94336A592DCF5EAFBB556.edm" hidden="1">#REF!</definedName>
    <definedName name="_bdm.FAB13876AF2E44A3AAE6D9E36271BE48.edm" hidden="1">#REF!</definedName>
    <definedName name="_bdm.FADF7C44AECD427A9A1F571F1D1B1EF2.edm" hidden="1">#REF!</definedName>
    <definedName name="_bdm.FB3981731E9245E795F67891C6443AF7.edm" hidden="1">#REF!</definedName>
    <definedName name="_bdm.FC034FC5B1DE43CB92858014720DE50C.edm" hidden="1">#REF!</definedName>
    <definedName name="_bdm.FCC6B18BE7004556877909E70B057CC2.edm" hidden="1">#REF!</definedName>
    <definedName name="_bdm.FD9D9076A91948A7AFE436D102A778D7.edm" hidden="1">#REF!</definedName>
    <definedName name="_bdm.FE87379B9A304CDFBD48F5FD1F46C3EF.edm" hidden="1">#REF!</definedName>
    <definedName name="_bdm.febf8eab1f0a4bd9aa3797a3187db5a9.edm" hidden="1">#REF!</definedName>
    <definedName name="_bdm.FEDB395C3009431FA3FF5CEEBC0B1187.edm" hidden="1">#REF!</definedName>
    <definedName name="_bdm.FF8557EECB3B4FE7BC2F40A2EA189D4B.edm" hidden="1">#REF!</definedName>
    <definedName name="_BQ4.1" hidden="1">#REF!</definedName>
    <definedName name="_Bud1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c" localSheetId="3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AP6">#REF!</definedName>
    <definedName name="_Clinic" hidden="1">#REF!</definedName>
    <definedName name="_Clinic3" hidden="1">#REF!</definedName>
    <definedName name="_cmp1" localSheetId="3" hidden="1">{#N/A,#N/A,FALSE,"LEASES"}</definedName>
    <definedName name="_cmp1" hidden="1">{#N/A,#N/A,FALSE,"LEASES"}</definedName>
    <definedName name="_cmp2" localSheetId="3" hidden="1">{#N/A,#N/A,FALSE,"LEASES"}</definedName>
    <definedName name="_cmp2" hidden="1">{#N/A,#N/A,FALSE,"LEASES"}</definedName>
    <definedName name="_david" hidden="1">#REF!</definedName>
    <definedName name="_DB1">#REF!</definedName>
    <definedName name="_DB2">#REF!</definedName>
    <definedName name="_DB4">#REF!</definedName>
    <definedName name="_DB6">#REF!</definedName>
    <definedName name="_DB7">#REF!</definedName>
    <definedName name="_ddd1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Dec02">#REF!</definedName>
    <definedName name="_Dec03">#REF!</definedName>
    <definedName name="_df1" localSheetId="3" hidden="1">{#N/A,#N/A,FALSE,"Calc";#N/A,#N/A,FALSE,"Sensitivity";#N/A,#N/A,FALSE,"LT Earn.Dil.";#N/A,#N/A,FALSE,"Dil. AVP"}</definedName>
    <definedName name="_df1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localSheetId="3" hidden="1">{"FCB_ALL",#N/A,FALSE,"FCB";"GREY_ALL",#N/A,FALSE,"GREY"}</definedName>
    <definedName name="_dfd1" hidden="1">{"FCB_ALL",#N/A,FALSE,"FCB";"GREY_ALL",#N/A,FALSE,"GREY"}</definedName>
    <definedName name="_Dist_Bin" hidden="1">#REF!</definedName>
    <definedName name="_Dist_Values" hidden="1">#REF!</definedName>
    <definedName name="_Fil1" hidden="1">#REF!</definedName>
    <definedName name="_Fill" hidden="1">#REF!</definedName>
    <definedName name="_Fill_1" hidden="1">#REF!</definedName>
    <definedName name="_Fill2" hidden="1">#REF!</definedName>
    <definedName name="_Filla" hidden="1">#REF!</definedName>
    <definedName name="_xlnm._FilterDatabase" localSheetId="0" hidden="1">'FFS Schedule'!$A$1:$AB$242</definedName>
    <definedName name="_xlnm._FilterDatabase" localSheetId="3" hidden="1">'Locations Data'!$A$1:$G$92</definedName>
    <definedName name="_xlnm._FilterDatabase" hidden="1">#REF!</definedName>
    <definedName name="_FU_Label" hidden="1">#REF!</definedName>
    <definedName name="_FV_Label" hidden="1">#REF!</definedName>
    <definedName name="_FXGBP">#REF!</definedName>
    <definedName name="_FXUSD">#REF!</definedName>
    <definedName name="_GSRATES_1" hidden="1">"CT300001Latest          "</definedName>
    <definedName name="_GSRATES_2" hidden="1">"CT30000120031208        "</definedName>
    <definedName name="_GSRATES_3" hidden="1">"CT300001Latest          "</definedName>
    <definedName name="_GSRATES_COUNT" hidden="1">1</definedName>
    <definedName name="_hd1" localSheetId="3" hidden="1">{#N/A,#N/A,FALSE,"Calc";#N/A,#N/A,FALSE,"Sensitivity";#N/A,#N/A,FALSE,"LT Earn.Dil.";#N/A,#N/A,FALSE,"Dil. AVP"}</definedName>
    <definedName name="_hd1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ep1" localSheetId="3" hidden="1">{#N/A,#N/A,FALSE,"LEASES"}</definedName>
    <definedName name="_hep1" hidden="1">{#N/A,#N/A,FALSE,"LEASES"}</definedName>
    <definedName name="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3" hidden="1">{"PVGraph2",#N/A,FALSE,"PV Data"}</definedName>
    <definedName name="_I2" hidden="1">{"PVGraph2",#N/A,FALSE,"PV Data"}</definedName>
    <definedName name="_I3" localSheetId="3" hidden="1">{"PVGraph2",#N/A,FALSE,"PV Data"}</definedName>
    <definedName name="_I3" hidden="1">{"PVGraph2",#N/A,FALSE,"PV Data"}</definedName>
    <definedName name="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ng20">#REF!</definedName>
    <definedName name="_ing30">#REF!</definedName>
    <definedName name="_ing31">#REF!</definedName>
    <definedName name="_IS2" localSheetId="3" hidden="1">{#N/A,#N/A,FALSE,"OUT  AREC"}</definedName>
    <definedName name="_IS2" hidden="1">{#N/A,#N/A,FALSE,"OUT  AREC"}</definedName>
    <definedName name="_JAN02">#REF!</definedName>
    <definedName name="_jba2">#REF!</definedName>
    <definedName name="_k1" hidden="1">#REF!</definedName>
    <definedName name="_k10" hidden="1">#REF!</definedName>
    <definedName name="_k11" hidden="1">#REF!</definedName>
    <definedName name="_k12" hidden="1">#REF!</definedName>
    <definedName name="_k13" hidden="1">#REF!</definedName>
    <definedName name="_k14" hidden="1">#REF!</definedName>
    <definedName name="_k15" hidden="1">#REF!</definedName>
    <definedName name="_k16" hidden="1">#REF!</definedName>
    <definedName name="_k17" hidden="1">#REF!</definedName>
    <definedName name="_k18" hidden="1">#REF!</definedName>
    <definedName name="_k19" hidden="1">#REF!</definedName>
    <definedName name="_k2" hidden="1">#REF!</definedName>
    <definedName name="_k20" hidden="1">#REF!</definedName>
    <definedName name="_k21" hidden="1">#REF!</definedName>
    <definedName name="_k22" hidden="1">#REF!</definedName>
    <definedName name="_k23" hidden="1">#REF!</definedName>
    <definedName name="_k24" hidden="1">#REF!</definedName>
    <definedName name="_k25" hidden="1">#REF!</definedName>
    <definedName name="_k26" hidden="1">#REF!</definedName>
    <definedName name="_k27" hidden="1">#REF!</definedName>
    <definedName name="_k28" hidden="1">#REF!</definedName>
    <definedName name="_k29" hidden="1">#REF!</definedName>
    <definedName name="_k3" hidden="1">#REF!</definedName>
    <definedName name="_k30" hidden="1">#REF!</definedName>
    <definedName name="_k4" hidden="1">#REF!</definedName>
    <definedName name="_k40" hidden="1">#REF!</definedName>
    <definedName name="_k41" hidden="1">#REF!</definedName>
    <definedName name="_k42" hidden="1">#REF!</definedName>
    <definedName name="_k43" hidden="1">#REF!</definedName>
    <definedName name="_k44" hidden="1">#REF!</definedName>
    <definedName name="_k45" hidden="1">#REF!</definedName>
    <definedName name="_k46" hidden="1">#REF!</definedName>
    <definedName name="_k47" hidden="1">#REF!</definedName>
    <definedName name="_k48" hidden="1">#REF!</definedName>
    <definedName name="_k49" hidden="1">#REF!</definedName>
    <definedName name="_k5" hidden="1">#REF!</definedName>
    <definedName name="_k50" hidden="1">#REF!</definedName>
    <definedName name="_k51" hidden="1">#REF!</definedName>
    <definedName name="_k52" hidden="1">#REF!</definedName>
    <definedName name="_k53" hidden="1">#REF!</definedName>
    <definedName name="_k54" hidden="1">#REF!</definedName>
    <definedName name="_k55" hidden="1">#REF!</definedName>
    <definedName name="_k56" hidden="1">#REF!</definedName>
    <definedName name="_k57" hidden="1">#REF!</definedName>
    <definedName name="_k58" hidden="1">#REF!</definedName>
    <definedName name="_k59" hidden="1">#REF!</definedName>
    <definedName name="_k6" hidden="1">#REF!</definedName>
    <definedName name="_k60" hidden="1">#REF!</definedName>
    <definedName name="_k61" hidden="1">#REF!</definedName>
    <definedName name="_k62" hidden="1">#REF!</definedName>
    <definedName name="_k63" hidden="1">#REF!</definedName>
    <definedName name="_k64" hidden="1">#REF!</definedName>
    <definedName name="_k65" hidden="1">#REF!</definedName>
    <definedName name="_k66" hidden="1">#REF!</definedName>
    <definedName name="_k7" hidden="1">#REF!</definedName>
    <definedName name="_k8" hidden="1">#REF!</definedName>
    <definedName name="_k9" hidden="1">#REF!</definedName>
    <definedName name="_Key1" hidden="1">#REF!</definedName>
    <definedName name="_Key1a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L1" localSheetId="3" hidden="1">{#N/A,#N/A,FALSE,"LEASES"}</definedName>
    <definedName name="_L1" hidden="1">{#N/A,#N/A,FALSE,"LEASES"}</definedName>
    <definedName name="_mar10">#REF!</definedName>
    <definedName name="_mty1" localSheetId="3" hidden="1">{#N/A,#N/A,TRUE,"2432"}</definedName>
    <definedName name="_mty1" hidden="1">{#N/A,#N/A,TRUE,"2432"}</definedName>
    <definedName name="_name1" hidden="1">#REF!</definedName>
    <definedName name="_NDE1">#REF!</definedName>
    <definedName name="_NDE2">#REF!</definedName>
    <definedName name="_NDE3">#REF!</definedName>
    <definedName name="_NDE4">#REF!</definedName>
    <definedName name="_NDE5">#REF!</definedName>
    <definedName name="_NDE6">#REF!</definedName>
    <definedName name="_new1" localSheetId="3" hidden="1">{#N/A,#N/A,FALSE,"Pharm";#N/A,#N/A,FALSE,"WWCM"}</definedName>
    <definedName name="_new1" hidden="1">{#N/A,#N/A,FALSE,"Pharm";#N/A,#N/A,FALSE,"WWCM"}</definedName>
    <definedName name="_NR_Label" hidden="1">#REF!</definedName>
    <definedName name="_OK2" localSheetId="3" hidden="1">{#N/A,#N/A,FALSE,"Cover";#N/A,#N/A,FALSE,"LUMI";#N/A,#N/A,FALSE,"COMD";#N/A,#N/A,FALSE,"Valuation";#N/A,#N/A,FALSE,"Assumptions";#N/A,#N/A,FALSE,"Pooling";#N/A,#N/A,FALSE,"BalanceSheet"}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pe01">#REF!</definedName>
    <definedName name="_ope02">#REF!</definedName>
    <definedName name="_ope03">#REF!</definedName>
    <definedName name="_ope04">#REF!</definedName>
    <definedName name="_ope05">#REF!</definedName>
    <definedName name="_Order1" hidden="1">255</definedName>
    <definedName name="_Order2" hidden="1">0</definedName>
    <definedName name="_P00comps1" hidden="1">#REF!</definedName>
    <definedName name="_P00comps2" hidden="1">#REF!</definedName>
    <definedName name="_p1" localSheetId="3" hidden="1">{"SUM",#N/A,FALSE,"Details (2)"}</definedName>
    <definedName name="_p1" hidden="1">{"SUM",#N/A,FALSE,"Details (2)"}</definedName>
    <definedName name="_pdg01">#REF!</definedName>
    <definedName name="_PFP09">#REF!</definedName>
    <definedName name="_Pie1_Label" hidden="1">#REF!</definedName>
    <definedName name="_PL2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3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5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localSheetId="3" hidden="1">{"Summary",#N/A,FALSE,"Details (2)"}</definedName>
    <definedName name="_pp2" hidden="1">{"Summary",#N/A,FALSE,"Details (2)"}</definedName>
    <definedName name="_ppp1" localSheetId="3" hidden="1">{"SUM",#N/A,FALSE,"Details (2)"}</definedName>
    <definedName name="_ppp1" hidden="1">{"SUM",#N/A,FALSE,"Details (2)"}</definedName>
    <definedName name="_q2" localSheetId="3" hidden="1">{"Summary",#N/A,FALSE,"Details (2)"}</definedName>
    <definedName name="_q2" hidden="1">{"Summary",#N/A,FALSE,"Details (2)"}</definedName>
    <definedName name="_q3" localSheetId="3" hidden="1">{"SUM",#N/A,FALSE,"Details (2)"}</definedName>
    <definedName name="_q3" hidden="1">{"SUM",#N/A,FALSE,"Details (2)"}</definedName>
    <definedName name="_q4" localSheetId="3" hidden="1">{"Summary",#N/A,FALSE,"Details (2)"}</definedName>
    <definedName name="_q4" hidden="1">{"Summary",#N/A,FALSE,"Details (2)"}</definedName>
    <definedName name="_q5" localSheetId="3" hidden="1">{"SUM",#N/A,FALSE,"Details (2)"}</definedName>
    <definedName name="_q5" hidden="1">{"SUM",#N/A,FALSE,"Details (2)"}</definedName>
    <definedName name="_r" localSheetId="3" hidden="1">{#N/A,#N/A,FALSE,"Pharm";#N/A,#N/A,FALSE,"WWCM"}</definedName>
    <definedName name="_r" hidden="1">{#N/A,#N/A,FALSE,"Pharm";#N/A,#N/A,FALSE,"WWCM"}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od1" localSheetId="3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MC9612">#REF!</definedName>
    <definedName name="_sop3" localSheetId="3" hidden="1">{"data",#N/A,FALSE,"client (3)";"margins",#N/A,FALSE,"client (3)";"multiple",#N/A,FALSE,"client (3)"}</definedName>
    <definedName name="_sop3" hidden="1">{"data",#N/A,FALSE,"client (3)";"margins",#N/A,FALSE,"client (3)";"multiple",#N/A,FALSE,"client (3)"}</definedName>
    <definedName name="_Sort" hidden="1">#REF!</definedName>
    <definedName name="_t2" localSheetId="3" hidden="1">{"'Sheet1'!$A$5:$G$42"}</definedName>
    <definedName name="_t2" hidden="1">{"'Sheet1'!$A$5:$G$42"}</definedName>
    <definedName name="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" hidden="1">#REF!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Out" hidden="1">#REF!</definedName>
    <definedName name="_Table1_Out_Dollar" hidden="1">#REF!</definedName>
    <definedName name="_Table2" hidden="1">#REF!</definedName>
    <definedName name="_Table2_In1" hidden="1">#REF!</definedName>
    <definedName name="_Table2_In1_Dollar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Dollar" hidden="1">#REF!</definedName>
    <definedName name="_Table3_In2" hidden="1">#REF!</definedName>
    <definedName name="_tm1" localSheetId="3" hidden="1">{#N/A,#N/A,FALSE,"Pharm";#N/A,#N/A,FALSE,"WWCM"}</definedName>
    <definedName name="_tm1" hidden="1">{#N/A,#N/A,FALSE,"Pharm";#N/A,#N/A,FALSE,"WWCM"}</definedName>
    <definedName name="_v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n10">#REF!</definedName>
    <definedName name="_ver1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localSheetId="3" hidden="1">{"PVGraph2",#N/A,FALSE,"PV Data"}</definedName>
    <definedName name="_w1" hidden="1">{"PVGraph2",#N/A,FALSE,"PV Data"}</definedName>
    <definedName name="_w2" localSheetId="3" hidden="1">{"PVGraph2",#N/A,FALSE,"PV Data"}</definedName>
    <definedName name="_w2" hidden="1">{"PVGraph2",#N/A,FALSE,"PV Data"}</definedName>
    <definedName name="_w3" localSheetId="3" hidden="1">{"PVGraph2",#N/A,FALSE,"PV Data"}</definedName>
    <definedName name="_w3" hidden="1">{"PVGraph2",#N/A,FALSE,"PV Data"}</definedName>
    <definedName name="_wrn1" localSheetId="3" hidden="1">{"Annual",#N/A,FALSE,"Sales &amp; Market";"Quarterly",#N/A,FALSE,"Sales &amp; Market"}</definedName>
    <definedName name="_wrn1" hidden="1">{"Annual",#N/A,FALSE,"Sales &amp; Market";"Quarterly",#N/A,FALSE,"Sales &amp; Market"}</definedName>
    <definedName name="_wrn2" localSheetId="3" hidden="1">{"client cfbs",#N/A,FALSE,"Client"}</definedName>
    <definedName name="_wrn2" hidden="1">{"client cfbs",#N/A,FALSE,"Client"}</definedName>
    <definedName name="_wrn3" localSheetId="3" hidden="1">{"client is",#N/A,FALSE,"Client"}</definedName>
    <definedName name="_wrn3" hidden="1">{"client is",#N/A,FALSE,"Client"}</definedName>
    <definedName name="_wrn4" localSheetId="3" hidden="1">{"client stats",#N/A,FALSE,"Client"}</definedName>
    <definedName name="_wrn4" hidden="1">{"client stats",#N/A,FALSE,"Client"}</definedName>
    <definedName name="_wrn5" localSheetId="3" hidden="1">{"internal is",#N/A,FALSE,"Model"}</definedName>
    <definedName name="_wrn5" hidden="1">{"internal is",#N/A,FALSE,"Model"}</definedName>
    <definedName name="_wrn6" localSheetId="3" hidden="1">{"portrait letter is",#N/A,FALSE,"Model"}</definedName>
    <definedName name="_wrn6" hidden="1">{"portrait letter is",#N/A,FALSE,"Model"}</definedName>
    <definedName name="_wrn7" localSheetId="3" hidden="1">{#N/A,#N/A,FALSE,"Financial";#N/A,#N/A,FALSE,"Balance Sheet";#N/A,#N/A,FALSE,"Income stmt";#N/A,#N/A,FALSE,"Ratio"}</definedName>
    <definedName name="_wrn7" hidden="1">{#N/A,#N/A,FALSE,"Financial";#N/A,#N/A,FALSE,"Balance Sheet";#N/A,#N/A,FALSE,"Income stmt";#N/A,#N/A,FALSE,"Ratio"}</definedName>
    <definedName name="_wrn9" localSheetId="3" hidden="1">{"FCB_ALL",#N/A,FALSE,"FCB"}</definedName>
    <definedName name="_wrn9" hidden="1">{"FCB_ALL",#N/A,FALSE,"FCB"}</definedName>
    <definedName name="_X1" localSheetId="3" hidden="1">{"Summary",#N/A,FALSE,"Details (2)"}</definedName>
    <definedName name="_X1" hidden="1">{"Summary",#N/A,FALSE,"Details (2)"}</definedName>
    <definedName name="_X2" localSheetId="3" hidden="1">{#N/A,#N/A,FALSE,"Other";#N/A,#N/A,FALSE,"Ace";#N/A,#N/A,FALSE,"Derm"}</definedName>
    <definedName name="_X2" hidden="1">{#N/A,#N/A,FALSE,"Other";#N/A,#N/A,FALSE,"Ace";#N/A,#N/A,FALSE,"Derm"}</definedName>
    <definedName name="_xlcn.LinkedTable_Exemple1" hidden="1">#REF!</definedName>
    <definedName name="_y2" localSheetId="3" hidden="1">{"PVGraph2",#N/A,FALSE,"PV Data"}</definedName>
    <definedName name="_y2" hidden="1">{"PVGraph2",#N/A,FALSE,"PV Data"}</definedName>
    <definedName name="_y6" localSheetId="3" hidden="1">{#N/A,#N/A,FALSE,"ORIX CSC"}</definedName>
    <definedName name="_y6" hidden="1">{#N/A,#N/A,FALSE,"ORIX CSC"}</definedName>
    <definedName name="_Zcomps1" localSheetId="3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3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a">#REF!</definedName>
    <definedName name="á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á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A_amort">#REF!</definedName>
    <definedName name="A_EBITDA_t3">#REF!</definedName>
    <definedName name="A_eps_t1">#REF!</definedName>
    <definedName name="A_eps_t2">#REF!</definedName>
    <definedName name="A_eps_t3">#REF!</definedName>
    <definedName name="A_excess_cash">#REF!</definedName>
    <definedName name="a_fv">#REF!</definedName>
    <definedName name="A_goodwill">#REF!</definedName>
    <definedName name="A_int">#REF!</definedName>
    <definedName name="A_ltmcashflow">#REF!</definedName>
    <definedName name="A_ltmcfps">#REF!</definedName>
    <definedName name="A_ltmEBITDA">#REF!</definedName>
    <definedName name="A_ltmeps">#REF!</definedName>
    <definedName name="A_ltmnetinc">#REF!</definedName>
    <definedName name="A_Number">#REF!</definedName>
    <definedName name="A_optprice">#REF!</definedName>
    <definedName name="A_rev">#REF!</definedName>
    <definedName name="A_SGA">#REF!</definedName>
    <definedName name="A_Shares">#REF!</definedName>
    <definedName name="A_warout">#REF!</definedName>
    <definedName name="aa">#REF!</definedName>
    <definedName name="aa.2" localSheetId="3" hidden="1">{#N/A,#N/A,FALSE,"Cashflow Analysis";#N/A,#N/A,FALSE,"Sensitivity Analysis";#N/A,#N/A,FALSE,"PV";#N/A,#N/A,FALSE,"Pro Forma"}</definedName>
    <definedName name="aa.2" hidden="1">{#N/A,#N/A,FALSE,"Cashflow Analysis";#N/A,#N/A,FALSE,"Sensitivity Analysis";#N/A,#N/A,FALSE,"PV";#N/A,#N/A,FALSE,"Pro Forma"}</definedName>
    <definedName name="aaa" localSheetId="3" hidden="1">{#N/A,#N/A,FALSE,"Pharm";#N/A,#N/A,FALSE,"WWCM"}</definedName>
    <definedName name="aaa" hidden="1">{#N/A,#N/A,FALSE,"Pharm";#N/A,#N/A,FALSE,"WWCM"}</definedName>
    <definedName name="AAA_DOCTOPS" hidden="1">"AAA_SET"</definedName>
    <definedName name="AAA_duser" hidden="1">"OFF"</definedName>
    <definedName name="aaaa" localSheetId="3" hidden="1">{#N/A,#N/A,FALSE,"REPORT"}</definedName>
    <definedName name="aaaa" hidden="1">{#N/A,#N/A,FALSE,"REPORT"}</definedName>
    <definedName name="aaaaa" localSheetId="3" hidden="1">{#N/A,#N/A,FALSE,"REPORT"}</definedName>
    <definedName name="aaaaa" hidden="1">{#N/A,#N/A,FALSE,"REPORT"}</definedName>
    <definedName name="aaaaaa" localSheetId="3" hidden="1">{#N/A,#N/A,FALSE,"REPORT"}</definedName>
    <definedName name="aaaaaa" hidden="1">{#N/A,#N/A,FALSE,"REPORT"}</definedName>
    <definedName name="aaaaaaa" localSheetId="3" hidden="1">{#N/A,#N/A,FALSE,"REPORT"}</definedName>
    <definedName name="aaaaaaa" hidden="1">{#N/A,#N/A,FALSE,"REPORT"}</definedName>
    <definedName name="aaaaaaaaa" hidden="1">#REF!</definedName>
    <definedName name="aaaaaaaaaa" localSheetId="3" hidden="1">{"FCB_ALL",#N/A,FALSE,"FCB";"GREY_ALL",#N/A,FALSE,"GREY"}</definedName>
    <definedName name="aaaaaaaaaa" hidden="1">{"FCB_ALL",#N/A,FALSE,"FCB";"GREY_ALL",#N/A,FALSE,"GREY"}</definedName>
    <definedName name="aaaaaaaaaaa" localSheetId="3" hidden="1">{#N/A,#N/A,FALSE,"REPORT"}</definedName>
    <definedName name="aaaaaaaaaaa" hidden="1">{#N/A,#N/A,FALSE,"REPORT"}</definedName>
    <definedName name="aaaaaaaaaaaaa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aaaaaaaaaaa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aaaaaaaaaaaaaa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aaaaaaaaaaaa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aaaaaaaaaaaaaaa" localSheetId="3" hidden="1">{#N/A,#N/A,FALSE,"Pharm";#N/A,#N/A,FALSE,"WWCM"}</definedName>
    <definedName name="aaaaaaaaaaaaaaa" hidden="1">{#N/A,#N/A,FALSE,"Pharm";#N/A,#N/A,FALSE,"WWCM"}</definedName>
    <definedName name="aaaq">#REF!</definedName>
    <definedName name="aaasb" localSheetId="3" hidden="1">{#N/A,#N/A,FALSE,"Pharm";#N/A,#N/A,FALSE,"WWCM"}</definedName>
    <definedName name="aaasb" hidden="1">{#N/A,#N/A,FALSE,"Pharm";#N/A,#N/A,FALSE,"WWCM"}</definedName>
    <definedName name="aab" localSheetId="3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localSheetId="3" hidden="1">{#N/A,#N/A,FALSE,"REPORT"}</definedName>
    <definedName name="aaddd" hidden="1">{#N/A,#N/A,FALSE,"REPORT"}</definedName>
    <definedName name="aas" localSheetId="3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sdfafd" localSheetId="3" hidden="1">{"Eur Base Top",#N/A,FALSE,"Europe Base";"Eur Base Bottom",#N/A,FALSE,"Europe Base"}</definedName>
    <definedName name="aasdfafd" hidden="1">{"Eur Base Top",#N/A,FALSE,"Europe Base";"Eur Base Bottom",#N/A,FALSE,"Europe Base"}</definedName>
    <definedName name="aassas" localSheetId="3" hidden="1">{"PR1","pr1",TRUE,"Sch PR-1"}</definedName>
    <definedName name="aassas" hidden="1">{"PR1","pr1",TRUE,"Sch PR-1"}</definedName>
    <definedName name="ab">#REF!</definedName>
    <definedName name="abc" localSheetId="3" hidden="1">{#N/A,#N/A,FALSE,"REPORT"}</definedName>
    <definedName name="abc" hidden="1">{#N/A,#N/A,FALSE,"REPORT"}</definedName>
    <definedName name="abcd">#REF!</definedName>
    <definedName name="abcd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gangsergebnis" localSheetId="3" hidden="1">{#N/A,#N/A,FALSE,"Mittelherkunft";#N/A,#N/A,FALSE,"Mittelverwendung"}</definedName>
    <definedName name="Abgangsergebnis" hidden="1">{#N/A,#N/A,FALSE,"Mittelherkunft";#N/A,#N/A,FALSE,"Mittelverwendung"}</definedName>
    <definedName name="AbilityToPayCalc">#REF!</definedName>
    <definedName name="ac">#REF!</definedName>
    <definedName name="Access_Button" hidden="1">"FIGBUS_FIGBUS_List"</definedName>
    <definedName name="AccessDatabase" hidden="1">"W:\WPFILES\GB759\EXCEL\FIGBUS.mdb"</definedName>
    <definedName name="Accessforecast" localSheetId="3" hidden="1">{"SUM",#N/A,FALSE,"Details (2)"}</definedName>
    <definedName name="Accessforecast" hidden="1">{"SUM",#N/A,FALSE,"Details (2)"}</definedName>
    <definedName name="accommodationq1">#REF!</definedName>
    <definedName name="accommodationq2">#REF!</definedName>
    <definedName name="accommodationq3">#REF!</definedName>
    <definedName name="accommodationq4">#REF!</definedName>
    <definedName name="Account_Label">#REF!</definedName>
    <definedName name="AccTreatment">#REF!</definedName>
    <definedName name="Acel_table">#REF!</definedName>
    <definedName name="achieve">#REF!</definedName>
    <definedName name="AcqCurr">#REF!</definedName>
    <definedName name="AcqLFY">#REF!</definedName>
    <definedName name="AcqName">#REF!</definedName>
    <definedName name="AcqSharePrice">#REF!</definedName>
    <definedName name="AcqSharesOS">#REF!</definedName>
    <definedName name="Activities">#REF!</definedName>
    <definedName name="ACTUAL">#REF!</definedName>
    <definedName name="ACTUAL_12MO_IS">#REF!</definedName>
    <definedName name="ACTUAL_BS">#REF!</definedName>
    <definedName name="ActualNumberOfPayments">#N/A</definedName>
    <definedName name="ACwvu.inputs._.raw._.data." hidden="1">#REF!</definedName>
    <definedName name="ACwvu.summary1." hidden="1">#REF!</definedName>
    <definedName name="ACwvu.summary2." hidden="1">#REF!</definedName>
    <definedName name="ACwvu.summary3." hidden="1">#REF!</definedName>
    <definedName name="ad" localSheetId="3" hidden="1">{#N/A,#N/A,FALSE,"Sheet1";#N/A,#N/A,FALSE,"Sheet2";#N/A,#N/A,FALSE,"Sheet3";#N/A,#N/A,FALSE,"Sheet4";#N/A,#N/A,FALSE,"Sheet5";#N/A,#N/A,FALSE,"Sheet6"}</definedName>
    <definedName name="ad" hidden="1">{#N/A,#N/A,FALSE,"Sheet1";#N/A,#N/A,FALSE,"Sheet2";#N/A,#N/A,FALSE,"Sheet3";#N/A,#N/A,FALSE,"Sheet4";#N/A,#N/A,FALSE,"Sheet5";#N/A,#N/A,FALSE,"Sheet6"}</definedName>
    <definedName name="AD_Cut_Off">#REF!</definedName>
    <definedName name="adasdasdasdasd" localSheetId="3" hidden="1">{"PR1","pr1",TRUE,"Sch PR-1"}</definedName>
    <definedName name="adasdasdasdasd" hidden="1">{"PR1","pr1",TRUE,"Sch PR-1"}</definedName>
    <definedName name="adcd" localSheetId="3" hidden="1">{#N/A,#N/A,FALSE,"Sheet8";#N/A,#N/A,FALSE,"Sheet7"}</definedName>
    <definedName name="adcd" hidden="1">{#N/A,#N/A,FALSE,"Sheet8";#N/A,#N/A,FALSE,"Sheet7"}</definedName>
    <definedName name="adf" localSheetId="3" hidden="1">{"standalone1",#N/A,FALSE,"DCFBase";"standalone2",#N/A,FALSE,"DCFBase"}</definedName>
    <definedName name="adf" hidden="1">{"standalone1",#N/A,FALSE,"DCFBase";"standalone2",#N/A,FALSE,"DCFBase"}</definedName>
    <definedName name="aDfa" localSheetId="3" hidden="1">{#N/A,#N/A,FALSE,"Aging Summary";#N/A,#N/A,FALSE,"Ratio Analysis";#N/A,#N/A,FALSE,"Test 120 Day Accts";#N/A,#N/A,FALSE,"Tickmarks"}</definedName>
    <definedName name="aDfa" hidden="1">{#N/A,#N/A,FALSE,"Aging Summary";#N/A,#N/A,FALSE,"Ratio Analysis";#N/A,#N/A,FALSE,"Test 120 Day Accts";#N/A,#N/A,FALSE,"Tickmarks"}</definedName>
    <definedName name="adfadasdf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adfadasdf" hidden="1">{"Assumptions1",#N/A,FALSE,"Assumptions";"MergerPlans1","20yearamort",FALSE,"MergerPlans";"MergerPlans1","40yearamort",FALSE,"MergerPlans";"MergerPlans2",#N/A,FALSE,"MergerPlans";"inputs",#N/A,FALSE,"MergerPlans"}</definedName>
    <definedName name="adfd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adfd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adfgasdysty" localSheetId="3" hidden="1">{#N/A,#N/A,FALSE,"REPORT"}</definedName>
    <definedName name="adfgasdysty" hidden="1">{#N/A,#N/A,FALSE,"REPORT"}</definedName>
    <definedName name="adfsfjfjky" localSheetId="3" hidden="1">{#N/A,#N/A,FALSE,"REPORT"}</definedName>
    <definedName name="adfsfjfjky" hidden="1">{#N/A,#N/A,FALSE,"REPORT"}</definedName>
    <definedName name="ADFWAE" localSheetId="3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i01">#REF!</definedName>
    <definedName name="administrationq1">#REF!</definedName>
    <definedName name="administrationq2">#REF!</definedName>
    <definedName name="administrationq3">#REF!</definedName>
    <definedName name="administrationq4">#REF!</definedName>
    <definedName name="ads" localSheetId="3" hidden="1">{"inputs raw data",#N/A,TRUE,"INPUT"}</definedName>
    <definedName name="ads" hidden="1">{"inputs raw data",#N/A,TRUE,"INPUT"}</definedName>
    <definedName name="adsew" localSheetId="3" hidden="1">{"FCB_ALL",#N/A,FALSE,"FCB"}</definedName>
    <definedName name="adsew" hidden="1">{"FCB_ALL",#N/A,FALSE,"FCB"}</definedName>
    <definedName name="ADSFA" localSheetId="3" hidden="1">{"inputs raw data",#N/A,TRUE,"INPUT"}</definedName>
    <definedName name="ADSFA" hidden="1">{"inputs raw data",#N/A,TRUE,"INPUT"}</definedName>
    <definedName name="adsfaw" localSheetId="3" hidden="1">{"FCB_ALL",#N/A,FALSE,"FCB";"GREY_ALL",#N/A,FALSE,"GREY"}</definedName>
    <definedName name="adsfaw" hidden="1">{"FCB_ALL",#N/A,FALSE,"FCB";"GREY_ALL",#N/A,FALSE,"GREY"}</definedName>
    <definedName name="adsfca" localSheetId="3" hidden="1">{"FCB_ALL",#N/A,FALSE,"FCB";"GREY_ALL",#N/A,FALSE,"GREY"}</definedName>
    <definedName name="adsfca" hidden="1">{"FCB_ALL",#N/A,FALSE,"FCB";"GREY_ALL",#N/A,FALSE,"GREY"}</definedName>
    <definedName name="adsfeklj" localSheetId="3" hidden="1">{"FCB_ALL",#N/A,FALSE,"FCB"}</definedName>
    <definedName name="adsfeklj" hidden="1">{"FCB_ALL",#N/A,FALSE,"FCB"}</definedName>
    <definedName name="adsfg" localSheetId="3" hidden="1">{"client cfbs",#N/A,FALSE,"Client"}</definedName>
    <definedName name="adsfg" hidden="1">{"client cfbs",#N/A,FALSE,"Client"}</definedName>
    <definedName name="adsfh" localSheetId="3" hidden="1">{"client cfbs",#N/A,FALSE,"Client"}</definedName>
    <definedName name="adsfh" hidden="1">{"client cfbs",#N/A,FALSE,"Client"}</definedName>
    <definedName name="adsfkl" localSheetId="3" hidden="1">{"FCB_ALL",#N/A,FALSE,"FCB";"GREY_ALL",#N/A,FALSE,"GREY"}</definedName>
    <definedName name="adsfkl" hidden="1">{"FCB_ALL",#N/A,FALSE,"FCB";"GREY_ALL",#N/A,FALSE,"GREY"}</definedName>
    <definedName name="adsga" localSheetId="3" hidden="1">{"FCB_ALL",#N/A,FALSE,"FCB"}</definedName>
    <definedName name="adsga" hidden="1">{"FCB_ALL",#N/A,FALSE,"FCB"}</definedName>
    <definedName name="adsgawe" localSheetId="3" hidden="1">{"FCB_ALL",#N/A,FALSE,"FCB"}</definedName>
    <definedName name="adsgawe" hidden="1">{"FCB_ALL",#N/A,FALSE,"FCB"}</definedName>
    <definedName name="ADV_SME">#REF!</definedName>
    <definedName name="adwdlkj" localSheetId="3" hidden="1">{"FCB_ALL",#N/A,FALSE,"FCB"}</definedName>
    <definedName name="adwdlkj" hidden="1">{"FCB_ALL",#N/A,FALSE,"FCB"}</definedName>
    <definedName name="ae" localSheetId="3" hidden="1">{"'Edit'!$A$1:$V$2277"}</definedName>
    <definedName name="ae" hidden="1">{"'Edit'!$A$1:$V$2277"}</definedName>
    <definedName name="AEWEW" localSheetId="3" hidden="1">{"inputs raw data",#N/A,TRUE,"INPUT"}</definedName>
    <definedName name="AEWEW" hidden="1">{"inputs raw data",#N/A,TRUE,"INPUT"}</definedName>
    <definedName name="aewfwe" localSheetId="3" hidden="1">{#N/A,#N/A,FALSE,"Brad_DCFM";#N/A,#N/A,FALSE,"Nick_DCFM";#N/A,#N/A,FALSE,"Mobile_DCFM"}</definedName>
    <definedName name="aewfwe" hidden="1">{#N/A,#N/A,FALSE,"Brad_DCFM";#N/A,#N/A,FALSE,"Nick_DCFM";#N/A,#N/A,FALSE,"Mobile_DCFM"}</definedName>
    <definedName name="af">#REF!</definedName>
    <definedName name="afadasd" localSheetId="3" hidden="1">{"NA Is w Ratios",#N/A,FALSE,"North America";"PF CFlow NA",#N/A,FALSE,"North America";"NA DCF Matrix",#N/A,FALSE,"North America"}</definedName>
    <definedName name="afadasd" hidden="1">{"NA Is w Ratios",#N/A,FALSE,"North America";"PF CFlow NA",#N/A,FALSE,"North America";"NA DCF Matrix",#N/A,FALSE,"North America"}</definedName>
    <definedName name="AFDADSFDAS" localSheetId="3" hidden="1">{#N/A,#N/A,FALSE,"REPORT"}</definedName>
    <definedName name="AFDADSFDAS" hidden="1">{#N/A,#N/A,FALSE,"REPORT"}</definedName>
    <definedName name="Affvendor">#REF!</definedName>
    <definedName name="afge" localSheetId="3" hidden="1">{"FCB_ALL",#N/A,FALSE,"FCB";"GREY_ALL",#N/A,FALSE,"GREY"}</definedName>
    <definedName name="afge" hidden="1">{"FCB_ALL",#N/A,FALSE,"FCB";"GREY_ALL",#N/A,FALSE,"GREY"}</definedName>
    <definedName name="africa" localSheetId="3" hidden="1">{#N/A,#N/A,FALSE,"CNS";#N/A,#N/A,FALSE,"Serz";#N/A,#N/A,FALSE,"Ace"}</definedName>
    <definedName name="africa" hidden="1">{#N/A,#N/A,FALSE,"CNS";#N/A,#N/A,FALSE,"Serz";#N/A,#N/A,FALSE,"Ace"}</definedName>
    <definedName name="agafdhsdh" localSheetId="3" hidden="1">{#N/A,#N/A,FALSE,"REPORT"}</definedName>
    <definedName name="agafdhsdh" hidden="1">{#N/A,#N/A,FALSE,"REPORT"}</definedName>
    <definedName name="agne" localSheetId="3" hidden="1">{"FCB_ALL",#N/A,FALSE,"FCB";"GREY_ALL",#N/A,FALSE,"GREY"}</definedName>
    <definedName name="agne" hidden="1">{"FCB_ALL",#N/A,FALSE,"FCB";"GREY_ALL",#N/A,FALSE,"GREY"}</definedName>
    <definedName name="agng" localSheetId="3" hidden="1">{#N/A,#N/A,FALSE,"Aging Summary";#N/A,#N/A,FALSE,"Ratio Analysis";#N/A,#N/A,FALSE,"Test 120 Day Accts";#N/A,#N/A,FALSE,"Tickmarks"}</definedName>
    <definedName name="agng" hidden="1">{#N/A,#N/A,FALSE,"Aging Summary";#N/A,#N/A,FALSE,"Ratio Analysis";#N/A,#N/A,FALSE,"Test 120 Day Accts";#N/A,#N/A,FALSE,"Tickmarks"}</definedName>
    <definedName name="agsgaghgfj" localSheetId="3" hidden="1">{#N/A,#N/A,FALSE,"Pharm";#N/A,#N/A,FALSE,"WWCM"}</definedName>
    <definedName name="agsgaghgfj" hidden="1">{#N/A,#N/A,FALSE,"Pharm";#N/A,#N/A,FALSE,"WWCM"}</definedName>
    <definedName name="ahge" localSheetId="3" hidden="1">{"FCB_ALL",#N/A,FALSE,"FCB";"GREY_ALL",#N/A,FALSE,"GREY"}</definedName>
    <definedName name="ahge" hidden="1">{"FCB_ALL",#N/A,FALSE,"FCB";"GREY_ALL",#N/A,FALSE,"GREY"}</definedName>
    <definedName name="ai">#REF!</definedName>
    <definedName name="AIS">#REF!</definedName>
    <definedName name="ak">#REF!</definedName>
    <definedName name="al">#REF!</definedName>
    <definedName name="alex" localSheetId="3" hidden="1">{#N/A,#N/A,FALSE,"REPORT"}</definedName>
    <definedName name="alex" hidden="1">{#N/A,#N/A,FALSE,"REPORT"}</definedName>
    <definedName name="alexan" localSheetId="3" hidden="1">{#N/A,#N/A,FALSE,"REPORT"}</definedName>
    <definedName name="alexan" hidden="1">{#N/A,#N/A,FALSE,"REPORT"}</definedName>
    <definedName name="alfredo" localSheetId="3" hidden="1">{#N/A,#N/A,FALSE,"CNS_ADJ";"Balance Consolidado",#N/A,FALSE,"BCEC_CNS";#N/A,#N/A,FALSE,"USGAAP_ADJ"}</definedName>
    <definedName name="alfredo" hidden="1">{#N/A,#N/A,FALSE,"CNS_ADJ";"Balance Consolidado",#N/A,FALSE,"BCEC_CNS";#N/A,#N/A,FALSE,"USGAAP_ADJ"}</definedName>
    <definedName name="all" localSheetId="3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llowance_Rollfwd">#REF!</definedName>
    <definedName name="Allowances">#REF!</definedName>
    <definedName name="AllTables" localSheetId="3">{18}</definedName>
    <definedName name="AllTables">{18}</definedName>
    <definedName name="AllTables1" localSheetId="3">{18}</definedName>
    <definedName name="AllTables1">{18}</definedName>
    <definedName name="Alternate_Amortization_PMO_AppsMaint_LanDeskTop_period">#REF!</definedName>
    <definedName name="Alternate_Client_Asset_Depreciaton_period">#REF!</definedName>
    <definedName name="Alternate_dcinv_depreciation_period">#REF!</definedName>
    <definedName name="Alternate_Depreciation_period">#REF!</definedName>
    <definedName name="Alternate_hwd_depreciation_period">#REF!</definedName>
    <definedName name="Alternate_NonPersStartUp_depreciation_period">#REF!</definedName>
    <definedName name="Alternate_PersStartUp_depreciation_period">#REF!</definedName>
    <definedName name="Alternate_sftw_depreciation_period">#REF!</definedName>
    <definedName name="Alternate_telecom_depreciation_period">#REF!</definedName>
    <definedName name="Americas">#REF!</definedName>
    <definedName name="AmiREC">#REF!</definedName>
    <definedName name="Amivendor">#REF!</definedName>
    <definedName name="amo">#REF!</definedName>
    <definedName name="AmorAcha_Note_Act">#REF!</definedName>
    <definedName name="AmorAcha_Note_Pre">#REF!</definedName>
    <definedName name="AmorCR_Note_Act">#REF!</definedName>
    <definedName name="AmorCR_Note_Pre">#REF!</definedName>
    <definedName name="AmorDev_Note_Act">#REF!</definedName>
    <definedName name="AmorDev_Note_Pre">#REF!</definedName>
    <definedName name="AmorImmo_Note_Act">#REF!</definedName>
    <definedName name="AmorImmo_Note_Pre">#REF!</definedName>
    <definedName name="amort_period">#REF!</definedName>
    <definedName name="AmortPer">#REF!</definedName>
    <definedName name="AmortRate">#REF!</definedName>
    <definedName name="AMQuotes">#REF!</definedName>
    <definedName name="ana" localSheetId="3" hidden="1">{#N/A,#N/A,FALSE,"Sheet1";#N/A,#N/A,FALSE,"Sheet2";#N/A,#N/A,FALSE,"Sheet3";#N/A,#N/A,FALSE,"Sheet4";#N/A,#N/A,FALSE,"Sheet5";#N/A,#N/A,FALSE,"Sheet6"}</definedName>
    <definedName name="ana" hidden="1">{#N/A,#N/A,FALSE,"Sheet1";#N/A,#N/A,FALSE,"Sheet2";#N/A,#N/A,FALSE,"Sheet3";#N/A,#N/A,FALSE,"Sheet4";#N/A,#N/A,FALSE,"Sheet5";#N/A,#N/A,FALSE,"Sheet6"}</definedName>
    <definedName name="analyst" localSheetId="3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drew___Data">#REF!</definedName>
    <definedName name="andy" localSheetId="3" hidden="1">{#N/A,#N/A,FALSE,"REPORT"}</definedName>
    <definedName name="andy" hidden="1">{#N/A,#N/A,FALSE,"REPORT"}</definedName>
    <definedName name="anna" localSheetId="3" hidden="1">{"standalone1",#N/A,FALSE,"DCFBase";"standalone2",#N/A,FALSE,"DCFBase"}</definedName>
    <definedName name="anna" hidden="1">{"standalone1",#N/A,FALSE,"DCFBase";"standalone2",#N/A,FALSE,"DCFBase"}</definedName>
    <definedName name="anna2" localSheetId="3" hidden="1">{#N/A,#N/A,FALSE,"A&amp;E";#N/A,#N/A,FALSE,"HighTop";#N/A,#N/A,FALSE,"JG";#N/A,#N/A,FALSE,"RI";#N/A,#N/A,FALSE,"woHT";#N/A,#N/A,FALSE,"woHT&amp;JG"}</definedName>
    <definedName name="anna2" hidden="1">{#N/A,#N/A,FALSE,"A&amp;E";#N/A,#N/A,FALSE,"HighTop";#N/A,#N/A,FALSE,"JG";#N/A,#N/A,FALSE,"RI";#N/A,#N/A,FALSE,"woHT";#N/A,#N/A,FALSE,"woHT&amp;JG"}</definedName>
    <definedName name="Annotate_Area">#REF!</definedName>
    <definedName name="AnnotateNote1">#REF!</definedName>
    <definedName name="AnnotateStart">#REF!</definedName>
    <definedName name="annualforc" localSheetId="3" hidden="1">{#N/A,#N/A,FALSE,"FAB VENDORS";"BUD SUM",#N/A,FALSE,"BUD SUM WO TEX"}</definedName>
    <definedName name="annualforc" hidden="1">{#N/A,#N/A,FALSE,"FAB VENDORS";"BUD SUM",#N/A,FALSE,"BUD SUM WO TEX"}</definedName>
    <definedName name="anscount" hidden="1">1</definedName>
    <definedName name="anything" localSheetId="3" hidden="1">{#N/A,#N/A,FALSE,"Output";#N/A,#N/A,FALSE,"Cover Sheet";#N/A,#N/A,FALSE,"Current Mkt. Projections"}</definedName>
    <definedName name="anything" hidden="1">{#N/A,#N/A,FALSE,"Output";#N/A,#N/A,FALSE,"Cover Sheet";#N/A,#N/A,FALSE,"Current Mkt. Projections"}</definedName>
    <definedName name="apac">#REF!</definedName>
    <definedName name="APDetail">#REF!</definedName>
    <definedName name="Appendix">#REF!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doutput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localSheetId="3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3" hidden="1">{"inputs raw data",#N/A,TRUE,"INPUT"}</definedName>
    <definedName name="arg" hidden="1">{"inputs raw data",#N/A,TRUE,"INPUT"}</definedName>
    <definedName name="AS" localSheetId="3" hidden="1">{#N/A,#N/A,FALSE,"Pharm";#N/A,#N/A,FALSE,"WWCM"}</definedName>
    <definedName name="AS" hidden="1">{#N/A,#N/A,FALSE,"Pharm";#N/A,#N/A,FALSE,"WWCM"}</definedName>
    <definedName name="AS2DocOpenMode" hidden="1">"AS2DocumentEdit"</definedName>
    <definedName name="AS2HasNoAutoHeaderFooter" hidden="1">" "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3" hidden="1">{"FCB_ALL",#N/A,FALSE,"FCB"}</definedName>
    <definedName name="asa" hidden="1">{"FCB_ALL",#N/A,FALSE,"FCB"}</definedName>
    <definedName name="asas" localSheetId="3" hidden="1">{#N/A,#N/A,FALSE,"Pharm";#N/A,#N/A,FALSE,"WWCM"}</definedName>
    <definedName name="asas" hidden="1">{#N/A,#N/A,FALSE,"Pharm";#N/A,#N/A,FALSE,"WWCM"}</definedName>
    <definedName name="asasasasas" localSheetId="3" hidden="1">{"PR1","pr1",TRUE,"Sch PR-1"}</definedName>
    <definedName name="asasasasas" hidden="1">{"PR1","pr1",TRUE,"Sch PR-1"}</definedName>
    <definedName name="asasd12" hidden="1">#REF!</definedName>
    <definedName name="asd" localSheetId="3" hidden="1">{#N/A,#N/A,FALSE,"Pharm";#N/A,#N/A,FALSE,"WWCM"}</definedName>
    <definedName name="asd" hidden="1">{#N/A,#N/A,FALSE,"Pharm";#N/A,#N/A,FALSE,"WWCM"}</definedName>
    <definedName name="asdasd" hidden="1">#REF!</definedName>
    <definedName name="asdasda" hidden="1">#REF!</definedName>
    <definedName name="asdasdfasdf" localSheetId="3" hidden="1">{"NA Top",#N/A,FALSE,"NA-ULV";"NA Bottom",#N/A,FALSE,"NA-ULV"}</definedName>
    <definedName name="asdasdfasdf" hidden="1">{"NA Top",#N/A,FALSE,"NA-ULV";"NA Bottom",#N/A,FALSE,"NA-ULV"}</definedName>
    <definedName name="asdasdxczvv" localSheetId="3" hidden="1">{"NA Top",#N/A,FALSE,"NA Model";"NA Bottom",#N/A,FALSE,"NA Model"}</definedName>
    <definedName name="asdasdxczvv" hidden="1">{"NA Top",#N/A,FALSE,"NA Model";"NA Bottom",#N/A,FALSE,"NA Model"}</definedName>
    <definedName name="asdaw" localSheetId="3" hidden="1">{"FCB_ALL",#N/A,FALSE,"FCB"}</definedName>
    <definedName name="asdaw" hidden="1">{"FCB_ALL",#N/A,FALSE,"FCB"}</definedName>
    <definedName name="asdf" localSheetId="3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fdsaasdf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asdfafdsaasdf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asdfag" localSheetId="3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as" localSheetId="3" hidden="1">{#N/A,#N/A,FALSE,"Sheet1";#N/A,#N/A,FALSE,"Sheet2";#N/A,#N/A,FALSE,"Sheet3";#N/A,#N/A,FALSE,"Sheet4";#N/A,#N/A,FALSE,"Sheet5";#N/A,#N/A,FALSE,"Sheet6"}</definedName>
    <definedName name="asdfasdfas" hidden="1">{#N/A,#N/A,FALSE,"Sheet1";#N/A,#N/A,FALSE,"Sheet2";#N/A,#N/A,FALSE,"Sheet3";#N/A,#N/A,FALSE,"Sheet4";#N/A,#N/A,FALSE,"Sheet5";#N/A,#N/A,FALSE,"Sheet6"}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" hidden="1">#REF!</definedName>
    <definedName name="asdfasdfasfasd" localSheetId="3" hidden="1">{"Far East Top",#N/A,FALSE,"FE Model";"Far East Mid",#N/A,FALSE,"FE Model";"Far East Base",#N/A,FALSE,"FE Model"}</definedName>
    <definedName name="asdfasdfasfasd" hidden="1">{"Far East Top",#N/A,FALSE,"FE Model";"Far East Mid",#N/A,FALSE,"FE Model";"Far East Base",#N/A,FALSE,"FE Model"}</definedName>
    <definedName name="asdfast" localSheetId="3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ast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sfdc" localSheetId="3" hidden="1">{"Far East Top",#N/A,FALSE,"FE Model";"Far East Bottom",#N/A,FALSE,"FE Model"}</definedName>
    <definedName name="asdfdsfdc" hidden="1">{"Far East Top",#N/A,FALSE,"FE Model";"Far East Bottom",#N/A,FALSE,"FE Model"}</definedName>
    <definedName name="asdfe" localSheetId="3" hidden="1">{"FCB_ALL",#N/A,FALSE,"FCB"}</definedName>
    <definedName name="asdfe" hidden="1">{"FCB_ALL",#N/A,FALSE,"FCB"}</definedName>
    <definedName name="asdfg" localSheetId="3" hidden="1">{#N/A,#N/A,FALSE,"Pharm";#N/A,#N/A,FALSE,"WWCM"}</definedName>
    <definedName name="asdfg" hidden="1">{#N/A,#N/A,FALSE,"Pharm";#N/A,#N/A,FALSE,"WWCM"}</definedName>
    <definedName name="asdfn" localSheetId="3" hidden="1">{"FCB_ALL",#N/A,FALSE,"FCB";"GREY_ALL",#N/A,FALSE,"GREY"}</definedName>
    <definedName name="asdfn" hidden="1">{"FCB_ALL",#N/A,FALSE,"FCB";"GREY_ALL",#N/A,FALSE,"GREY"}</definedName>
    <definedName name="asdfrew" hidden="1">#REF!</definedName>
    <definedName name="asdfSDF" localSheetId="3" hidden="1">{#N/A,#N/A,FALSE,"Sheet1";#N/A,#N/A,FALSE,"Sheet2";#N/A,#N/A,FALSE,"Sheet3";#N/A,#N/A,FALSE,"Sheet4";#N/A,#N/A,FALSE,"Sheet5";#N/A,#N/A,FALSE,"Sheet6"}</definedName>
    <definedName name="asdfSDF" hidden="1">{#N/A,#N/A,FALSE,"Sheet1";#N/A,#N/A,FALSE,"Sheet2";#N/A,#N/A,FALSE,"Sheet3";#N/A,#N/A,FALSE,"Sheet4";#N/A,#N/A,FALSE,"Sheet5";#N/A,#N/A,FALSE,"Sheet6"}</definedName>
    <definedName name="asdgaew" localSheetId="3" hidden="1">{"FCB_ALL",#N/A,FALSE,"FCB"}</definedName>
    <definedName name="asdgaew" hidden="1">{"FCB_ALL",#N/A,FALSE,"FCB"}</definedName>
    <definedName name="asdgahdfhth" localSheetId="3" hidden="1">{#N/A,#N/A,FALSE,"REPORT"}</definedName>
    <definedName name="asdgahdfhth" hidden="1">{#N/A,#N/A,FALSE,"REPORT"}</definedName>
    <definedName name="asdgayery" localSheetId="3" hidden="1">{#N/A,#N/A,FALSE,"Pharm";#N/A,#N/A,FALSE,"WWCM"}</definedName>
    <definedName name="asdgayery" hidden="1">{#N/A,#N/A,FALSE,"Pharm";#N/A,#N/A,FALSE,"WWCM"}</definedName>
    <definedName name="asdgfdytyet" localSheetId="3" hidden="1">{#N/A,#N/A,FALSE,"REPORT"}</definedName>
    <definedName name="asdgfdytyet" hidden="1">{#N/A,#N/A,FALSE,"REPORT"}</definedName>
    <definedName name="asdgtryukuio" localSheetId="3" hidden="1">{#N/A,#N/A,FALSE,"REPORT"}</definedName>
    <definedName name="asdgtryukuio" hidden="1">{#N/A,#N/A,FALSE,"REPORT"}</definedName>
    <definedName name="asdh" localSheetId="3" hidden="1">{"client cfbs",#N/A,FALSE,"Client"}</definedName>
    <definedName name="asdh" hidden="1">{"client cfbs",#N/A,FALSE,"Client"}</definedName>
    <definedName name="asdjgkl" localSheetId="3" hidden="1">{#N/A,#N/A,FALSE,"Pharm";#N/A,#N/A,FALSE,"WWCM"}</definedName>
    <definedName name="asdjgkl" hidden="1">{#N/A,#N/A,FALSE,"Pharm";#N/A,#N/A,FALSE,"WWCM"}</definedName>
    <definedName name="asdr5" localSheetId="3" hidden="1">{"FCB_ALL",#N/A,FALSE,"FCB";"GREY_ALL",#N/A,FALSE,"GREY"}</definedName>
    <definedName name="asdr5" hidden="1">{"FCB_ALL",#N/A,FALSE,"FCB";"GREY_ALL",#N/A,FALSE,"GREY"}</definedName>
    <definedName name="asfas" localSheetId="3" hidden="1">{0,0,"",0}</definedName>
    <definedName name="asfas" hidden="1">{0,0,"",0}</definedName>
    <definedName name="asfasdf" localSheetId="3" hidden="1">{"NA Is w Ratios",#N/A,FALSE,"North America";"PF CFlow NA",#N/A,FALSE,"North America";"NA DCF Matrix",#N/A,FALSE,"North America"}</definedName>
    <definedName name="asfasdf" hidden="1">{"NA Is w Ratios",#N/A,FALSE,"North America";"PF CFlow NA",#N/A,FALSE,"North America";"NA DCF Matrix",#N/A,FALSE,"North America"}</definedName>
    <definedName name="asfd" localSheetId="3" hidden="1">{"FCB_ALL",#N/A,FALSE,"FCB"}</definedName>
    <definedName name="asfd" hidden="1">{"FCB_ALL",#N/A,FALSE,"FCB"}</definedName>
    <definedName name="asffghujyki" localSheetId="3" hidden="1">{#N/A,#N/A,FALSE,"Pharm";#N/A,#N/A,FALSE,"WWCM"}</definedName>
    <definedName name="asffghujyki" hidden="1">{#N/A,#N/A,FALSE,"Pharm";#N/A,#N/A,FALSE,"WWCM"}</definedName>
    <definedName name="asfsdaf" localSheetId="3" hidden="1">{"IS w Ratios",#N/A,FALSE,"Europe";"PF CF Europe",#N/A,FALSE,"Europe";"DCF Eur Matrix",#N/A,FALSE,"Europe"}</definedName>
    <definedName name="asfsdaf" hidden="1">{"IS w Ratios",#N/A,FALSE,"Europe";"PF CF Europe",#N/A,FALSE,"Europe";"DCF Eur Matrix",#N/A,FALSE,"Europe"}</definedName>
    <definedName name="asngfat" localSheetId="3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" localSheetId="3" hidden="1">{"'Edit'!$A$1:$V$2277"}</definedName>
    <definedName name="ass" hidden="1">{"'Edit'!$A$1:$V$2277"}</definedName>
    <definedName name="ass.all" localSheetId="3" hidden="1">{#N/A,#N/A,FALSE,"cpt"}</definedName>
    <definedName name="ass.all" hidden="1">{#N/A,#N/A,FALSE,"cpt"}</definedName>
    <definedName name="ASSA" localSheetId="3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sasdafsda" localSheetId="3" hidden="1">{"PR1","pr1",TRUE,"Sch PR-1"}</definedName>
    <definedName name="assasdafsda" hidden="1">{"PR1","pr1",TRUE,"Sch PR-1"}</definedName>
    <definedName name="asset">#REF!</definedName>
    <definedName name="Asset_purchased">#REF!</definedName>
    <definedName name="ASSS" localSheetId="3" hidden="1">{"FCB_ALL",#N/A,FALSE,"FCB"}</definedName>
    <definedName name="ASSS" hidden="1">{"FCB_ALL",#N/A,FALSE,"FCB"}</definedName>
    <definedName name="assssss" localSheetId="3" hidden="1">{"FCB_ALL",#N/A,FALSE,"FCB"}</definedName>
    <definedName name="assssss" hidden="1">{"FCB_ALL",#N/A,FALSE,"FCB"}</definedName>
    <definedName name="assum" localSheetId="3" hidden="1">{"'Sheet1'!$A$5:$G$42"}</definedName>
    <definedName name="assum" hidden="1">{"'Sheet1'!$A$5:$G$42"}</definedName>
    <definedName name="Assumptios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tt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RA">#REF!</definedName>
    <definedName name="AutPos_Note_Act">#REF!</definedName>
    <definedName name="AutPos_Note_Pre">#REF!</definedName>
    <definedName name="AutPost_Note_act">#REF!</definedName>
    <definedName name="AutPost_note_Amort">#REF!</definedName>
    <definedName name="AutPost_note_cout">#REF!</definedName>
    <definedName name="AutPost_note_pre">#REF!</definedName>
    <definedName name="Average_labour_cost__per_year__loaded">#REF!</definedName>
    <definedName name="AvgGBperTape">#REF!</definedName>
    <definedName name="AvgPrice">#REF!</definedName>
    <definedName name="AvgYTDXR">#REF!</definedName>
    <definedName name="AVP" localSheetId="3" hidden="1">{"JG FE Top",#N/A,FALSE,"JG FE $";"JG FE Bottom",#N/A,FALSE,"JG FE $"}</definedName>
    <definedName name="AVP" hidden="1">{"JG FE Top",#N/A,FALSE,"JG FE $";"JG FE Bottom",#N/A,FALSE,"JG FE $"}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qaasdf" localSheetId="3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se" hidden="1">#REF!</definedName>
    <definedName name="AX" localSheetId="3" hidden="1">{#N/A,#N/A,FALSE,"Pharm";#N/A,#N/A,FALSE,"WWCM"}</definedName>
    <definedName name="AX" hidden="1">{#N/A,#N/A,FALSE,"Pharm";#N/A,#N/A,FALSE,"WWCM"}</definedName>
    <definedName name="AxesFormat">#N/A</definedName>
    <definedName name="ayman" localSheetId="3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3" hidden="1">{#N/A,#N/A,FALSE,"Pharm";#N/A,#N/A,FALSE,"WWCM"}</definedName>
    <definedName name="ayman1" hidden="1">{#N/A,#N/A,FALSE,"Pharm";#N/A,#N/A,FALSE,"WWCM"}</definedName>
    <definedName name="ayman2" localSheetId="3" hidden="1">{#N/A,#N/A,FALSE,"Pharm";#N/A,#N/A,FALSE,"WWCM"}</definedName>
    <definedName name="ayman2" hidden="1">{#N/A,#N/A,FALSE,"Pharm";#N/A,#N/A,FALSE,"WWCM"}</definedName>
    <definedName name="ayman7" localSheetId="3" hidden="1">{#N/A,#N/A,FALSE,"REPORT"}</definedName>
    <definedName name="ayman7" hidden="1">{#N/A,#N/A,FALSE,"REPORT"}</definedName>
    <definedName name="ayman8" localSheetId="3" hidden="1">{#N/A,#N/A,FALSE,"REPORT"}</definedName>
    <definedName name="ayman8" hidden="1">{#N/A,#N/A,FALSE,"REPORT"}</definedName>
    <definedName name="az" localSheetId="3" hidden="1">{#N/A,#N/A,FALSE,"Pharm";#N/A,#N/A,FALSE,"WWCM"}</definedName>
    <definedName name="az" hidden="1">{#N/A,#N/A,FALSE,"Pharm";#N/A,#N/A,FALSE,"WWCM"}</definedName>
    <definedName name="azeazr" localSheetId="3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rety" localSheetId="3" hidden="1">{#N/A,#N/A,FALSE,"Pharm";#N/A,#N/A,FALSE,"WWCM"}</definedName>
    <definedName name="azerety" hidden="1">{#N/A,#N/A,FALSE,"Pharm";#N/A,#N/A,FALSE,"WWCM"}</definedName>
    <definedName name="B">#REF!</definedName>
    <definedName name="BA">#REF!</definedName>
    <definedName name="Backlog">#REF!</definedName>
    <definedName name="BadLink" hidden="1">#REF!</definedName>
    <definedName name="BALANCEQ1">#REF!</definedName>
    <definedName name="BALANCEQ2">#REF!</definedName>
    <definedName name="BALANCEQ3">#REF!</definedName>
    <definedName name="BALANCEQ4">#REF!</definedName>
    <definedName name="BalanceSheetDates">#REF!</definedName>
    <definedName name="Bank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Debt">#REF!</definedName>
    <definedName name="bankdebttest">#REF!</definedName>
    <definedName name="barra" localSheetId="3" hidden="1">{"mgmt forecast",#N/A,FALSE,"Mgmt Forecast";"dcf table",#N/A,FALSE,"Mgmt Forecast";"sensitivity",#N/A,FALSE,"Mgmt Forecast";"table inputs",#N/A,FALSE,"Mgmt Forecast";"calculations",#N/A,FALSE,"Mgmt Forecast"}</definedName>
    <definedName name="barra" hidden="1">{"mgmt forecast",#N/A,FALSE,"Mgmt Forecast";"dcf table",#N/A,FALSE,"Mgmt Forecast";"sensitivity",#N/A,FALSE,"Mgmt Forecast";"table inputs",#N/A,FALSE,"Mgmt Forecast";"calculations",#N/A,FALSE,"Mgmt Forecast"}</definedName>
    <definedName name="barrabeta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barrabeta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barrera" localSheetId="3" hidden="1">{#N/A,#N/A,FALSE,"RESUMEN ECON.";#N/A,#N/A,FALSE,"Costos de R.H.";#N/A,#N/A,FALSE,"COSTO HW";#N/A,#N/A,FALSE,"CUADROS";#N/A,#N/A,FALSE,"SCADA´s";#N/A,#N/A,FALSE,"PRECIOS EQUIPOS"}</definedName>
    <definedName name="barrera" hidden="1">{#N/A,#N/A,FALSE,"RESUMEN ECON.";#N/A,#N/A,FALSE,"Costos de R.H.";#N/A,#N/A,FALSE,"COSTO HW";#N/A,#N/A,FALSE,"CUADROS";#N/A,#N/A,FALSE,"SCADA´s";#N/A,#N/A,FALSE,"PRECIOS EQUIPOS"}</definedName>
    <definedName name="Base_Year">#REF!</definedName>
    <definedName name="BasicSalaries">#REF!</definedName>
    <definedName name="bb" localSheetId="3" hidden="1">{#N/A,#N/A,FALSE,"Assessment";#N/A,#N/A,FALSE,"Staffing";#N/A,#N/A,FALSE,"Hires";#N/A,#N/A,FALSE,"Assumptions"}</definedName>
    <definedName name="bb" hidden="1">{#N/A,#N/A,FALSE,"Assessment";#N/A,#N/A,FALSE,"Staffing";#N/A,#N/A,FALSE,"Hires";#N/A,#N/A,FALSE,"Assumptions"}</definedName>
    <definedName name="bbb" localSheetId="3" hidden="1">{#N/A,#N/A,FALSE,"Pharm";#N/A,#N/A,FALSE,"WWCM"}</definedName>
    <definedName name="bbb" hidden="1">{#N/A,#N/A,FALSE,"Pharm";#N/A,#N/A,FALSE,"WWCM"}</definedName>
    <definedName name="bbbb" localSheetId="3" hidden="1">{#N/A,#N/A,FALSE,"REPORT"}</definedName>
    <definedName name="bbbb" hidden="1">{#N/A,#N/A,FALSE,"REPORT"}</definedName>
    <definedName name="bbbbb" localSheetId="3" hidden="1">{#N/A,#N/A,FALSE,"Pharm";#N/A,#N/A,FALSE,"WWCM"}</definedName>
    <definedName name="bbbbb" hidden="1">{#N/A,#N/A,FALSE,"Pharm";#N/A,#N/A,FALSE,"WWCM"}</definedName>
    <definedName name="BBBBBB" localSheetId="3" hidden="1">{#N/A,#N/A,FALSE,"REPORT"}</definedName>
    <definedName name="BBBBBB" hidden="1">{#N/A,#N/A,FALSE,"REPORT"}</definedName>
    <definedName name="BBBBBBBBB" localSheetId="3" hidden="1">{#N/A,#N/A,FALSE,"REPORT"}</definedName>
    <definedName name="BBBBBBBBB" hidden="1">{#N/A,#N/A,FALSE,"REPORT"}</definedName>
    <definedName name="bbbbbbbbbbbbb" localSheetId="3" hidden="1">{#N/A,#N/A,FALSE,"Pharm";#N/A,#N/A,FALSE,"WWCM"}</definedName>
    <definedName name="bbbbbbbbbbbbb" hidden="1">{#N/A,#N/A,FALSE,"Pharm";#N/A,#N/A,FALSE,"WWCM"}</definedName>
    <definedName name="bCorr">#REF!</definedName>
    <definedName name="BDC_one">#REF!</definedName>
    <definedName name="BDC_three">#REF!</definedName>
    <definedName name="BDC_two">#REF!</definedName>
    <definedName name="Bea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localSheetId="3" hidden="1">{"summary",#N/A,FALSE,"3 yr average";"comps",#N/A,FALSE,"3 yr average"}</definedName>
    <definedName name="Bebefits" hidden="1">{"summary",#N/A,FALSE,"3 yr average";"comps",#N/A,FALSE,"3 yr average"}</definedName>
    <definedName name="Beg_Bal">#REF!</definedName>
    <definedName name="BeginDate">#REF!</definedName>
    <definedName name="BeginDate2">#REF!</definedName>
    <definedName name="BeginDate3">#REF!</definedName>
    <definedName name="BeginDate4">#REF!</definedName>
    <definedName name="BEx0041TJIEMHEJGPLP01VA8BRNB" hidden="1">#REF!</definedName>
    <definedName name="BEx00478POHG58FA1WX3HNURXVH1" hidden="1">#REF!</definedName>
    <definedName name="BEx00E3BDYK5F5BI07HA89YOZWRG" hidden="1">#REF!</definedName>
    <definedName name="BEx00FVWU8OBTKM8EQWQKLD5A4X4" localSheetId="3" hidden="1">Query #REF!</definedName>
    <definedName name="BEx00FVWU8OBTKM8EQWQKLD5A4X4" hidden="1">Query #REF!</definedName>
    <definedName name="BEx00NJ4QE4QQ42N9CU7SFS5L1NW" hidden="1">#REF!</definedName>
    <definedName name="BEx00WYVEDSDIPLSP0MFNHVSRPAG" localSheetId="3" hidden="1">QKPI #REF!</definedName>
    <definedName name="BEx00WYVEDSDIPLSP0MFNHVSRPAG" hidden="1">QKPI #REF!</definedName>
    <definedName name="BEx00X4CFZ4SDXZ75V1IS8HMF4UM" hidden="1">#REF!</definedName>
    <definedName name="BEx016EUWZ6DJ5ZEC0APAF9V38FU" hidden="1">#REF!</definedName>
    <definedName name="BEx019ERETZPCBQX94G7ILJFG9PD" hidden="1">#REF!</definedName>
    <definedName name="BEx01VAEESOAP7771LIXNU0RELSR" hidden="1">#REF!</definedName>
    <definedName name="BEx020TY0J1GC02O1XSK949IK8XA" localSheetId="3" hidden="1">QCheck #REF!</definedName>
    <definedName name="BEx020TY0J1GC02O1XSK949IK8XA" hidden="1">QCheck #REF!</definedName>
    <definedName name="BEx029IU6PVMEG9P8ZPFT7GU8PFT" hidden="1">#REF!</definedName>
    <definedName name="BEx02B0S73ZVJYDENHTX3KDLDAPD" hidden="1">#REF!</definedName>
    <definedName name="BEx02TLQ4ICCF3LSRICTGFCJAFKH" hidden="1">#REF!</definedName>
    <definedName name="BEx1FVD8GRPRJPZK2S3LR2KHSYUW" hidden="1">#REF!</definedName>
    <definedName name="BEx1GB93J7NLTHH336U6X0ZQJMXO" hidden="1">#REF!</definedName>
    <definedName name="BEx1GCG7LLXRRUFTEW6UE6Y8BOHQ" hidden="1">#REF!</definedName>
    <definedName name="BEx1GGY2J80C804P7TVEDZI5JI8W" localSheetId="3" hidden="1">QKPI #REF!</definedName>
    <definedName name="BEx1GGY2J80C804P7TVEDZI5JI8W" hidden="1">QKPI #REF!</definedName>
    <definedName name="BEx1GMXWGFMHRH27GF85IN5NZO5D" hidden="1">#REF!</definedName>
    <definedName name="BEx1GQU5NPV1MXPCL7XYLL06DKT1" localSheetId="3" hidden="1">Query #REF!</definedName>
    <definedName name="BEx1GQU5NPV1MXPCL7XYLL06DKT1" hidden="1">Query #REF!</definedName>
    <definedName name="BEx1GV177E2691P0TA46C78FNVVN" localSheetId="3" hidden="1">QKPI #REF!</definedName>
    <definedName name="BEx1GV177E2691P0TA46C78FNVVN" hidden="1">QKPI #REF!</definedName>
    <definedName name="BEx1GVC02RMCCYJTRV6QOFC6ZYMQ" hidden="1">#REF!</definedName>
    <definedName name="BEx1GZ89YDJY9L9YVNXRVC6X6W1M" hidden="1">#REF!</definedName>
    <definedName name="BEx1H10ZKP6NT292R1QHIPMK1S6M" hidden="1">#REF!</definedName>
    <definedName name="BEx1HR8Z8Q7B0MRCYZQLSHYCYKH7" hidden="1">#REF!</definedName>
    <definedName name="BEx1HTSNQQU1FHJ8X163N78DIZF2" hidden="1">#REF!</definedName>
    <definedName name="BEx1HY55HA91QN0XPXVER5KIT883" hidden="1">#REF!</definedName>
    <definedName name="BEx1IC8AFWO5KQSUM1L2MVOHX07M" hidden="1">#REF!</definedName>
    <definedName name="BEx1IF85J72PPKW3PJ3Y0SUXVAJP" hidden="1">#REF!</definedName>
    <definedName name="BEx1IJKK7612SWIRS7TBTN9LR63X" hidden="1">#REF!</definedName>
    <definedName name="BEx1IKMDIM0VAD8QMOQFCK7PQ1PB" hidden="1">#REF!</definedName>
    <definedName name="BEx1IM9MPYJIU2V15873SMKZDRRC" hidden="1">#REF!</definedName>
    <definedName name="BEx1ITGMK4ZQVQMOS5IRL0U8PZM3" hidden="1">#REF!</definedName>
    <definedName name="BEx1JEL71KGZWDVLAMVRWDEQRWTM" hidden="1">#REF!</definedName>
    <definedName name="BEx1JGOQ0Z81QEQO034IAPQAS317" localSheetId="3" hidden="1">Query #REF!</definedName>
    <definedName name="BEx1JGOQ0Z81QEQO034IAPQAS317" hidden="1">Query #REF!</definedName>
    <definedName name="BEx1JHQKYGJYCIOEMZDVZA8HRTQB" localSheetId="3" hidden="1">QKPI #REF!</definedName>
    <definedName name="BEx1JHQKYGJYCIOEMZDVZA8HRTQB" hidden="1">QKPI #REF!</definedName>
    <definedName name="BEx1JLC1LGLW64GXO6YNJBM5PQNH" hidden="1">#REF!</definedName>
    <definedName name="BEx1JLXNC04WVCU9BUECO96LADPK" hidden="1">#REF!</definedName>
    <definedName name="BEx1JU0Y95B34RARZJBTG2KHY8IH" hidden="1">#REF!</definedName>
    <definedName name="BEx1JUH1D4K64G15G9LEDMKDY9DP" hidden="1">#REF!</definedName>
    <definedName name="BEx1JZ4DEOG9K1SJADE1442EC6A9" hidden="1">#REF!</definedName>
    <definedName name="BEx1JZF5NFSZAQDIZLKQEPN1VPN4" localSheetId="3" hidden="1">DP #REF!</definedName>
    <definedName name="BEx1JZF5NFSZAQDIZLKQEPN1VPN4" hidden="1">DP #REF!</definedName>
    <definedName name="BEx1K9LUSM5AX3WLSQITPDB3QP0G" hidden="1">#REF!</definedName>
    <definedName name="BEx1KAYHWQ0PSFHM8T96ZF0D06XG" hidden="1">#REF!</definedName>
    <definedName name="BEx1L4121S5EJ6QYPXX62QHHVBEE" hidden="1">#REF!</definedName>
    <definedName name="BEx1L9F9RDRX5TJWZ0O5EOZVL6RO" hidden="1">#REF!</definedName>
    <definedName name="BEx1LCPZ8VT5AIRVZVSGAXQQENK2" hidden="1">#REF!</definedName>
    <definedName name="BEx1LL43PAWVLG0XHKW2H4OTQJ3U" hidden="1">#REF!</definedName>
    <definedName name="BEx1LLEW2YY3KK5ZVUHFG6C9Y3SY" hidden="1">#REF!</definedName>
    <definedName name="BEx1M0ZX5PJWIUCMSQKU1I99LCS0" hidden="1">#REF!</definedName>
    <definedName name="BEx1M6U9WF4YQFV5PM8IJ5LKYZHN" hidden="1">#REF!</definedName>
    <definedName name="BEx1MFZ89AXIEJMZIONC2JHREO52" hidden="1">#REF!</definedName>
    <definedName name="BEx1MMFBSLRI5K1YBIN8AGDWJQHU" hidden="1">#REF!</definedName>
    <definedName name="BEx1MX7QUSFW3EW6SJSZAJ7SMS7Y" hidden="1">#REF!</definedName>
    <definedName name="BEx1N0IFWI3LCMPRZ403FFN8N8TM" hidden="1">#REF!</definedName>
    <definedName name="BEx1N19BAB3RMFU0H3Z9Q2OI7ZDD" hidden="1">#REF!</definedName>
    <definedName name="BEx1N1UVMHU63856414UVITMYPO0" hidden="1">#REF!</definedName>
    <definedName name="BEx1N37JCKWC1ED1VMIENBARZD85" localSheetId="3" hidden="1">Query #REF!</definedName>
    <definedName name="BEx1N37JCKWC1ED1VMIENBARZD85" hidden="1">Query #REF!</definedName>
    <definedName name="BEx1N8G9SOXYJEKB7WJ7P4T8W5NA" hidden="1">#REF!</definedName>
    <definedName name="BEx1NJ8PE2Z47B6AFQF45TUN7DQW" hidden="1">#REF!</definedName>
    <definedName name="BEx1NKW4FFG2MQQRDH3Y5O6QPD0B" hidden="1">#REF!</definedName>
    <definedName name="BEx1O12MBCTZ6A9733G7HQB88HYM" hidden="1">#REF!</definedName>
    <definedName name="BEx1O3RQ4G6QJNTCXNSNDM10UJ97" localSheetId="3" hidden="1">Query #REF!</definedName>
    <definedName name="BEx1O3RQ4G6QJNTCXNSNDM10UJ97" hidden="1">Query #REF!</definedName>
    <definedName name="BEx1OGYFMN3ZD1V0UXSXMCVQU99C" hidden="1">#REF!</definedName>
    <definedName name="BEx1OMHYTV5FA3BV0PO752OAQMW2" hidden="1">#REF!</definedName>
    <definedName name="BEx1OQP72OQPQQGPZJCPC1OUGFH1" localSheetId="3" hidden="1">Query #REF!</definedName>
    <definedName name="BEx1OQP72OQPQQGPZJCPC1OUGFH1" hidden="1">Query #REF!</definedName>
    <definedName name="BEx1OWZSA3DO1NHIAW4VWM56KKWP" hidden="1">#REF!</definedName>
    <definedName name="BEx1OXVZ0EG3XIQB5TKVHB04ALPT" hidden="1">#REF!</definedName>
    <definedName name="BEx1P6L237KBACJZMBUPBULIQ4OB" hidden="1">#REF!</definedName>
    <definedName name="BEx1PDMII0SFL1UDGK8I60UQ4487" localSheetId="3" hidden="1">QKPI #REF!</definedName>
    <definedName name="BEx1PDMII0SFL1UDGK8I60UQ4487" hidden="1">QKPI #REF!</definedName>
    <definedName name="BEx1PGMEQWZKAGCU8SZIOCVUN7MT" hidden="1">#REF!</definedName>
    <definedName name="BEx1PIF57YR29OL6JJVQVOMJ0ZRX" hidden="1">#REF!</definedName>
    <definedName name="BEx1PIPXTQOB84ENKYSFTA9RISLD" hidden="1">#REF!</definedName>
    <definedName name="BEx1PK7WQCQWONAIKSXKONNAESZ6" hidden="1">#REF!</definedName>
    <definedName name="BEx1Q1G6YQDTCBQN2LUNMGIJGVVS" hidden="1">#REF!</definedName>
    <definedName name="BEx1Q4WDKDYB0IMZOJNXTF16R90V" hidden="1">#REF!</definedName>
    <definedName name="BEx1Q5CHOUOLOP46D7A3VQFF7UG3" hidden="1">#REF!</definedName>
    <definedName name="BEx1QC8ODMJ2Z82UN5LW393P4A0T" hidden="1">#REF!</definedName>
    <definedName name="BEx1QE1DVGVDVMWMMT6MPY3Q8XBA" localSheetId="3" hidden="1">Query #REF!</definedName>
    <definedName name="BEx1QE1DVGVDVMWMMT6MPY3Q8XBA" hidden="1">Query #REF!</definedName>
    <definedName name="BEx1QFJC6YGGCTR05L4QJ1XY55AQ" hidden="1">#REF!</definedName>
    <definedName name="BEx1R1462SLKIVMCH5NIRFMJ4LCW" hidden="1">#REF!</definedName>
    <definedName name="BEx1RFCMERU5B8LUNMT7W7OEBS2I" hidden="1">#REF!</definedName>
    <definedName name="BEx1RGJSEQ6OX3QB2OEJYL6WZFDB" hidden="1">#REF!</definedName>
    <definedName name="BEx1RKG1GOEI3SQXCQQEVEHT0CL3" localSheetId="3" hidden="1">QKPI #REF!</definedName>
    <definedName name="BEx1RKG1GOEI3SQXCQQEVEHT0CL3" hidden="1">QKPI #REF!</definedName>
    <definedName name="BEx1RRXQYDGQK4YGYWF3QVJJU49W" hidden="1">#REF!</definedName>
    <definedName name="BEx1RTVYROMIWP11464KA47IU4MU" hidden="1">#REF!</definedName>
    <definedName name="BEx1RU6T0ZOEHT3J38MTAWWR71YA" hidden="1">#REF!</definedName>
    <definedName name="BEx1SBKFGDSMSQANNGHO4TCLBNJO" hidden="1">#REF!</definedName>
    <definedName name="BEx1SOR4MU94CDQ63SCGBUOJCPPZ" hidden="1">#REF!</definedName>
    <definedName name="BEx1T055T0DPZV9OVB75MY1DLUXI" hidden="1">#REF!</definedName>
    <definedName name="BEx1T1SLUUC8PODV7LT1D8SZWQFD" hidden="1">#REF!</definedName>
    <definedName name="BEx1TFQ9CQ181LIB47CY7WMDCM79" localSheetId="3" hidden="1">QKPI #REF!</definedName>
    <definedName name="BEx1TFQ9CQ181LIB47CY7WMDCM79" hidden="1">QKPI #REF!</definedName>
    <definedName name="BEx1TG6CIEQNFMI99HAW8W9UBR4M" localSheetId="3" hidden="1">Query #REF!</definedName>
    <definedName name="BEx1TG6CIEQNFMI99HAW8W9UBR4M" hidden="1">Query #REF!</definedName>
    <definedName name="BEx1THOFVY11XTNY8Q828GTOLJ8Y" hidden="1">#REF!</definedName>
    <definedName name="BEx1TQ7V92QOG4OVOVP27PMBC6PV" hidden="1">#REF!</definedName>
    <definedName name="BEx1U0PHQRLYADOYRGFBN2HBMX6K" hidden="1">#REF!</definedName>
    <definedName name="BEx1U8Y5TX02Y17SG7A7B36EOGPS" hidden="1">#REF!</definedName>
    <definedName name="BEx1UCEB2X8IZF5X0AVN57S0Y8QW" localSheetId="3" hidden="1">Query #REF!</definedName>
    <definedName name="BEx1UCEB2X8IZF5X0AVN57S0Y8QW" hidden="1">Query #REF!</definedName>
    <definedName name="BEx1UJQKPP9VSPLCGIGUHY5TQY7G" hidden="1">#REF!</definedName>
    <definedName name="BEx1UNS6GSVU02F93SPQI00SUR4L" hidden="1">#REF!</definedName>
    <definedName name="BEx1UPQCY3QJKPFIBAE26UQMXWI7" localSheetId="3" hidden="1">Query #REF!</definedName>
    <definedName name="BEx1UPQCY3QJKPFIBAE26UQMXWI7" hidden="1">Query #REF!</definedName>
    <definedName name="BEx1USKSCG2KPA9F236AQSP6W99T" hidden="1">#REF!</definedName>
    <definedName name="BEx1UW69JI6BNU2LVW9N2CSZW11W" hidden="1">#REF!</definedName>
    <definedName name="BEx1UWMI95TK0TJPAKDKDR9XX2KF" localSheetId="3" hidden="1">Query #REF!</definedName>
    <definedName name="BEx1UWMI95TK0TJPAKDKDR9XX2KF" hidden="1">Query #REF!</definedName>
    <definedName name="BEx1V2MAJ21WDKJ52E9B0C0DFK4T" hidden="1">#REF!</definedName>
    <definedName name="BEx1V32GHO05XIDX2X4WAPJNLHSZ" hidden="1">#REF!</definedName>
    <definedName name="BEx1V7PQO7Z3LLFT46EMJXGU9XNB" hidden="1">#REF!</definedName>
    <definedName name="BEx1V7PR18IYCXIN5GMCPSA9GRJL" hidden="1">#REF!</definedName>
    <definedName name="BEx1VB0FOV7C9ZIQSJHZWLH3B40Y" localSheetId="3" hidden="1">QKPI #REF!</definedName>
    <definedName name="BEx1VB0FOV7C9ZIQSJHZWLH3B40Y" hidden="1">QKPI #REF!</definedName>
    <definedName name="BEx1VBB7B81TZ9NVCNAOA6T4Z5XW" localSheetId="3" hidden="1">Query #REF!</definedName>
    <definedName name="BEx1VBB7B81TZ9NVCNAOA6T4Z5XW" hidden="1">Query #REF!</definedName>
    <definedName name="BEx1VPP3Y4FWLKI0SE79WDILYCCQ" hidden="1">#REF!</definedName>
    <definedName name="BEx1VQLI3M34IE2Q2KN13E7IOOLE" hidden="1">#REF!</definedName>
    <definedName name="BEx1VS8S76GTFCOB6GVCVJ36PSY3" hidden="1">#REF!</definedName>
    <definedName name="BEx1WB4IGBNUYGLWSKOUQL3GBIV1" hidden="1">#REF!</definedName>
    <definedName name="BEx1WDYXLA1SOF6GNKN3MPNLXPMC" hidden="1">#REF!</definedName>
    <definedName name="BEx1WFX5KKAUBJJLDUCJU1OE7DZQ" hidden="1">#REF!</definedName>
    <definedName name="BEx1WIBG8925Q1GH309YI7DIR9T9" hidden="1">#REF!</definedName>
    <definedName name="BEx1WK9HKQCD2RE67Q2H47HISL6Q" hidden="1">#REF!</definedName>
    <definedName name="BEx1WMT9ZEHXSZ3N1JJHOB1ZVTXY" hidden="1">#REF!</definedName>
    <definedName name="BEx1WRGGGK4DHG57PXD8IS5YV4Y3" hidden="1">#REF!</definedName>
    <definedName name="BEx1WYNF8RB5IYUYD7BV5H1DYXS7" hidden="1">#REF!</definedName>
    <definedName name="BEx1XA1E1SKVU7PN6EFHAL90RAAO" hidden="1">#REF!</definedName>
    <definedName name="BEx1XN2TYN3029CXAZRA36G6NO7N" hidden="1">#REF!</definedName>
    <definedName name="BEx1Y40EE61U2VLULPQ49KUK80K2" hidden="1">#REF!</definedName>
    <definedName name="BEx1YC3PTVIHCVVKLVEJFEC1S6EQ" hidden="1">#REF!</definedName>
    <definedName name="BEx1YQ6T98HXFNAFCKT7ODJE1P8S" hidden="1">#REF!</definedName>
    <definedName name="BEx3AU339D64AYS5FNF1VKT6T07A" hidden="1">#REF!</definedName>
    <definedName name="BEx3BM9BXDMJCDBVU52X3MQRILGQ" hidden="1">#REF!</definedName>
    <definedName name="BEx3BWG5UCYNAAU75LIDYNSVNCWX" hidden="1">#REF!</definedName>
    <definedName name="BEx3BX1QRVR719N6HVU93PJZPZSB" hidden="1">#REF!</definedName>
    <definedName name="BEx3BXY44ZSZW5GCTUAAMZHLMS3L" hidden="1">#REF!</definedName>
    <definedName name="BEx3BZ5B1DQWUCOONNHH0XYJTSK1" hidden="1">#REF!</definedName>
    <definedName name="BEx3C4OT79J7RL8GENUO7X47H675" hidden="1">#REF!</definedName>
    <definedName name="BEx3CG2SH5MT4L1WI1MJ2ODEW4G7" hidden="1">#REF!</definedName>
    <definedName name="BEx3CQ4C079Y9C3VECSRDSC49JWF" localSheetId="3" hidden="1">Query #REF!</definedName>
    <definedName name="BEx3CQ4C079Y9C3VECSRDSC49JWF" hidden="1">Query #REF!</definedName>
    <definedName name="BEx3CYIGF4K30U6MQ3ECK4O1QC30" hidden="1">#REF!</definedName>
    <definedName name="BEx3D3R5RJWPOF2GYAQB6FMM2AMQ" hidden="1">#REF!</definedName>
    <definedName name="BEx3D5JWGPKQV6ILR8WR1Z8HYRDS" hidden="1">#REF!</definedName>
    <definedName name="BEx3DCG2ABXMLWVKRE8QWYU2N1CK" hidden="1">#REF!</definedName>
    <definedName name="BEx3DCQV64WJPCBECF626DAS9DGG" hidden="1">#REF!</definedName>
    <definedName name="BEx3DNJA24TLN5KPS2F3G6Y4Y6F1" hidden="1">#REF!</definedName>
    <definedName name="BEx3DOKYISAPO0X6NI3PM1JPG7UL" hidden="1">#REF!</definedName>
    <definedName name="BEx3DUVJV3L8SBK1Z7H97T9IHCQM" hidden="1">#REF!</definedName>
    <definedName name="BEx3DV6DJPIZRPICKHCGYR7NCGBD" hidden="1">#REF!</definedName>
    <definedName name="BEx3E0Q28CBDTZ884RHS0D54RCO1" hidden="1">#REF!</definedName>
    <definedName name="BEx3E462BGL53K0S92MQF4F2QVM0" hidden="1">#REF!</definedName>
    <definedName name="BEx3EBD0Q06G4PMD40FRJWDG17IG" hidden="1">#REF!</definedName>
    <definedName name="BEx3EC425PDCQ0OWJ3XQEC5HRW4Q" hidden="1">#REF!</definedName>
    <definedName name="BEx3EGGE8NAQ4K6YLVNK2UR2XT7Y" hidden="1">#REF!</definedName>
    <definedName name="BEx3EMAQ4MT896YQ2P9YRPLJK2JF" localSheetId="3" hidden="1">DP #REF!</definedName>
    <definedName name="BEx3EMAQ4MT896YQ2P9YRPLJK2JF" hidden="1">DP #REF!</definedName>
    <definedName name="BEx3EMG88MQRDLN1UFOG9A2VFXXZ" hidden="1">#REF!</definedName>
    <definedName name="BEx3EU3GMX5PBQBLPZ0021F82J0S" hidden="1">#REF!</definedName>
    <definedName name="BEx3F0DTYPS7HMTGVT0GRRHX9PZI" localSheetId="3" hidden="1">DP #REF!</definedName>
    <definedName name="BEx3F0DTYPS7HMTGVT0GRRHX9PZI" hidden="1">DP #REF!</definedName>
    <definedName name="BEx3F0DVFF2FM3HHEJKORI51WPWR" hidden="1">#REF!</definedName>
    <definedName name="BEx3F6TW436XPNXLKOBWUOXIHM5K" hidden="1">#REF!</definedName>
    <definedName name="BEx3F9J0YY5QDPI2I50H3T8H6HS2" hidden="1">#REF!</definedName>
    <definedName name="BEx3FCIW7KJFMRYGWUMZEN2R14MW" hidden="1">#REF!</definedName>
    <definedName name="BEx3FD4H53DEF4WYE1F8E2N4JUBP" hidden="1">#REF!</definedName>
    <definedName name="BEx3FSK36ZXCAPGCJY25EPHWJK1S" hidden="1">#REF!</definedName>
    <definedName name="BEx3FWR3UNWLLC1Z84TC4STMQGJP" hidden="1">#REF!</definedName>
    <definedName name="BEx3FZ5FU5AG1T3M3C63AY7G5DRM" localSheetId="3" hidden="1">Query #REF!</definedName>
    <definedName name="BEx3FZ5FU5AG1T3M3C63AY7G5DRM" hidden="1">Query #REF!</definedName>
    <definedName name="BEx3G0Y6G3PVLROLT240ACWQP55L" hidden="1">#REF!</definedName>
    <definedName name="BEx3G2LM7HAGYWUFSJHJVSM8PTB3" hidden="1">#REF!</definedName>
    <definedName name="BEx3GAZLABVR1BBNITK6YSTEMZQ5" hidden="1">#REF!</definedName>
    <definedName name="BEx3GJON4BW27MZ1O9N0GIFY2NCH" hidden="1">#REF!</definedName>
    <definedName name="BEx3H5PF4VEJXTXSLG2JPUHSLLJ5" localSheetId="3" hidden="1">Query #REF!</definedName>
    <definedName name="BEx3H5PF4VEJXTXSLG2JPUHSLLJ5" hidden="1">Query #REF!</definedName>
    <definedName name="BEx3H5UXCHZ3U0IA5LXK5FN26RTV" localSheetId="3" hidden="1">QKPI #REF!</definedName>
    <definedName name="BEx3H5UXCHZ3U0IA5LXK5FN26RTV" hidden="1">QKPI #REF!</definedName>
    <definedName name="BEx3H83WV5IGK1IHIN6G5ZPQ7AW9" hidden="1">#REF!</definedName>
    <definedName name="BEx3HC05NADFYHEG0LQ1P6D3318N" hidden="1">#REF!</definedName>
    <definedName name="BEx3HDCN1VM2OSTXCV50O7CKFVCT" hidden="1">#REF!</definedName>
    <definedName name="BEx3HSS81DK09CVZIEU6E6DWDL97" hidden="1">#REF!</definedName>
    <definedName name="BEx3HYXHKZ0MUBUQLTL1ZZU10B1Y" hidden="1">#REF!</definedName>
    <definedName name="BEx3I4H072LGA9H2QDUSJTI06W9T" hidden="1">#REF!</definedName>
    <definedName name="BEx3I82H7QAAB3HDGM5MN3UZUO3X" hidden="1">#REF!</definedName>
    <definedName name="BEx3ICKBSBROGAU79A81C55I31KV" hidden="1">#REF!</definedName>
    <definedName name="BEx3IDWZ31RSC2IDF79V4RNP40L8" hidden="1">#REF!</definedName>
    <definedName name="BEx3IHNR36YJ4VL678YE4EPACE60" hidden="1">#REF!</definedName>
    <definedName name="BEx3IJ5Q8C8TZ86PPAQ19VMBAYHL" localSheetId="3" hidden="1">DP #REF!</definedName>
    <definedName name="BEx3IJ5Q8C8TZ86PPAQ19VMBAYHL" hidden="1">DP #REF!</definedName>
    <definedName name="BEx3INCSMY8L2VQ1PX1BHXAEYDWP" hidden="1">#REF!</definedName>
    <definedName name="BEx3INNKKTUB8RC9KG7Q7S075RB8" hidden="1">#REF!</definedName>
    <definedName name="BEx3IZSGPFX3U2S0N40IBXUB5OVF" hidden="1">#REF!</definedName>
    <definedName name="BEx3J6OSXBZFKJPOCQ2NM4M1VNCD" hidden="1">#REF!</definedName>
    <definedName name="BEx3JLTKLNWLF8AFJK9MHI16JYP7" hidden="1">#REF!</definedName>
    <definedName name="BEx3JNBJ51PNJGU0IMICWTD1CYRR" hidden="1">#REF!</definedName>
    <definedName name="BEx3JRYPG0K9AMIAYNIBGGEFUCCE" hidden="1">#REF!</definedName>
    <definedName name="BEx3JUNS0XWG984LUC0I58T3RSO5" localSheetId="3" hidden="1">Query #REF!</definedName>
    <definedName name="BEx3JUNS0XWG984LUC0I58T3RSO5" hidden="1">Query #REF!</definedName>
    <definedName name="BEx3JXYHH5V6X99M1L5ZXZIMV6J0" hidden="1">#REF!</definedName>
    <definedName name="BEx3JY98X48H1ZYINWMEFNF9970H" hidden="1">#REF!</definedName>
    <definedName name="BEx3JZ0CCID3HU10QVYHPGXB6LER" hidden="1">#REF!</definedName>
    <definedName name="BEx3K9Y2QK1ZBV5ODATHBUV9CFY5" hidden="1">#REF!</definedName>
    <definedName name="BEx3KAP3ICXREN71UN1NEU6H4CDA" localSheetId="3" hidden="1">Query #REF!</definedName>
    <definedName name="BEx3KAP3ICXREN71UN1NEU6H4CDA" hidden="1">Query #REF!</definedName>
    <definedName name="BEx3KAUGL5YIR2NGJ37TGQMKNGRX" hidden="1">#REF!</definedName>
    <definedName name="BEx3KSOBN87BMPGT2EVKHN0XUA90" hidden="1">#REF!</definedName>
    <definedName name="BEx3L1YSP0PW7R236ERYHEGLAF4D" hidden="1">#REF!</definedName>
    <definedName name="BEx3L4D5MURJKR8SRWN6JTBZ65GG" hidden="1">#REF!</definedName>
    <definedName name="BEx3LFWGRT6JEX5EKDNGIJNJ2AEM" hidden="1">#REF!</definedName>
    <definedName name="BEx3LJCKTI4BQXOR2TL8Z6KHIS89" hidden="1">#REF!</definedName>
    <definedName name="BEx3LTE09X4SRITSAXG5X8B6D8W8" hidden="1">#REF!</definedName>
    <definedName name="BEx3M0A5913NJCZ6MYBNVN7YNT0H" hidden="1">#REF!</definedName>
    <definedName name="BEx3MBIVLH37GBAYL7I1OVAM86CK" hidden="1">#REF!</definedName>
    <definedName name="BEx3MCKISOFKDYW51JMNNPQKOIMY" hidden="1">#REF!</definedName>
    <definedName name="BEx3MGRKNG3L275Z455FP8GKHG9D" hidden="1">#REF!</definedName>
    <definedName name="BEx3MIV47C8VXG6X9IF7HEX0M3O2" hidden="1">#REF!</definedName>
    <definedName name="BEx3MX911A4R5JYQGDKOBRCK7FWQ" hidden="1">#REF!</definedName>
    <definedName name="BEx3N9U62T0WZNTJIGTS259CCGYL" hidden="1">#REF!</definedName>
    <definedName name="BEx3NC8IQTQV4HC55A6UTAXFZW57" hidden="1">#REF!</definedName>
    <definedName name="BEx3NJKS6RZGTPWN807NRWEB4Q7M" hidden="1">#REF!</definedName>
    <definedName name="BEx3O6T180ICE5ZMJWHAP3CI0S2A" hidden="1">#REF!</definedName>
    <definedName name="BEx3O7P7RPHMPK5IHL328SGZMGNP" hidden="1">#REF!</definedName>
    <definedName name="BEx3ODE93S827B9RY6KASK5V02P2" hidden="1">#REF!</definedName>
    <definedName name="BEx3OFY1JB4IVLH8HQGXO3N77Z1G" hidden="1">#REF!</definedName>
    <definedName name="BEx3OIN56N3J5OGZH4LUPLI1FUAL" hidden="1">#REF!</definedName>
    <definedName name="BEx3OIXXYE49B1GT7EYL86M7O2AO" hidden="1">#REF!</definedName>
    <definedName name="BEx3ORHCVQEGL2P1D3W2A8T8IT5Z" hidden="1">#REF!</definedName>
    <definedName name="BEx3OSDWKZAJ0GYRRIKFAQC8QWQL" hidden="1">#REF!</definedName>
    <definedName name="BEx3P5F5GXVT5KGEMR9TX7UHVGWU" hidden="1">#REF!</definedName>
    <definedName name="BEx3PDCZL0YULA6HTXOK2BTIGQJV" hidden="1">#REF!</definedName>
    <definedName name="BEx3PDNSG6X0KPOQ0PYN52QYX4P1" hidden="1">#REF!</definedName>
    <definedName name="BEx3PGCWV9GJHCFD3R6OVLMS5YA6" hidden="1">#REF!</definedName>
    <definedName name="BEx3PM7CK27KUO1CPUCVGY3EXX84" hidden="1">#REF!</definedName>
    <definedName name="BEx3PW39THQJPW62DQDJL2R4DSE4" hidden="1">#REF!</definedName>
    <definedName name="BEx3PY6TB94BEMYT8SWXO863GJA0" hidden="1">#REF!</definedName>
    <definedName name="BEx3PYSDF487AOJKMDRKGED0NLFK" hidden="1">#REF!</definedName>
    <definedName name="BEx3Q04ZH16AFX6M1SVMTX246VEC" hidden="1">#REF!</definedName>
    <definedName name="BEx3QABW3B66PQJQCKUG6KDGMA1P" hidden="1">#REF!</definedName>
    <definedName name="BEx3QGX8Q16451LZ45WNT77ZYV39" hidden="1">#REF!</definedName>
    <definedName name="BEx3QPGNR7QP86CTUIQTQPHHPS8C" hidden="1">#REF!</definedName>
    <definedName name="BEx3QRPOMAWVEN6BV4ZBDXKBI77Y" hidden="1">#REF!</definedName>
    <definedName name="BEx3R45CG1P9098F72COE77RHP8A" localSheetId="3" hidden="1">_YA01 #REF!</definedName>
    <definedName name="BEx3R45CG1P9098F72COE77RHP8A" hidden="1">_YA01 #REF!</definedName>
    <definedName name="BEx3RD5163ASTNFP17ZQ00NOZD2W" hidden="1">#REF!</definedName>
    <definedName name="BEx3RDVWXC95YEKUF4OMMFEM12GB" hidden="1">#REF!</definedName>
    <definedName name="BEx3RPFFZ6SRUOMIWX1RTAKIQOFK" localSheetId="3" hidden="1">_KF01 #REF!</definedName>
    <definedName name="BEx3RPFFZ6SRUOMIWX1RTAKIQOFK" hidden="1">_KF01 #REF!</definedName>
    <definedName name="BEx3RPVOHDLQCD5X30BDZKJMCMPX" hidden="1">#REF!</definedName>
    <definedName name="BEx3S5B9TW1W6X1KKY8RYPJFVDAD" hidden="1">#REF!</definedName>
    <definedName name="BEx3S7K3LBI30DGPE3YBTBNESU0V" localSheetId="3" hidden="1">Query #REF!</definedName>
    <definedName name="BEx3S7K3LBI30DGPE3YBTBNESU0V" hidden="1">Query #REF!</definedName>
    <definedName name="BEx3SA98T71HH4W8F71BP7O7DE8U" hidden="1">#REF!</definedName>
    <definedName name="BEx3SAUTX4A2EYI4MCH8XJ4Y29UX" hidden="1">#REF!</definedName>
    <definedName name="BEx3SCSV7948OUIZTUWXNANLYO8H" hidden="1">#REF!</definedName>
    <definedName name="BEx3SDP8NZPIKKDNUBT0YOCQNTQ6" localSheetId="3" hidden="1">QCheck #REF!</definedName>
    <definedName name="BEx3SDP8NZPIKKDNUBT0YOCQNTQ6" hidden="1">QCheck #REF!</definedName>
    <definedName name="BEx3SGPARIY89A6ARHD6BCEOOHYH" hidden="1">#REF!</definedName>
    <definedName name="BEx3SHAPAS3VLYXMC10HUOLZJ0GZ" hidden="1">#REF!</definedName>
    <definedName name="BEx3SHWF03Z27OJL7LAP4LUF8H99" hidden="1">#REF!</definedName>
    <definedName name="BEx3SLSQFU1CU4ZZK8BMHXUGVH81" hidden="1">#REF!</definedName>
    <definedName name="BEx3SVDT0LG150VRK679ORLIU9BR" hidden="1">#REF!</definedName>
    <definedName name="BEx3T7TNABDDIDO0USDC0DAVINUS" localSheetId="3" hidden="1">_YA01 #REF!</definedName>
    <definedName name="BEx3T7TNABDDIDO0USDC0DAVINUS" hidden="1">_YA01 #REF!</definedName>
    <definedName name="BEx3T7YYWUH4QAAB3ZX6FP8D8Z57" hidden="1">#REF!</definedName>
    <definedName name="BEx3TAZ1CBTZSCG0QKOITXVXBCE9" hidden="1">#REF!</definedName>
    <definedName name="BEx3TPI8J516ERB0GRPNWJK0MH5A" localSheetId="3" hidden="1">_YB05 GuV #REF!</definedName>
    <definedName name="BEx3TPI8J516ERB0GRPNWJK0MH5A" hidden="1">_YB05 GuV #REF!</definedName>
    <definedName name="BEx3TVY55TKF1RDKC994BFIMMEGM" hidden="1">#REF!</definedName>
    <definedName name="BEx3TYN9L3STIVK8MK9PU3RHK4DH" hidden="1">#REF!</definedName>
    <definedName name="BEx3TZUFNMB8PSBTW8L0J33AKV10" hidden="1">#REF!</definedName>
    <definedName name="BEx3UDBX029S6W7RXI1FF1S5TN9P" hidden="1">#REF!</definedName>
    <definedName name="BEx3UDBYASIBDL0WEQQLDEEY4YAK" hidden="1">#REF!</definedName>
    <definedName name="BEx3UDXIVARFEL8QM2L6SB4KLB9G" hidden="1">#REF!</definedName>
    <definedName name="BEx3UMX89O25I9KEMFC91OG7HP5A" hidden="1">#REF!</definedName>
    <definedName name="BEx3V63RND5NVDGCVXFCAAPVIRUH" hidden="1">#REF!</definedName>
    <definedName name="BEx3VAWDN2BJJKW9XUCCK7M1QGVS" hidden="1">#REF!</definedName>
    <definedName name="BEx3W267X9JQH4C9O8QISESYYUBX" hidden="1">#REF!</definedName>
    <definedName name="BEx56WIIECH7OO1NR3M0OFR91JXX" hidden="1">#REF!</definedName>
    <definedName name="BEx57ESNENRHQL6YR0POFQ0WSSN4" hidden="1">#REF!</definedName>
    <definedName name="BEx57JAJFQURQ9S5TQJ3SGX7HI3O" localSheetId="3" hidden="1">QCheck #REF!</definedName>
    <definedName name="BEx57JAJFQURQ9S5TQJ3SGX7HI3O" hidden="1">QCheck #REF!</definedName>
    <definedName name="BEx58AV6EHUNOL3JAY5TARQHYDBM" hidden="1">#REF!</definedName>
    <definedName name="BEx58H5QC8PI0FW8ORP8ONSKXS4D" hidden="1">#REF!</definedName>
    <definedName name="BEx58HRBSJIBRJLJ3AWGNZ9A48AL" hidden="1">#REF!</definedName>
    <definedName name="BEx58PP5OIPFV6H9WMAX3K53RYUB" hidden="1">#REF!</definedName>
    <definedName name="BEx58V8U640OPRZ03EGOTPB2NPTB" hidden="1">#REF!</definedName>
    <definedName name="BEx593XPNJSAF9NPAMMXU1J9X5T4" hidden="1">#REF!</definedName>
    <definedName name="BEx5972XCKO4JV9J8JR2RGEQFCV9" localSheetId="3" hidden="1">Query #REF!</definedName>
    <definedName name="BEx5972XCKO4JV9J8JR2RGEQFCV9" hidden="1">Query #REF!</definedName>
    <definedName name="BEx59B9ZY84Q2XL1M0C0Y1XU919K" hidden="1">#REF!</definedName>
    <definedName name="BEx59LBJ496CWQ03MRXTZ9GS2KLV" hidden="1">#REF!</definedName>
    <definedName name="BEx59MD8AQ30PF1TCUHIW27PARU1" hidden="1">#REF!</definedName>
    <definedName name="BEx59OGQZ1FZSRECLU0V0YLHYQN5" localSheetId="3" hidden="1">_YB11 #REF!</definedName>
    <definedName name="BEx59OGQZ1FZSRECLU0V0YLHYQN5" hidden="1">_YB11 #REF!</definedName>
    <definedName name="BEx59OM8RXZV2EF6NTD847W0CQCZ" hidden="1">#REF!</definedName>
    <definedName name="BEx59PYOIKRVDEKEROF361E54O7Q" localSheetId="3" hidden="1">Query #REF!</definedName>
    <definedName name="BEx59PYOIKRVDEKEROF361E54O7Q" hidden="1">Query #REF!</definedName>
    <definedName name="BEx59YIA89QLS1RKWGPBFXLWQ577" hidden="1">#REF!</definedName>
    <definedName name="BEx5ADHLDZXZNGO05874BBVH48F9" hidden="1">#REF!</definedName>
    <definedName name="BEx5AEU9C6W8UZEZG8Q8IW1SV95V" localSheetId="3" hidden="1">QKPI #REF!</definedName>
    <definedName name="BEx5AEU9C6W8UZEZG8Q8IW1SV95V" hidden="1">QKPI #REF!</definedName>
    <definedName name="BEx5AK2ZGZUAPYZHCQ6OC0UHO0AT" hidden="1">#REF!</definedName>
    <definedName name="BEx5AS0ZK78QYVNBL08Y8PJ459N3" hidden="1">#REF!</definedName>
    <definedName name="BEx5AX9OXHC05HJWFOT0A8NUWVC0" hidden="1">#REF!</definedName>
    <definedName name="BEx5B5YMREWKRSZKT21TRBYT6DTJ" hidden="1">#REF!</definedName>
    <definedName name="BEx5B6EULA07ICCS8SD95P31541K" hidden="1">#REF!</definedName>
    <definedName name="BEx5BI3ILZZIJK3DX50LQG5Y6WLH" hidden="1">#REF!</definedName>
    <definedName name="BEx5BPFY9TFLH542VSIIWECF2TCD" hidden="1">#REF!</definedName>
    <definedName name="BEx5BV4YHZRN0U3CJBYX4MCYJ1MC" hidden="1">#REF!</definedName>
    <definedName name="BEx5BVL1YK7XFMCOO2GVPKSDOFDN" localSheetId="3" hidden="1">_KF01 #REF!</definedName>
    <definedName name="BEx5BVL1YK7XFMCOO2GVPKSDOFDN" hidden="1">_KF01 #REF!</definedName>
    <definedName name="BEx5C4VJU85A3SDB01W3UI9B2DPO" hidden="1">#REF!</definedName>
    <definedName name="BEx5CCTD35QXA6KY18QF820PQWHS" hidden="1">#REF!</definedName>
    <definedName name="BEx5CEBB29TEY450LFHDKGASFFH4" localSheetId="3" hidden="1">_YB05 #REF!</definedName>
    <definedName name="BEx5CEBB29TEY450LFHDKGASFFH4" hidden="1">_YB05 #REF!</definedName>
    <definedName name="BEx5CFTA4081WLNQDSVUM31W26C4" hidden="1">#REF!</definedName>
    <definedName name="BEx5CGF1XXN1EE76O1Z4DEWM4Z0X" hidden="1">#REF!</definedName>
    <definedName name="BEx5CKM2VEZFPXY12N9HZROZCW4K" hidden="1">#REF!</definedName>
    <definedName name="BEx5CX73TVWRPZD5TJRF1I95RP38" hidden="1">#REF!</definedName>
    <definedName name="BEx5CZG2U6UI8JU01YQ9WSP0WMY0" localSheetId="3" hidden="1">Query #REF!</definedName>
    <definedName name="BEx5CZG2U6UI8JU01YQ9WSP0WMY0" hidden="1">Query #REF!</definedName>
    <definedName name="BEx5D2AIAVOUBFT0CVRP10XTMZX4" hidden="1">#REF!</definedName>
    <definedName name="BEx5D3SGJLEQ5B47KKK2YZGO5KVY" hidden="1">#REF!</definedName>
    <definedName name="BEx5DCS4KGN9UYI3GXAHNMC1G8JN" hidden="1">#REF!</definedName>
    <definedName name="BEx5DE4RQHOW8PWDO71NPXS36U0J" hidden="1">#REF!</definedName>
    <definedName name="BEx5DL0YBMX7R1690Z0PB6QL48H5" hidden="1">#REF!</definedName>
    <definedName name="BEx5DMDEMYSZQY65BDNB3ECS9Y1I" hidden="1">#REF!</definedName>
    <definedName name="BEx5DP7UER2ARTFK3KIITD1BHE1K" hidden="1">#REF!</definedName>
    <definedName name="BEx5DS2FQXNXUSWFK4WCGHT7W8WD" hidden="1">#REF!</definedName>
    <definedName name="BEx5DWK8LNLA5YCUM4IVPRRWRLBD" hidden="1">#REF!</definedName>
    <definedName name="BEx5E7COBB74Z5G55QWKL9EF84O1" hidden="1">#REF!</definedName>
    <definedName name="BEx5EEEBT553EBB4HNHXNE93KOLD" hidden="1">#REF!</definedName>
    <definedName name="BEx5EG1KDNQR5RQ8DHK0338044QM" hidden="1">#REF!</definedName>
    <definedName name="BEx5EG1KGNA5J0TPYL7BIXSWSMGY" hidden="1">#REF!</definedName>
    <definedName name="BEx5ELQKYUN8VUJSM6M007GHKJG5" localSheetId="3" hidden="1">Query #REF!</definedName>
    <definedName name="BEx5ELQKYUN8VUJSM6M007GHKJG5" hidden="1">Query #REF!</definedName>
    <definedName name="BEx5EOA89JZI4GZ5KFHPCGDBJBLE" hidden="1">#REF!</definedName>
    <definedName name="BEx5EYXBBZCWFWE1GZI4IZNJGC89" localSheetId="3" hidden="1">Query #REF!</definedName>
    <definedName name="BEx5EYXBBZCWFWE1GZI4IZNJGC89" hidden="1">Query #REF!</definedName>
    <definedName name="BEx5F5O0I3BRZUKDRIQCSGQDLB40" localSheetId="3" hidden="1">Query #REF!</definedName>
    <definedName name="BEx5F5O0I3BRZUKDRIQCSGQDLB40" hidden="1">Query #REF!</definedName>
    <definedName name="BEx5F7X13SJOJHV8MA9XVX192NG9" hidden="1">#REF!</definedName>
    <definedName name="BEx5FBICYCKM2K2T9QZJ4DXB2ZR8" hidden="1">#REF!</definedName>
    <definedName name="BEx5FEYINKL9JG5X7N5NQC6SZJ8F" hidden="1">#REF!</definedName>
    <definedName name="BEx5FEYIVOH7SC48OF7E0CYKCHNP" hidden="1">#REF!</definedName>
    <definedName name="BEx5FGGGJ22POAKNXE1R8WJ35JHQ" hidden="1">#REF!</definedName>
    <definedName name="BEx5FI96P0F2XQL8ZUDUA3RONRTG" hidden="1">#REF!</definedName>
    <definedName name="BEx5FIJYZWM1J4QLNLGC5AV4NJ4T" hidden="1">#REF!</definedName>
    <definedName name="BEx5FSAISVI3W2V92PNCNBX3DE84" hidden="1">#REF!</definedName>
    <definedName name="BEx5FTHPQYVMNNI9TF0VMQCGPGMI" hidden="1">#REF!</definedName>
    <definedName name="BEx5FYQMID3WT2F5BBESFUDJGZTV" hidden="1">#REF!</definedName>
    <definedName name="BEx5G033ZIIO8JILF96G7ZTZDB1L" hidden="1">#REF!</definedName>
    <definedName name="BEx5G2C37PNUCBOJRDU8V5EZQMQU" hidden="1">#REF!</definedName>
    <definedName name="BEx5GJ44PKY0TISERXALEFXLFR9N" hidden="1">#REF!</definedName>
    <definedName name="BEx5GXCQZEDRRJMXUE057S02V8XH" hidden="1">#REF!</definedName>
    <definedName name="BEx5H61N97RKH5WG0F0DDRGFSMM1" hidden="1">#REF!</definedName>
    <definedName name="BEx5HCSCZ64S13D9BTKG55Y1TJHL" hidden="1">#REF!</definedName>
    <definedName name="BEx5HQVFOI01VNNNX6S5OVP0UYWJ" hidden="1">#REF!</definedName>
    <definedName name="BEx5I4CZ3U2VGUFXT8RT7SV57Q48" hidden="1">#REF!</definedName>
    <definedName name="BEx5I8UTIO63MUT3CNU9IKJ5TERF" hidden="1">#REF!</definedName>
    <definedName name="BEx5IE3Q2DVCG4SPRJRKDC4K17LD" hidden="1">#REF!</definedName>
    <definedName name="BEx5IEULIJEB54DY1BBUAN0IAVLO" hidden="1">#REF!</definedName>
    <definedName name="BEx5IF5F8FF5GMPUD6XSV4Z8SV6R" hidden="1">#REF!</definedName>
    <definedName name="BEx5IILJMX8N42JDKT78V92HAU7X" hidden="1">#REF!</definedName>
    <definedName name="BEx5ILFYGS7FNUFDI90SXN6N47Y7" hidden="1">#REF!</definedName>
    <definedName name="BEx5IPXTPX0IAK5T3PRC8NT44VH3" hidden="1">#REF!</definedName>
    <definedName name="BEx5IVHDEF92MHX5ARMFVDRG03YK" hidden="1">#REF!</definedName>
    <definedName name="BEx5IVHDFPBY7QDQ1VTPJESAMOMV" hidden="1">#REF!</definedName>
    <definedName name="BEx5J87ZKYE7F07M0UXHQ877L8CU" localSheetId="3" hidden="1">QKPI #REF!</definedName>
    <definedName name="BEx5J87ZKYE7F07M0UXHQ877L8CU" hidden="1">QKPI #REF!</definedName>
    <definedName name="BEx5J9PXO4ETQZ7WIZWCKU8C7NVL" hidden="1">#REF!</definedName>
    <definedName name="BEx5JE7S4VMTMP4CZZLX06F5B21B" localSheetId="3" hidden="1">QCheck #REF!</definedName>
    <definedName name="BEx5JE7S4VMTMP4CZZLX06F5B21B" hidden="1">QCheck #REF!</definedName>
    <definedName name="BEx5JI42S83YX75I7B0GJBXU97KP" hidden="1">#REF!</definedName>
    <definedName name="BEx5K1AKZGMRYH9RHER6023Z44SE" hidden="1">#REF!</definedName>
    <definedName name="BEx5K7FO503HNSSK501UQNN6ZWE3" hidden="1">#REF!</definedName>
    <definedName name="BEx5KG9W1CL2NLS9LDJDCM1R007B" hidden="1">#REF!</definedName>
    <definedName name="BEx5KM9P1280R93IK942OGDHMG9L" hidden="1">#REF!</definedName>
    <definedName name="BEx5KXYHHFCXJUIDEMZO4EX6MRX6" localSheetId="3" hidden="1">_YA09 GuV #REF!</definedName>
    <definedName name="BEx5KXYHHFCXJUIDEMZO4EX6MRX6" hidden="1">_YA09 GuV #REF!</definedName>
    <definedName name="BEx5L4932WZ2SCCPPFPPGQIGOZAC" localSheetId="3" hidden="1">QKPI #REF!</definedName>
    <definedName name="BEx5L4932WZ2SCCPPFPPGQIGOZAC" hidden="1">QKPI #REF!</definedName>
    <definedName name="BEx5L4EDBAXZE38U5DTYF8A6UARY" hidden="1">#REF!</definedName>
    <definedName name="BEx5LA8VZFEGBHD38CKVWBWHIFLX" hidden="1">#REF!</definedName>
    <definedName name="BEx5LEW7O6FD4A6WMR3FCFR5J4WT" hidden="1">#REF!</definedName>
    <definedName name="BEx5LKL1U8XWF9R1C5S2NT14WPBW" hidden="1">#REF!</definedName>
    <definedName name="BEx5LSTUFTCLABN501HVXA9DTRBG" localSheetId="3" hidden="1">DP #REF!</definedName>
    <definedName name="BEx5LSTUFTCLABN501HVXA9DTRBG" hidden="1">DP #REF!</definedName>
    <definedName name="BEx5LU0ZEFI4GH6S9EI30DCD62RL" localSheetId="3" hidden="1">DP #REF!</definedName>
    <definedName name="BEx5LU0ZEFI4GH6S9EI30DCD62RL" hidden="1">DP #REF!</definedName>
    <definedName name="BEx5LW4IE9N9VVKPQORHHDDVS937" hidden="1">#REF!</definedName>
    <definedName name="BEx5LX0VYMTPJSP0VUJKCNZ0FNIU" hidden="1">#REF!</definedName>
    <definedName name="BEx5LXGZLTCWEY53FE8R5XGK17N5" hidden="1">#REF!</definedName>
    <definedName name="BEx5MCR9ODYDLQJVYR3MGXSC0N0W" hidden="1">#REF!</definedName>
    <definedName name="BEx5MLLHVM7TRS28XFUG9DDHRZ8R" hidden="1">#REF!</definedName>
    <definedName name="BEx5MYS7KF8YL5DVKPLKKBNEJCO4" hidden="1">#REF!</definedName>
    <definedName name="BEx5MZU34Y5GJ2D12SZTMCM45TK0" hidden="1">#REF!</definedName>
    <definedName name="BEx5N413C6NC1G7EJCTW2OUM9R8R" hidden="1">#REF!</definedName>
    <definedName name="BEx5N64NRVEBVHMSSJV6XCX2ZYPB" hidden="1">#REF!</definedName>
    <definedName name="BEx5NCKKH43U2N92SV2P7RYL98J4" hidden="1">#REF!</definedName>
    <definedName name="BEx5NCQ0S1AHTVAVSX1ZT7HZZOYV" hidden="1">#REF!</definedName>
    <definedName name="BEx5NU95MB4NKGM2YFHTZRG0391I" hidden="1">#REF!</definedName>
    <definedName name="BEx5NW7CRICHYLF83RSFW3SMTK1W" hidden="1">#REF!</definedName>
    <definedName name="BEx5NYWGKE0JU81VYX3V50NBMM7B" hidden="1">#REF!</definedName>
    <definedName name="BEx5O56WM4C6V1Y7G23AIJAU8HIR" hidden="1">#REF!</definedName>
    <definedName name="BEx5O8SITIQRDKAVKHCMVWZOAV7F" hidden="1">#REF!</definedName>
    <definedName name="BEx5O9DXSZNRS2HYWD4L5PKPDK7U" localSheetId="3" hidden="1">DP #REF!</definedName>
    <definedName name="BEx5O9DXSZNRS2HYWD4L5PKPDK7U" hidden="1">DP #REF!</definedName>
    <definedName name="BEx5OF8EIPAWTV1NE32TNNFS51RS" hidden="1">#REF!</definedName>
    <definedName name="BEx5OGQCT4HSR5LRPTNG06XSRX61" localSheetId="3" hidden="1">QKPI #REF!</definedName>
    <definedName name="BEx5OGQCT4HSR5LRPTNG06XSRX61" hidden="1">QKPI #REF!</definedName>
    <definedName name="BEx5ORTK5ZOMXOCWJOA2TC2RT4R5" localSheetId="3" hidden="1">DP #REF!</definedName>
    <definedName name="BEx5ORTK5ZOMXOCWJOA2TC2RT4R5" hidden="1">DP #REF!</definedName>
    <definedName name="BEx5OVF0SS2UT5D7WA6NOA229LV9" hidden="1">#REF!</definedName>
    <definedName name="BEx5P07OYS9Z9L0IDQ97SW70G6HJ" hidden="1">#REF!</definedName>
    <definedName name="BEx5PD8YJ2KP9H2BSY1V7ENIFWHD" localSheetId="3" hidden="1">Query #REF!</definedName>
    <definedName name="BEx5PD8YJ2KP9H2BSY1V7ENIFWHD" hidden="1">Query #REF!</definedName>
    <definedName name="BEx5PE5CFT9Q1L3UOGUOJ7ZQL4JM" hidden="1">#REF!</definedName>
    <definedName name="BEx5PICEMBCOTLRR8EEZN0H7XNGV" hidden="1">#REF!</definedName>
    <definedName name="BEx5PN4ZIYUQ1F8WXQB8BCYC5V4Q" hidden="1">#REF!</definedName>
    <definedName name="BEx5Q0XCDQKEGW6OZJ5OFO6U9W48" hidden="1">#REF!</definedName>
    <definedName name="BEx5Q0XD4U3N5CZFKH19W9PY72W5" hidden="1">#REF!</definedName>
    <definedName name="BEx5Q1TPAF540UREJLIKQ3LEQROK" hidden="1">#REF!</definedName>
    <definedName name="BEx5Q3BNOGW10TCS7OHWS9V7CW4T" hidden="1">#REF!</definedName>
    <definedName name="BEx73R44K0URAQ95JYKTR0IIG0GI" hidden="1">#REF!</definedName>
    <definedName name="BEx73XPGWAG2M0PD3A0ILIOB1VIJ" hidden="1">#REF!</definedName>
    <definedName name="BEx74577V479PXLOLTYLLOZYOIAD" hidden="1">#REF!</definedName>
    <definedName name="BEx74KHID1V2JMYSBGRTU74D1UZV" hidden="1">#REF!</definedName>
    <definedName name="BEx74KSA6G74SWD7BD2Q35D2D4Y2" hidden="1">#REF!</definedName>
    <definedName name="BEx7502LIOKLK60WHL2N1R6XN4RK" hidden="1">#REF!</definedName>
    <definedName name="BEx7579HR4TO33VE4OFXG1FHNDFX" hidden="1">#REF!</definedName>
    <definedName name="BEx75AV0MKPKPJHVJHZT307EXNRN" hidden="1">#REF!</definedName>
    <definedName name="BEx75FI5YC5HM3AG2WE47Z4CFDZN" hidden="1">#REF!</definedName>
    <definedName name="BEx75H5LQZTPLUM9O7Q3O7H9IA0D" localSheetId="3" hidden="1">_YB11 #REF!</definedName>
    <definedName name="BEx75H5LQZTPLUM9O7Q3O7H9IA0D" hidden="1">_YB11 #REF!</definedName>
    <definedName name="BEx75T55VMWEI0O2836PVFAN68Q2" localSheetId="3" hidden="1">Query #REF!</definedName>
    <definedName name="BEx75T55VMWEI0O2836PVFAN68Q2" hidden="1">Query #REF!</definedName>
    <definedName name="BEx75XC374S84V2K7BZU5TY7834G" localSheetId="3" hidden="1">DP #REF!</definedName>
    <definedName name="BEx75XC374S84V2K7BZU5TY7834G" hidden="1">DP #REF!</definedName>
    <definedName name="BEx766S02RYDPFIBX7HJBCSNQTWL" hidden="1">#REF!</definedName>
    <definedName name="BEx76FGVYQ4COBHRQTXE61UKC53G" hidden="1">#REF!</definedName>
    <definedName name="BEx76JNYQKAIV3KJWDWS5FPHTN9P" hidden="1">#REF!</definedName>
    <definedName name="BEx770G6JXFB54V3I7M5UNNWFQOL" hidden="1">#REF!</definedName>
    <definedName name="BEx770LIHJY660HHK2R66FN5M16Z" localSheetId="3" hidden="1">QCheck #REF!</definedName>
    <definedName name="BEx770LIHJY660HHK2R66FN5M16Z" hidden="1">QCheck #REF!</definedName>
    <definedName name="BEx7711RKV5PB522RECI8JAN44XF" hidden="1">#REF!</definedName>
    <definedName name="BEx77QIQCM00SF7H1YI1HA6Q1B46" hidden="1">#REF!</definedName>
    <definedName name="BEx77RQ11T6ZCZUJP8W60T8GUWOL" hidden="1">#REF!</definedName>
    <definedName name="BEx77TIS1MVXVGE4BS2MXNWO5820" localSheetId="3" hidden="1">Query #REF!</definedName>
    <definedName name="BEx77TIS1MVXVGE4BS2MXNWO5820" hidden="1">Query #REF!</definedName>
    <definedName name="BEx77VBCJ4YCXWCZUGOENLWOHCAU" hidden="1">#REF!</definedName>
    <definedName name="BEx77X49JSEXYDHDKGCHDGY9ZJZB" hidden="1">#REF!</definedName>
    <definedName name="BEx77Z2B8N8MH4HAI1XVJDUE7LUQ" hidden="1">#REF!</definedName>
    <definedName name="BEx78699XFJK3MYPNUFH3DEI30U5" hidden="1">#REF!</definedName>
    <definedName name="BEx78BSRM14ZVJT2QJ9BVHW314HS" hidden="1">#REF!</definedName>
    <definedName name="BEx78M5425UCQBWT1ZPJCT99QCTI" hidden="1">#REF!</definedName>
    <definedName name="BEx7932MSG9742NE4A0RVE7D57X0" hidden="1">#REF!</definedName>
    <definedName name="BEx796IT0G7WZN9K2H0YHCKI1813" hidden="1">#REF!</definedName>
    <definedName name="BEx7980L84INNUN7IOVPKIJGDJNZ" hidden="1">#REF!</definedName>
    <definedName name="BEx799O134OW4LP4HQTFOWRT2288" hidden="1">#REF!</definedName>
    <definedName name="BEx79HGJJELOVQI2FNFGKPIE9ZA6" hidden="1">#REF!</definedName>
    <definedName name="BEx79MJY368SCPFQHFWKMZ8HG5DV" hidden="1">#REF!</definedName>
    <definedName name="BEx79ONHYDK9A1ZI5AVMMSR9DRAR" localSheetId="3" hidden="1">Query #REF!</definedName>
    <definedName name="BEx79ONHYDK9A1ZI5AVMMSR9DRAR" hidden="1">Query #REF!</definedName>
    <definedName name="BEx79RY5O2WKZ3E61VPIELTYJZGV" hidden="1">#REF!</definedName>
    <definedName name="BEx79SEH90AQEH5YELCTVYPQDPHE" localSheetId="3" hidden="1">_YB10 #REF!</definedName>
    <definedName name="BEx79SEH90AQEH5YELCTVYPQDPHE" hidden="1">_YB10 #REF!</definedName>
    <definedName name="BEx7A18OJSYCO4HXHIGR1XV5OUB9" hidden="1">#REF!</definedName>
    <definedName name="BEx7A48J7Q9GB1AJNRWC0K9RMHDV" hidden="1">#REF!</definedName>
    <definedName name="BEx7AB4ONP0XBFOR76QN42OP6PMG" hidden="1">#REF!</definedName>
    <definedName name="BEx7ABFHTBBQXJ6BMFW4YKD0B4R5" hidden="1">#REF!</definedName>
    <definedName name="BEx7ACMOGIYJ2XNK9ZMF91O1YOC0" localSheetId="3" hidden="1">Query #REF!</definedName>
    <definedName name="BEx7ACMOGIYJ2XNK9ZMF91O1YOC0" hidden="1">Query #REF!</definedName>
    <definedName name="BEx7ADODKNCSQH5TYNQZLB7QA5KN" localSheetId="3" hidden="1">Query #REF!</definedName>
    <definedName name="BEx7ADODKNCSQH5TYNQZLB7QA5KN" hidden="1">Query #REF!</definedName>
    <definedName name="BEx7AGZ1U72BVF81E49CNHL0QBD3" hidden="1">#REF!</definedName>
    <definedName name="BEx7AIX9W95PXN7IA3V92I37MJPU" hidden="1">#REF!</definedName>
    <definedName name="BEx7ASYNF42PSXVL8AYMHQBU0ARB" hidden="1">#REF!</definedName>
    <definedName name="BEx7AURDJ58SIKYZMSSFQUBZX3QL" hidden="1">#REF!</definedName>
    <definedName name="BEx7AVCYM7T7XVDCK8F50WDVZD96" hidden="1">#REF!</definedName>
    <definedName name="BEx7AW3T5AR1Q4WVRGCHBTOMBK3A" localSheetId="3" hidden="1">DP #REF!</definedName>
    <definedName name="BEx7AW3T5AR1Q4WVRGCHBTOMBK3A" hidden="1">DP #REF!</definedName>
    <definedName name="BEx7B009MUVB1CLPLUUM4V5T7W90" hidden="1">#REF!</definedName>
    <definedName name="BEx7BKZDIWRPOJ6G9MU9G4BG3PP1" hidden="1">#REF!</definedName>
    <definedName name="BEx7C5TC3I0HSKV7V6VFUS7C6MNR" hidden="1">#REF!</definedName>
    <definedName name="BEx7C70HI4989P5GBOKCGXBM4AI0" hidden="1">#REF!</definedName>
    <definedName name="BEx7C8YK6LU064J5DY3EQBHWKSDX" hidden="1">#REF!</definedName>
    <definedName name="BEx7CECSOSSAFNO6SWH5XKMD5Y1W" hidden="1">#REF!</definedName>
    <definedName name="BEx7CIEBPQZ4EVMVJYF8WEW1B8IV" hidden="1">#REF!</definedName>
    <definedName name="BEx7CO3BXAAHFJF4LK8EY79VP0A3" localSheetId="3" hidden="1">QKPI #REF!</definedName>
    <definedName name="BEx7CO3BXAAHFJF4LK8EY79VP0A3" hidden="1">QKPI #REF!</definedName>
    <definedName name="BEx7CPW2N2YB3HZJOFQXAKJOCMFC" hidden="1">#REF!</definedName>
    <definedName name="BEx7D687R6U0EIJU7I7UZDPAIG9B" localSheetId="3" hidden="1">QKPI #REF!</definedName>
    <definedName name="BEx7D687R6U0EIJU7I7UZDPAIG9B" hidden="1">QKPI #REF!</definedName>
    <definedName name="BEx7DE61LGKX49GUATEGINLFWJZF" hidden="1">#REF!</definedName>
    <definedName name="BEx7DK0J7LSGQ4LIU4LOE80N25Q3" hidden="1">#REF!</definedName>
    <definedName name="BEx7DOI7V029QX0YD9ND1GGXAVQQ" hidden="1">#REF!</definedName>
    <definedName name="BEx7DUNGUR6UIBPA06TVWHLN2U5Z" hidden="1">#REF!</definedName>
    <definedName name="BEx7DWAR1QHB3VJACFOGYTGXM173" localSheetId="3" hidden="1">QKPI #REF!</definedName>
    <definedName name="BEx7DWAR1QHB3VJACFOGYTGXM173" hidden="1">QKPI #REF!</definedName>
    <definedName name="BEx7DXNE7C4CVSNU4A19DZLSVLXM" localSheetId="3" hidden="1">_YA01 #REF!</definedName>
    <definedName name="BEx7DXNE7C4CVSNU4A19DZLSVLXM" hidden="1">_YA01 #REF!</definedName>
    <definedName name="BEx7EBVTX4I4SMYN39BYULYFQNF7" hidden="1">#REF!</definedName>
    <definedName name="BEx7EP7U8TUE5QCQOPRIEVPBJ5AE" hidden="1">#REF!</definedName>
    <definedName name="BEx7ERMB6IMYSADM2M1P16CYWQKB" hidden="1">#REF!</definedName>
    <definedName name="BEx7F0RBSHB7WTQHLX191LZE5WZ9" localSheetId="3" hidden="1">_YB06 #REF!</definedName>
    <definedName name="BEx7F0RBSHB7WTQHLX191LZE5WZ9" hidden="1">_YB06 #REF!</definedName>
    <definedName name="BEx7F2K1EL9GM94CEF97HE4F6UUY" hidden="1">#REF!</definedName>
    <definedName name="BEx7F4NKWRZOI7UMAQ9JOZUJ2B96" hidden="1">#REF!</definedName>
    <definedName name="BEx7F4NMCMKL6V3PZZTTCW9G08U9" hidden="1">#REF!</definedName>
    <definedName name="BEx7F8UNFVAA1N79XZLPYL95INEO" localSheetId="3" hidden="1">_YB11 #REF!</definedName>
    <definedName name="BEx7F8UNFVAA1N79XZLPYL95INEO" hidden="1">_YB11 #REF!</definedName>
    <definedName name="BEx7FDCHUHPHBSN084SSC18OOW25" hidden="1">#REF!</definedName>
    <definedName name="BEx7FDNAUZNLWBXCH2AL0EMDGNN6" localSheetId="3" hidden="1">QCheck #REF!</definedName>
    <definedName name="BEx7FDNAUZNLWBXCH2AL0EMDGNN6" hidden="1">QCheck #REF!</definedName>
    <definedName name="BEx7FILEGRKJWI343GK1E27VZO7O" localSheetId="3" hidden="1">Query #REF!</definedName>
    <definedName name="BEx7FILEGRKJWI343GK1E27VZO7O" hidden="1">Query #REF!</definedName>
    <definedName name="BEx7FK8NOJG9TTJTYGQC2Y3JPZS4" localSheetId="3" hidden="1">Query #REF!</definedName>
    <definedName name="BEx7FK8NOJG9TTJTYGQC2Y3JPZS4" hidden="1">Query #REF!</definedName>
    <definedName name="BEx7FSC0B4UJNC2356I7UDTY58IH" hidden="1">#REF!</definedName>
    <definedName name="BEx7FTTXR1LV0AEZJ4AGL3WVAMND" hidden="1">#REF!</definedName>
    <definedName name="BEx7G2DC1ZDDUBY6JNDJU9I5MUDJ" hidden="1">#REF!</definedName>
    <definedName name="BEx7GALYTC5W3PY3OH7EGHDJX8MG" hidden="1">#REF!</definedName>
    <definedName name="BEx7GB7LM2LA1P2U8DANYWOBY05K" hidden="1">#REF!</definedName>
    <definedName name="BEx7GZ6WNA2GQIAPQDGHUDS5C35Z" hidden="1">#REF!</definedName>
    <definedName name="BEx7HH64BPUFKWPYS3SLIGZL88X9" localSheetId="3" hidden="1">_YA09 GuV #REF!</definedName>
    <definedName name="BEx7HH64BPUFKWPYS3SLIGZL88X9" hidden="1">_YA09 GuV #REF!</definedName>
    <definedName name="BEx7HP9H25IJB5E9HWE4JB91EACK" hidden="1">#REF!</definedName>
    <definedName name="BEx7HWR756PTUVWAM3QDCF4UKK1Y" localSheetId="3" hidden="1">DP #REF!</definedName>
    <definedName name="BEx7HWR756PTUVWAM3QDCF4UKK1Y" hidden="1">DP #REF!</definedName>
    <definedName name="BEx7HXSV86M0BCHSI7O1VOSVIPH9" localSheetId="3" hidden="1">Query #REF!</definedName>
    <definedName name="BEx7HXSV86M0BCHSI7O1VOSVIPH9" hidden="1">Query #REF!</definedName>
    <definedName name="BEx7HYUQONJCDGEGGJZBQMPJSBGV" hidden="1">#REF!</definedName>
    <definedName name="BEx7I01U1G1QS5IB6WRYZDAIC8NL" hidden="1">#REF!</definedName>
    <definedName name="BEx7I2QXN2KQCYQ9POSRUYYW937N" localSheetId="3" hidden="1">Query #REF!</definedName>
    <definedName name="BEx7I2QXN2KQCYQ9POSRUYYW937N" hidden="1">Query #REF!</definedName>
    <definedName name="BEx7IGU2FAKJ4S6TENNUD0MWG771" localSheetId="3" hidden="1">QKPI #REF!</definedName>
    <definedName name="BEx7IGU2FAKJ4S6TENNUD0MWG771" hidden="1">QKPI #REF!</definedName>
    <definedName name="BEx7IH4W864DE1LONC4FTHG0HH3Y" hidden="1">#REF!</definedName>
    <definedName name="BEx7IK4SOBHE62WATR5P8MQX1PIF" hidden="1">#REF!</definedName>
    <definedName name="BEx7IMOEN88N1CWYDU4JEC2TJZOZ" hidden="1">#REF!</definedName>
    <definedName name="BEx7IS830ZA2L3Q11KSC5OZSWMAT" hidden="1">#REF!</definedName>
    <definedName name="BEx7IURPTRDYDJT13V24IQ8RGJ6C" hidden="1">#REF!</definedName>
    <definedName name="BEx7IXRME6DYXPAVW6T0FHKL08LA" hidden="1">#REF!</definedName>
    <definedName name="BEx7IZKD5OJ0AI1ULP6MO3HUWDZ9" hidden="1">#REF!</definedName>
    <definedName name="BEx7J35SZVM0QDNMJZLTVG5G1DXD" localSheetId="3" hidden="1">DP #REF!</definedName>
    <definedName name="BEx7J35SZVM0QDNMJZLTVG5G1DXD" hidden="1">DP #REF!</definedName>
    <definedName name="BEx7JFQZSZJT5NQNAAWBGNYWHS4O" hidden="1">#REF!</definedName>
    <definedName name="BEx7JIQVO86ARZG2J5KMPFO57FOH" hidden="1">#REF!</definedName>
    <definedName name="BEx7JKJMUNZ5WANJB94QT45H52FS" hidden="1">#REF!</definedName>
    <definedName name="BEx7JOAKTAF7SELW9697P8Y985TW" hidden="1">#REF!</definedName>
    <definedName name="BEx7JPXUYZLSY69AOVYUNSNND2D2" hidden="1">#REF!</definedName>
    <definedName name="BEx7K1BUNE1ZGW9FC0LBQQJR6MY7" localSheetId="3" hidden="1">Query #REF!</definedName>
    <definedName name="BEx7K1BUNE1ZGW9FC0LBQQJR6MY7" hidden="1">Query #REF!</definedName>
    <definedName name="BEx7K82JV7HMM1ABTP9DJ13PRGBZ" localSheetId="3" hidden="1">QKPI #REF!</definedName>
    <definedName name="BEx7K82JV7HMM1ABTP9DJ13PRGBZ" hidden="1">QKPI #REF!</definedName>
    <definedName name="BEx7KCPVLNYJI8JIR0BJIDSA0NG2" hidden="1">#REF!</definedName>
    <definedName name="BEx7KMWPJI0M4NEFAYZ20WH2TAL8" hidden="1">#REF!</definedName>
    <definedName name="BEx7KNNLV8DNXVMH1CXPIX0A1M6U" hidden="1">#REF!</definedName>
    <definedName name="BEx7KNYDTR0QHC0Q0FPXIGJUN4JD" hidden="1">#REF!</definedName>
    <definedName name="BEx7KQ7DJVEWZ0WXSKXR4ZJG3MEB" hidden="1">#REF!</definedName>
    <definedName name="BEx7KQI5Z8WI3TXGC3Y29D83QL7Z" hidden="1">#REF!</definedName>
    <definedName name="BEx7LHMKBBTNEQFWWMY405R0K7VW" hidden="1">#REF!</definedName>
    <definedName name="BEx7LHMKJ81EZYKN69NW9XS41QKK" hidden="1">#REF!</definedName>
    <definedName name="BEx7LKX9BC0K0HCBLUBYW9SW0IZE" hidden="1">#REF!</definedName>
    <definedName name="BEx7LXNQSMBKXGVL7974PGI90SDR" hidden="1">#REF!</definedName>
    <definedName name="BEx7MAJPK180FDMBRHRLKBL1R0LB" localSheetId="3" hidden="1">_YA01 #REF!</definedName>
    <definedName name="BEx7MAJPK180FDMBRHRLKBL1R0LB" hidden="1">_YA01 #REF!</definedName>
    <definedName name="BEx7MPDTYNXSH5CAZQHP3BRJA9ZY" hidden="1">#REF!</definedName>
    <definedName name="BEx7MRMPCRQJG1W32JGB48TBCNFK" hidden="1">#REF!</definedName>
    <definedName name="BEx7MUBRYRH1TJD1QJCCL6WH1O09" hidden="1">#REF!</definedName>
    <definedName name="BEx7NHEN7REONAX0AUUREGEFZ9AJ" localSheetId="3" hidden="1">QKPI #REF!</definedName>
    <definedName name="BEx7NHEN7REONAX0AUUREGEFZ9AJ" hidden="1">QKPI #REF!</definedName>
    <definedName name="BEx7NHPE8CR148G7QBB4O8GHVORR" hidden="1">#REF!</definedName>
    <definedName name="BEx90IVBPV68GKNA76OZJNYN3LX0" hidden="1">#REF!</definedName>
    <definedName name="BEx90KTE73LDJY7RJCQKYB0RJFH2" hidden="1">#REF!</definedName>
    <definedName name="BEx915NCH0STLV27C7I2HOAIKEIM" hidden="1">#REF!</definedName>
    <definedName name="BEx917AMJB4KYILAOGP9J3XXBH6Q" hidden="1">#REF!</definedName>
    <definedName name="BEx91DFVJ275EYENJQEUMWLUPJCF" hidden="1">#REF!</definedName>
    <definedName name="BEx91GQK9OEYX0C9HQDIC4MYY3JU" hidden="1">#REF!</definedName>
    <definedName name="BEx91NH9DVB1E2JO1CSQ0PMVJGCA" hidden="1">#REF!</definedName>
    <definedName name="BEx92B060YV2L5X6VUZR8UIFSBIW" hidden="1">#REF!</definedName>
    <definedName name="BEx92LN9KW44A3LAD547XFX478VW" hidden="1">#REF!</definedName>
    <definedName name="BEx92RXU9B49GU7HX86DO1BHCX9O" localSheetId="3" hidden="1">Query #REF!</definedName>
    <definedName name="BEx92RXU9B49GU7HX86DO1BHCX9O" hidden="1">Query #REF!</definedName>
    <definedName name="BEx92TAC5E7Z7W7ZXN9MNXJHY62I" hidden="1">#REF!</definedName>
    <definedName name="BEx92VJ6IL5SL36X7BCI6N6G78X5" hidden="1">#REF!</definedName>
    <definedName name="BEx92YOI7W50BX8DSYDP0X8LQ4YT" hidden="1">#REF!</definedName>
    <definedName name="BEx938KKVQTPNPB5TOGFSAMAWATN" localSheetId="3" hidden="1">_YA01 #REF!</definedName>
    <definedName name="BEx938KKVQTPNPB5TOGFSAMAWATN" hidden="1">_YA01 #REF!</definedName>
    <definedName name="BEx93EEWK1UOIYCA1ECQ287M2D4S" hidden="1">#REF!</definedName>
    <definedName name="BEx93G7TMMFB4KFE2IUAP284XOVZ" localSheetId="3" hidden="1">QKPI #REF!</definedName>
    <definedName name="BEx93G7TMMFB4KFE2IUAP284XOVZ" hidden="1">QKPI #REF!</definedName>
    <definedName name="BEx93KK5DM6UJVBIL5S0NG0364NN" localSheetId="3" hidden="1">Query #REF!</definedName>
    <definedName name="BEx93KK5DM6UJVBIL5S0NG0364NN" hidden="1">Query #REF!</definedName>
    <definedName name="BEx93MYH2FHMD7SVTZXPWS9YL7QH" localSheetId="3" hidden="1">DP #REF!</definedName>
    <definedName name="BEx93MYH2FHMD7SVTZXPWS9YL7QH" hidden="1">DP #REF!</definedName>
    <definedName name="BEx93QJYGBDXLQV31RELQO7C5KQN" hidden="1">#REF!</definedName>
    <definedName name="BEx94FQ996MIF01XTREUUDTN0WPU" hidden="1">#REF!</definedName>
    <definedName name="BEx94KYZRN5RPUF4U3RM7GGLT7LS" hidden="1">#REF!</definedName>
    <definedName name="BEx94YGKXX90ZHWAZ8SZ0IASUPGQ" hidden="1">#REF!</definedName>
    <definedName name="BEx94ZNQ4FLY86J5SW9WGJOOMYM4" localSheetId="3" hidden="1">Query #REF!</definedName>
    <definedName name="BEx94ZNQ4FLY86J5SW9WGJOOMYM4" hidden="1">Query #REF!</definedName>
    <definedName name="BEx9563RYX98GTE9QST55A7JDM87" hidden="1">#REF!</definedName>
    <definedName name="BEx95692VMWQP50VHJZA1JLYXBY3" localSheetId="3" hidden="1">Query #REF!</definedName>
    <definedName name="BEx95692VMWQP50VHJZA1JLYXBY3" hidden="1">Query #REF!</definedName>
    <definedName name="BEx958CMQET3KP3RWNEPRPJSURUW" hidden="1">#REF!</definedName>
    <definedName name="BEx959JSQD68573FHRYQUJGSLPKS" hidden="1">#REF!</definedName>
    <definedName name="BEx95BSLVLRAUGWNSTNLWEMPD2VB" hidden="1">#REF!</definedName>
    <definedName name="BEx95W0UQ85RKOOGOW85XHIK6FOH" hidden="1">#REF!</definedName>
    <definedName name="BEx965WX9676KEMNFIVGMXYMGLRC" hidden="1">#REF!</definedName>
    <definedName name="BEx96F7E2UUNL6ILJCF9CH4UN6RY" hidden="1">#REF!</definedName>
    <definedName name="BEx96MEC1M07E242SFY4JAHYVEDX" hidden="1">#REF!</definedName>
    <definedName name="BEx96QALM4I934H5UH3KSS08O6U8" hidden="1">#REF!</definedName>
    <definedName name="BEx96QQVN5DDROP0E2LYU8IZVJMB" hidden="1">#REF!</definedName>
    <definedName name="BEx97LGQ0GVRWZHHWJNEXAM3QW6V" hidden="1">#REF!</definedName>
    <definedName name="BEx97ULV354O1F7X9FAB2LCW1XLO" hidden="1">#REF!</definedName>
    <definedName name="BEx983QWIJSRKYJ761ZHZAJLTUJP" hidden="1">#REF!</definedName>
    <definedName name="BEx9841N4F62O11BNH20V18OJMIY" hidden="1">#REF!</definedName>
    <definedName name="BEx985UE6LCTLNKZY90XFLNOIF0J" hidden="1">#REF!</definedName>
    <definedName name="BEx988OUTJ3M85ALOGEVFE3JU7I1" hidden="1">#REF!</definedName>
    <definedName name="BEx98I4TMQF0W7EOL4T75XUDA8XW" localSheetId="3" hidden="1">Query #REF!</definedName>
    <definedName name="BEx98I4TMQF0W7EOL4T75XUDA8XW" hidden="1">Query #REF!</definedName>
    <definedName name="BEx98U9OO34NCZZNMG6523H5SHE0" localSheetId="3" hidden="1">Query #REF!</definedName>
    <definedName name="BEx98U9OO34NCZZNMG6523H5SHE0" hidden="1">Query #REF!</definedName>
    <definedName name="BEx9909I704PN3HNFA6A63OALZB7" hidden="1">#REF!</definedName>
    <definedName name="BEx9945QHFG2GBQC1S4NQVNH4EO7" hidden="1">#REF!</definedName>
    <definedName name="BEx995ID8ISE7KA8BP8N9MQ0C8Y9" hidden="1">#REF!</definedName>
    <definedName name="BEx995YIILDNFFNDM3XYASLKYQ4V" hidden="1">#REF!</definedName>
    <definedName name="BEx997GFWSNYUFU412E724CO22E6" hidden="1">#REF!</definedName>
    <definedName name="BEx99RU51HIW55UA7X67GVIEVXAO" hidden="1">#REF!</definedName>
    <definedName name="BEx9A2XCC08EGKLRWF73MVTLT6T0" hidden="1">#REF!</definedName>
    <definedName name="BEx9ADPLTSNFVYQBLK4APVZ2XWJ3" hidden="1">#REF!</definedName>
    <definedName name="BEx9AG3YBML4AR2S2LMPVRV2EOCE" hidden="1">#REF!</definedName>
    <definedName name="BEx9AGK7RQP7LE65OVSJZKQL8MDC" localSheetId="3" hidden="1">_YA01 #REF!</definedName>
    <definedName name="BEx9AGK7RQP7LE65OVSJZKQL8MDC" hidden="1">_YA01 #REF!</definedName>
    <definedName name="BEx9AKLX5GT3GWPEE91C9U48SHPV" hidden="1">#REF!</definedName>
    <definedName name="BEx9ALSXOV4462A1W7JBCVF8201H" hidden="1">#REF!</definedName>
    <definedName name="BEx9AQR1NVAO3HJNDZ8GNNJ1GVEV" hidden="1">#REF!</definedName>
    <definedName name="BEx9AQR28S2303LJ2O0OO4BOQ57W" localSheetId="3" hidden="1">Query #REF!</definedName>
    <definedName name="BEx9AQR28S2303LJ2O0OO4BOQ57W" hidden="1">Query #REF!</definedName>
    <definedName name="BEx9B01IRD8S2EJ5BL22QRMTAIBZ" hidden="1">#REF!</definedName>
    <definedName name="BEx9B18O5RT8JK1IB8ET3B0XKSVL" hidden="1">#REF!</definedName>
    <definedName name="BEx9B8VPU20TRBMP1063T4CX73Z1" hidden="1">#REF!</definedName>
    <definedName name="BEx9B9HBY95HJNEXF0417V8YNLVU" localSheetId="3" hidden="1">QKPI #REF!</definedName>
    <definedName name="BEx9B9HBY95HJNEXF0417V8YNLVU" hidden="1">QKPI #REF!</definedName>
    <definedName name="BEx9BATYYQGFP1Z61QFJVYLIODL4" hidden="1">#REF!</definedName>
    <definedName name="BEx9BBA0XBIW9KGJ0R61H6PGOARD" hidden="1">#REF!</definedName>
    <definedName name="BEx9BH9UMMXLRENCZSLK6TO6Q1HT" hidden="1">#REF!</definedName>
    <definedName name="BEx9BNF3VKDBBM7J3800YCT01NDB" localSheetId="3" hidden="1">QKPI #REF!</definedName>
    <definedName name="BEx9BNF3VKDBBM7J3800YCT01NDB" hidden="1">QKPI #REF!</definedName>
    <definedName name="BEx9BOGSZ9FC7W3GW7WDO7T8S15V" hidden="1">#REF!</definedName>
    <definedName name="BEx9BSD1LUJSJWR6TQEULDUMB2R2" hidden="1">#REF!</definedName>
    <definedName name="BEx9BV27F26KNMXH6BZ70Y8ZHWAF" hidden="1">#REF!</definedName>
    <definedName name="BEx9BVYIQZIQ4LR4GY5LBS0N2V04" hidden="1">#REF!</definedName>
    <definedName name="BEx9C95A6Y8E39H9TYRXJNH2VU8S" hidden="1">#REF!</definedName>
    <definedName name="BEx9CAY19JS4O2ESV7GIZ0UK698O" hidden="1">#REF!</definedName>
    <definedName name="BEx9CBJMNI346DYUPXJ0SHW2LBR5" localSheetId="3" hidden="1">_YA01 #REF!</definedName>
    <definedName name="BEx9CBJMNI346DYUPXJ0SHW2LBR5" hidden="1">_YA01 #REF!</definedName>
    <definedName name="BEx9CCQQXD6I0Y1YKQITT7B2UWX7" hidden="1">#REF!</definedName>
    <definedName name="BEx9CEE08C9M53SZ307HMZX4DKG4" localSheetId="3" hidden="1">_YA01 #REF!</definedName>
    <definedName name="BEx9CEE08C9M53SZ307HMZX4DKG4" hidden="1">_YA01 #REF!</definedName>
    <definedName name="BEx9CFVYS5GBWJAI51RNUV2GTSZY" hidden="1">#REF!</definedName>
    <definedName name="BEx9CIVW55RPZ0TR9FYN337AA8RH" hidden="1">#REF!</definedName>
    <definedName name="BEx9CRKQL1N70MBBAFPI4VHD9TTA" hidden="1">#REF!</definedName>
    <definedName name="BEx9CTDI9MDMJPXI2VSUD2JWMXRQ" hidden="1">#REF!</definedName>
    <definedName name="BEx9CV0XSW1JOVLKR2SGSVNDCUU3" hidden="1">#REF!</definedName>
    <definedName name="BEx9CVX4C5NR0SG2XZEVT4A6FWLH" hidden="1">#REF!</definedName>
    <definedName name="BEx9CYM8Y9OZSSL7RU9I8JA7B8X6" hidden="1">#REF!</definedName>
    <definedName name="BEx9D22F4K70Z2XROPG1K304K34W" hidden="1">#REF!</definedName>
    <definedName name="BEx9D7M3GLT1JJ0VMFXGE578VUNX" hidden="1">#REF!</definedName>
    <definedName name="BEx9DDWNHC6L6CJC2ERRV6FEIWQ0" hidden="1">#REF!</definedName>
    <definedName name="BEx9DKCL2SSGFU3WOHAGW2UL21GQ" hidden="1">#REF!</definedName>
    <definedName name="BEx9DQN6U9GTAPZDM06D19DXTNAH" hidden="1">#REF!</definedName>
    <definedName name="BEx9DSAKLY47NFGEIZ156ZNPGNJ9" hidden="1">#REF!</definedName>
    <definedName name="BEx9E14RLV2ISPD833437SN65LWS" hidden="1">#REF!</definedName>
    <definedName name="BEx9E7Q6RHA3KC1B0VKRULU05KSC" localSheetId="3" hidden="1">QKPI #REF!</definedName>
    <definedName name="BEx9E7Q6RHA3KC1B0VKRULU05KSC" hidden="1">QKPI #REF!</definedName>
    <definedName name="BEx9F6SD861SHBA0DQY5EH7J7134" hidden="1">#REF!</definedName>
    <definedName name="BEx9FBQIJLVW57O884HHZY7OALNP" hidden="1">#REF!</definedName>
    <definedName name="BEx9FKQ7ZGXCSPQVCLZCS76YWS5J" hidden="1">#REF!</definedName>
    <definedName name="BEx9FO65QIRSN6NBJ3V7TEQ51IH6" hidden="1">#REF!</definedName>
    <definedName name="BEx9FP2K5EDZPIU2F25M5X2SUMEY" hidden="1">#REF!</definedName>
    <definedName name="BEx9FVINCJCQBDRK2F9GTUWTFNAI" hidden="1">#REF!</definedName>
    <definedName name="BEx9FZ43SPN1A2JK1VPYMWGP4YGP" hidden="1">#REF!</definedName>
    <definedName name="BEx9G0B3WQWV1UFWJVYTC5FYF10Z" hidden="1">#REF!</definedName>
    <definedName name="BEx9G35P1GNBAVLO1BL3SBS8SKVO" hidden="1">#REF!</definedName>
    <definedName name="BEx9GA1VBASC1MBOV38GLAXJMIYO" hidden="1">#REF!</definedName>
    <definedName name="BEx9GFQUICKYUMCYSTNX3S1WHW51" localSheetId="3" hidden="1">DP #REF!</definedName>
    <definedName name="BEx9GFQUICKYUMCYSTNX3S1WHW51" hidden="1">DP #REF!</definedName>
    <definedName name="BEx9GK8PLAOCF1DHTD3YN1INLC8S" hidden="1">#REF!</definedName>
    <definedName name="BEx9GQJ9J96RJ3KPVNUVUAKUO5MS" hidden="1">#REF!</definedName>
    <definedName name="BEx9GUQB0SKVNAG3OZEB4RB8SF8Z" hidden="1">#REF!</definedName>
    <definedName name="BEx9GUVMFUT39W3EV8R34XX5LZNL" hidden="1">#REF!</definedName>
    <definedName name="BEx9H0FC44DNLRAJ89YBXJ6M2NAM" hidden="1">#REF!</definedName>
    <definedName name="BEx9H9PTBW02WEQDV24LKE6V5BES" hidden="1">#REF!</definedName>
    <definedName name="BEx9HB7R6IQVWCM4SB3JG0KX20NA" localSheetId="3" hidden="1">Query #REF!</definedName>
    <definedName name="BEx9HB7R6IQVWCM4SB3JG0KX20NA" hidden="1">Query #REF!</definedName>
    <definedName name="BEx9HG5OCYLBM0PMJNV1ICOOSHPD" hidden="1">#REF!</definedName>
    <definedName name="BEx9HG5QN3V4KZ8WJZ2MY4RETPJM" hidden="1">#REF!</definedName>
    <definedName name="BEx9HJ5LS3O6QGG9YOQWG6J1KTOX" hidden="1">#REF!</definedName>
    <definedName name="BEx9HJGDCBPZBY96CVJA89MO4KDL" hidden="1">#REF!</definedName>
    <definedName name="BEx9HKYBFX3N4Q321APUSSSG35TC" hidden="1">#REF!</definedName>
    <definedName name="BEx9HPQZ5X80DU5KUMP9MP4UAJUI" hidden="1">#REF!</definedName>
    <definedName name="BEx9HRJP51QI4MOWDI82TLDOB9GR" hidden="1">#REF!</definedName>
    <definedName name="BEx9HU8TKYZ9W4AD22YNMOO91CTL" hidden="1">#REF!</definedName>
    <definedName name="BEx9HZC8WWK0HSO7EPLDPU8DNA9R" hidden="1">#REF!</definedName>
    <definedName name="BEx9IQWVQJ8DXPJPPMLOYCHO3W1D" localSheetId="3" hidden="1">DP #REF!</definedName>
    <definedName name="BEx9IQWVQJ8DXPJPPMLOYCHO3W1D" hidden="1">DP #REF!</definedName>
    <definedName name="BEx9IT5PRCOK7MY3MX35KLZD2XPI" hidden="1">#REF!</definedName>
    <definedName name="BEx9IV9AIZHY2OUFTLQ0G7F17HCU" localSheetId="3" hidden="1">Query #REF!</definedName>
    <definedName name="BEx9IV9AIZHY2OUFTLQ0G7F17HCU" hidden="1">Query #REF!</definedName>
    <definedName name="BEx9JLXJS90ISENYYWCC76WL5UUI" hidden="1">#REF!</definedName>
    <definedName name="BEx9JN4OCCTU0L1DMXQLLEL80JV6" hidden="1">#REF!</definedName>
    <definedName name="BEx9JUX99E4X5P6P4S1760T32V1B" hidden="1">#REF!</definedName>
    <definedName name="BExAVWQ08M95EXJIKCBQNR8M0ULB" hidden="1">#REF!</definedName>
    <definedName name="BExAVYTGWTCTG34AKMN6IGK8YMV4" hidden="1">#REF!</definedName>
    <definedName name="BExAVZ4AMX0HNW9S75CVWHM9A3BD" localSheetId="3" hidden="1">Query #REF!</definedName>
    <definedName name="BExAVZ4AMX0HNW9S75CVWHM9A3BD" hidden="1">Query #REF!</definedName>
    <definedName name="BExAW00NDEU77TCV2T0X3XK7GTLD" hidden="1">#REF!</definedName>
    <definedName name="BExAWEPCTCC557YVNVCCRMEPEAZK" hidden="1">#REF!</definedName>
    <definedName name="BExAWHP8EJXPIGNMZW4XLAS0TRIO" localSheetId="3" hidden="1">Query #REF!</definedName>
    <definedName name="BExAWHP8EJXPIGNMZW4XLAS0TRIO" hidden="1">Query #REF!</definedName>
    <definedName name="BExAWPHR3KSTSW2LZHHH06DVP0AS" hidden="1">#REF!</definedName>
    <definedName name="BExAWSN07T5RJ07NI1FLBJP98Z3T" localSheetId="3" hidden="1">QCheck #REF!</definedName>
    <definedName name="BExAWSN07T5RJ07NI1FLBJP98Z3T" hidden="1">QCheck #REF!</definedName>
    <definedName name="BExAWWZJ4DSBR09I5I47OJ32HQVD" hidden="1">#REF!</definedName>
    <definedName name="BExAX0VSO9850NKOSM052CKXIIQH" hidden="1">#REF!</definedName>
    <definedName name="BExAX882J55BZ6Q67AFYVGDDM4BN" hidden="1">#REF!</definedName>
    <definedName name="BExAXJM10VAPP83QL89YB8SVTY0G" hidden="1">#REF!</definedName>
    <definedName name="BExAXJWUXL4D9CMXTCGYVVKM6JWL" hidden="1">#REF!</definedName>
    <definedName name="BExAXM5UFLMBS6BHHB7WO72P26XC" hidden="1">#REF!</definedName>
    <definedName name="BExAXSAYSO2AVWFWN4S2EWBXNGKL" hidden="1">#REF!</definedName>
    <definedName name="BExAY7L7SMCAH7KSUQI7APZ7FM3A" localSheetId="3" hidden="1">Query #REF!</definedName>
    <definedName name="BExAY7L7SMCAH7KSUQI7APZ7FM3A" hidden="1">Query #REF!</definedName>
    <definedName name="BExAY9ZJR8ZB461OIKR2AUPTIS8W" hidden="1">#REF!</definedName>
    <definedName name="BExAYES6DZQ7RFGWI5N9YJ92TWQ5" hidden="1">#REF!</definedName>
    <definedName name="BExAYEXNW88I5RKMKGEFOIW440N8" localSheetId="3" hidden="1">Query #REF!</definedName>
    <definedName name="BExAYEXNW88I5RKMKGEFOIW440N8" hidden="1">Query #REF!</definedName>
    <definedName name="BExAYM9X2SG2FFADYOW0J7VWB01D" hidden="1">#REF!</definedName>
    <definedName name="BExAYOO92WVQ9XN98JWL0PAHMYF1" hidden="1">#REF!</definedName>
    <definedName name="BExAYPF4RDYU0Y0C46F5DAR7D8N6" hidden="1">#REF!</definedName>
    <definedName name="BExAYVPQ1KHFJ883RFBME91DCT8H" localSheetId="3" hidden="1">Query #REF!</definedName>
    <definedName name="BExAYVPQ1KHFJ883RFBME91DCT8H" hidden="1">Query #REF!</definedName>
    <definedName name="BExAYVPV36SXOUC6V44MFEBLQUZV" hidden="1">#REF!</definedName>
    <definedName name="BExAYZGNEN3DOQ4VDPPSA8QLZB4E" hidden="1">#REF!</definedName>
    <definedName name="BExAZ2B32L3N1ZRO72BQKT8FEXKS" hidden="1">#REF!</definedName>
    <definedName name="BExAZB5GY9JOT42RK6PPS9W9K1Z4" hidden="1">#REF!</definedName>
    <definedName name="BExAZCCNFAFKLPTUD3XW83WAGW12" hidden="1">#REF!</definedName>
    <definedName name="BExAZD3IDIPZRSP1PHNP61ZBS8FC" hidden="1">#REF!</definedName>
    <definedName name="BExAZL6UJ1M5RCCMX3P64BAOF6XA" hidden="1">#REF!</definedName>
    <definedName name="BExAZMJFR3659VRHXJPOFWEEIXM5" hidden="1">#REF!</definedName>
    <definedName name="BExAZSU1OIWOZTNIY7H110MOQ2UL" hidden="1">#REF!</definedName>
    <definedName name="BExB0RWAMEGLIHI8FE7HSGFVMBR8" hidden="1">#REF!</definedName>
    <definedName name="BExB0TE972DFF9JZI7SOMJY7MNS1" hidden="1">#REF!</definedName>
    <definedName name="BExB158IAXVMFJIKM7ETWSA64BG4" hidden="1">#REF!</definedName>
    <definedName name="BExB18DOJOSZ47DVAVKM9S2KL9Q1" hidden="1">#REF!</definedName>
    <definedName name="BExB19A2OJELJC9A17VZGE2MGV9A" hidden="1">#REF!</definedName>
    <definedName name="BExB1JRPWH1YE01GHTPTLA480R1U" hidden="1">#REF!</definedName>
    <definedName name="BExB1TCZPDJLI5T7ZTVKOEWYK09L" hidden="1">#REF!</definedName>
    <definedName name="BExB1TIAYW29LYEZHQOI13LMZI6E" hidden="1">#REF!</definedName>
    <definedName name="BExB1WNNYPKN76ZHQ4COVRJIJRLL" hidden="1">#REF!</definedName>
    <definedName name="BExB1WYH0HL2EBLOYQ0N4MCDNJQU" hidden="1">#REF!</definedName>
    <definedName name="BExB3GZXNVD3EO2BI3ZQE7AIMY68" hidden="1">#REF!</definedName>
    <definedName name="BExB3IY5WYYA85QB35PBWFFLEE6H" hidden="1">#REF!</definedName>
    <definedName name="BExB3JUKHEA6QL0RKBHTHJGY9QL0" localSheetId="3" hidden="1">Query #REF!</definedName>
    <definedName name="BExB3JUKHEA6QL0RKBHTHJGY9QL0" hidden="1">Query #REF!</definedName>
    <definedName name="BExB3M3ENZ2XKN0QQUCQGQD2XF1F" localSheetId="3" hidden="1">Query #REF!</definedName>
    <definedName name="BExB3M3ENZ2XKN0QQUCQGQD2XF1F" hidden="1">Query #REF!</definedName>
    <definedName name="BExB3MJNTUIE4H1ZLV7CUS5LLJVS" localSheetId="3" hidden="1">_YB01 #REF!</definedName>
    <definedName name="BExB3MJNTUIE4H1ZLV7CUS5LLJVS" hidden="1">_YB01 #REF!</definedName>
    <definedName name="BExB3O6XASOGAJ3VVJS742F30JBX" hidden="1">#REF!</definedName>
    <definedName name="BExB3OHP6JGERMZPAJWJVM8SBFU8" hidden="1">#REF!</definedName>
    <definedName name="BExB3PZNE6TYFBE7NM7YLOCZ7SS3" hidden="1">#REF!</definedName>
    <definedName name="BExB418CTZL7LUZDNFN4JCLFAP3K" hidden="1">#REF!</definedName>
    <definedName name="BExB43BV94NCU4XPP83XP03EB9U1" hidden="1">#REF!</definedName>
    <definedName name="BExB4784U2GMU1S70F957I214IRI" hidden="1">#REF!</definedName>
    <definedName name="BExB490WAYODXTPD719JVYP5463U" hidden="1">#REF!</definedName>
    <definedName name="BExB4B4EDAUSMXK9360M4DGSOCBF" hidden="1">#REF!</definedName>
    <definedName name="BExB4BKI022CRQC10SPROMMTWQ24" hidden="1">#REF!</definedName>
    <definedName name="BExB4CGVBVZD2PW9THGNPYZOBE3D" hidden="1">#REF!</definedName>
    <definedName name="BExB4E4AY58CQMK426RV844LJMZA" hidden="1">#REF!</definedName>
    <definedName name="BExB4HETFM3Z1EBPQRA6ONT962TH" localSheetId="3" hidden="1">Query #REF!</definedName>
    <definedName name="BExB4HETFM3Z1EBPQRA6ONT962TH" hidden="1">Query #REF!</definedName>
    <definedName name="BExB4LRD8U02CL0O7ZJXX67EQT4Z" hidden="1">#REF!</definedName>
    <definedName name="BExB4MI8WVP7D7CX9M0ST7KA7BO1" hidden="1">#REF!</definedName>
    <definedName name="BExB4OB4SS1QOV8TNOI9DBOL3HJG" hidden="1">#REF!</definedName>
    <definedName name="BExB4UG87PHPF5EEZQII2CVRMCO3" hidden="1">#REF!</definedName>
    <definedName name="BExB5BOK121QN3SHEDJ3XF652KDR" hidden="1">#REF!</definedName>
    <definedName name="BExB5BZDXCIIT63RLR8DJ5SQX7WV" hidden="1">#REF!</definedName>
    <definedName name="BExB5JRW361PGASV5PN6DEW79SMA" hidden="1">#REF!</definedName>
    <definedName name="BExB5V0GTPZU5GVB8OQU8YGXMAPR" hidden="1">#REF!</definedName>
    <definedName name="BExB5VGPG6F87YY4N9L8JWYBQ22T" hidden="1">#REF!</definedName>
    <definedName name="BExB5WD1SSWKQLWX2WSOZVWFSMNJ" hidden="1">#REF!</definedName>
    <definedName name="BExB675GYTVEM4KJAC86JNL07J2L" hidden="1">#REF!</definedName>
    <definedName name="BExB68SRBZWTUHZAJFUZZ7HUCPXG" hidden="1">#REF!</definedName>
    <definedName name="BExB6CUHZLIPPZ80J5TNCW1VQHZR" localSheetId="3" hidden="1">Query #REF!</definedName>
    <definedName name="BExB6CUHZLIPPZ80J5TNCW1VQHZR" hidden="1">Query #REF!</definedName>
    <definedName name="BExB6GAI17ZXF8TCIV5NXFRB51XI" hidden="1">#REF!</definedName>
    <definedName name="BExB6T6FQFZ0L795NMT4DICYSVJD" localSheetId="3" hidden="1">QKPI #REF!</definedName>
    <definedName name="BExB6T6FQFZ0L795NMT4DICYSVJD" hidden="1">QKPI #REF!</definedName>
    <definedName name="BExB6WH4C5HIOVY3FTJQUJNFL9V6" localSheetId="3" hidden="1">Query #REF!</definedName>
    <definedName name="BExB6WH4C5HIOVY3FTJQUJNFL9V6" hidden="1">Query #REF!</definedName>
    <definedName name="BExB714B17AQ41H6FT1GOZ6GB3UH" hidden="1">#REF!</definedName>
    <definedName name="BExB785XJ6SLXSUJZ9A2Z7E8JELK" hidden="1">#REF!</definedName>
    <definedName name="BExB79YNAMRL121YVCW1CO5RBOK6" hidden="1">#REF!</definedName>
    <definedName name="BExB7BGMKOQE9AZQQBAK8T67Z1F0" hidden="1">#REF!</definedName>
    <definedName name="BExB7MZXLDJAZ25VK650RXAOUGPS" hidden="1">#REF!</definedName>
    <definedName name="BExB7OHV7H2UJD1I2KEM02CUVCSQ" hidden="1">#REF!</definedName>
    <definedName name="BExB7SZQPKJANIWMP2AGD5P8VGF3" hidden="1">#REF!</definedName>
    <definedName name="BExB7WVYU0SMTWQOYLS4482E7LVF" localSheetId="3" hidden="1">Query #REF!</definedName>
    <definedName name="BExB7WVYU0SMTWQOYLS4482E7LVF" hidden="1">Query #REF!</definedName>
    <definedName name="BExB7XHKXKTEN79TCEOMW6J1QG2M" hidden="1">#REF!</definedName>
    <definedName name="BExB7XN1MSNWE93TMPJNKITKOW5P" localSheetId="3" hidden="1">Query #REF!</definedName>
    <definedName name="BExB7XN1MSNWE93TMPJNKITKOW5P" hidden="1">Query #REF!</definedName>
    <definedName name="BExB8I635JGVIIOT1W2510QAT84F" hidden="1">#REF!</definedName>
    <definedName name="BExB8OGNLMWC1TEGWFKJQYKVE53K" localSheetId="3" hidden="1">Query #REF!</definedName>
    <definedName name="BExB8OGNLMWC1TEGWFKJQYKVE53K" hidden="1">Query #REF!</definedName>
    <definedName name="BExB8WUQGNP9UBQ43HS7KNITRT0R" hidden="1">#REF!</definedName>
    <definedName name="BExB8XAUHPKG2LLZM0NR46ZJ7DPC" hidden="1">#REF!</definedName>
    <definedName name="BExB958UDVH6AO0OWOM25VF9ZVSN" hidden="1">#REF!</definedName>
    <definedName name="BExB96QT431Z2JJKEWWSGNMT5Y40" hidden="1">#REF!</definedName>
    <definedName name="BExB9GC2UUR7V5XZNG9SJCDLI7SG" hidden="1">#REF!</definedName>
    <definedName name="BExB9L4PQCFVJHDT5IUQ6V6MGOY7" hidden="1">#REF!</definedName>
    <definedName name="BExB9Z7O3G0HJFJCEEW9V6J7WQFP" hidden="1">#REF!</definedName>
    <definedName name="BExBA1GO2BD2GBH0UW2GBLFRBQ6X" hidden="1">#REF!</definedName>
    <definedName name="BExBA8NMF5H8OJDJP76NYNAQA9HR" hidden="1">#REF!</definedName>
    <definedName name="BExBA9EIVKTHIGVBC8Y226ZP6ZWP" hidden="1">#REF!</definedName>
    <definedName name="BExBANSFOG9VPCCZ0SH6OBENMB3Y" hidden="1">#REF!</definedName>
    <definedName name="BExBB2H40HDQ0JMOJUSEOI90Z9VM" hidden="1">#REF!</definedName>
    <definedName name="BExBB2H4W2861LEDSO8WNCFA0UFJ" hidden="1">#REF!</definedName>
    <definedName name="BExBB7Q0YX47I7D6RPY4U1M3LPON" hidden="1">#REF!</definedName>
    <definedName name="BExBB864QDB3Z3Q1TPPDVCQLAQ83" hidden="1">#REF!</definedName>
    <definedName name="BExBBGPPHA5YSLU6DXCEI7330CXX" hidden="1">#REF!</definedName>
    <definedName name="BExBBHBASVZU18N0WBJ9GRXJ1Q08" hidden="1">#REF!</definedName>
    <definedName name="BExBBI26DY6MCS4H1Q2JBF7SBJQE" hidden="1">#REF!</definedName>
    <definedName name="BExBBP951O2OO1MV6Z3V5FVOTAWN" hidden="1">#REF!</definedName>
    <definedName name="BExBBXN7TX0DJ7Y1WNMI98ST5Q73" hidden="1">#REF!</definedName>
    <definedName name="BExBC3XT6VCR3U5SXWY7MC5FIFAS" hidden="1">#REF!</definedName>
    <definedName name="BExBC5L1NRE16QXOFBXV1XQSHGAV" hidden="1">#REF!</definedName>
    <definedName name="BExBCE9ZQV8UEK0SM2OI57J79GTJ" hidden="1">#REF!</definedName>
    <definedName name="BExBCVT8S91HMTNVLILLO3VCLN5U" hidden="1">#REF!</definedName>
    <definedName name="BExBD35IBM5MIEEUHVIWA0HBF0N9" hidden="1">#REF!</definedName>
    <definedName name="BExBDACGDZWSNJ94O9TETPL76335" localSheetId="3" hidden="1">QKPI #REF!</definedName>
    <definedName name="BExBDACGDZWSNJ94O9TETPL76335" hidden="1">QKPI #REF!</definedName>
    <definedName name="BExBDB8V80WGP4FJC6GKT0LKKODZ" hidden="1">#REF!</definedName>
    <definedName name="BExBDDXYLJIDBI4CX9JMDLH1NRMD" hidden="1">#REF!</definedName>
    <definedName name="BExBDLA6QC6L1VL0N1SRVXXV4ZKZ" hidden="1">#REF!</definedName>
    <definedName name="BExBDQZ7UY2UBK8NYRZRLRMIJ6D1" hidden="1">#REF!</definedName>
    <definedName name="BExBE09P9BSCR6XZGB1YXOZVEIMK" hidden="1">#REF!</definedName>
    <definedName name="BExBE09PL9Y38NXD8QEV0E4PYW5N" localSheetId="3" hidden="1">Query #REF!</definedName>
    <definedName name="BExBE09PL9Y38NXD8QEV0E4PYW5N" hidden="1">Query #REF!</definedName>
    <definedName name="BExBE1X4KPA77YO8FDAEITQCG4WS" hidden="1">#REF!</definedName>
    <definedName name="BExBE5YPEAX4O3YQ5YECDSG7TZJH" hidden="1">#REF!</definedName>
    <definedName name="BExBE69GIQI8RQCHYMFVTNQDHJ6B" hidden="1">#REF!</definedName>
    <definedName name="BExBECUU2J3FYRASJCOG8T4MXEZ3" hidden="1">#REF!</definedName>
    <definedName name="BExBEHYA4PIOBBOV8GRDHR7568D6" hidden="1">#REF!</definedName>
    <definedName name="BExBEI93BTJV9HSN2U1IK6VL3LDS" hidden="1">#REF!</definedName>
    <definedName name="BExBEP58D2B03R4968PIKCKAH2CH" hidden="1">#REF!</definedName>
    <definedName name="BExBFC82CEFWH4JS6GJ7CFVDQQ6A" hidden="1">#REF!</definedName>
    <definedName name="BExCR74MBRA4AJGOBGNO6IAUQTYW" hidden="1">#REF!</definedName>
    <definedName name="BExCR7FE2T3VLHJXQCSGZD0J4WFD" localSheetId="3" hidden="1">_YA01 #REF!</definedName>
    <definedName name="BExCR7FE2T3VLHJXQCSGZD0J4WFD" hidden="1">_YA01 #REF!</definedName>
    <definedName name="BExCRE0SWH7HTUV0WAXU22Q3T9H4" localSheetId="3" hidden="1">DP #REF!</definedName>
    <definedName name="BExCRE0SWH7HTUV0WAXU22Q3T9H4" hidden="1">DP #REF!</definedName>
    <definedName name="BExCRFIQMMO4ZWQTJPF1UW6QEH5V" hidden="1">#REF!</definedName>
    <definedName name="BExCRVELCWSDD7HC4QIC6SQ5NT6Y" hidden="1">#REF!</definedName>
    <definedName name="BExCS96WYG27Y3UKMPUK7O7I5JJW" hidden="1">#REF!</definedName>
    <definedName name="BExCSLMKTGY3BC73ZZ6SL9ONWSQQ" localSheetId="3" hidden="1">_YB11 #REF!</definedName>
    <definedName name="BExCSLMKTGY3BC73ZZ6SL9ONWSQQ" hidden="1">_YB11 #REF!</definedName>
    <definedName name="BExCSZPQZ6Z4LPZIFIDQ7MNER5V7" localSheetId="3" hidden="1">Query #REF!</definedName>
    <definedName name="BExCSZPQZ6Z4LPZIFIDQ7MNER5V7" hidden="1">Query #REF!</definedName>
    <definedName name="BExCT65R2QO6LVGVCL7J9BDR6OEQ" hidden="1">#REF!</definedName>
    <definedName name="BExCT7I8JOEO1DW88WL2H519PHA8" hidden="1">#REF!</definedName>
    <definedName name="BExCU16FQN96X14S9QXSIUTTJEA5" hidden="1">#REF!</definedName>
    <definedName name="BExCU1MJAMN20VEZCZVQK35JC62R" hidden="1">#REF!</definedName>
    <definedName name="BExCU4RWTV43YV9OUPH34X5TZTEO" hidden="1">#REF!</definedName>
    <definedName name="BExCUJLWJW1ZT6NYGATBG28C8PUX" hidden="1">#REF!</definedName>
    <definedName name="BExCV26URBCSNSPJM9EGEBZD4IQE" hidden="1">#REF!</definedName>
    <definedName name="BExCV3UB4VSTDSMX0XXGWZ68CK19" hidden="1">#REF!</definedName>
    <definedName name="BExCVAKYLYY1FFCEUDXISIAK42AB" hidden="1">#REF!</definedName>
    <definedName name="BExCVC87WAZR6X1NY6FONCWCZR9N" localSheetId="3" hidden="1">QKPI #REF!</definedName>
    <definedName name="BExCVC87WAZR6X1NY6FONCWCZR9N" hidden="1">QKPI #REF!</definedName>
    <definedName name="BExCVCJ0O1ZP359Y5TV8JAQKITAZ" hidden="1">#REF!</definedName>
    <definedName name="BExCVE6G5M8X843LYVSYRKFMUA2V" hidden="1">#REF!</definedName>
    <definedName name="BExCVH6BDTA3OZWRO3CKJZPXVBH2" hidden="1">#REF!</definedName>
    <definedName name="BExCVPV8UXZZR98X2DXA8X7PNI27" hidden="1">#REF!</definedName>
    <definedName name="BExCVW0BSSX4ZEOXOJM1G1WMC34R" hidden="1">#REF!</definedName>
    <definedName name="BExCVX7OS5FJ5R6F1XPVMLKV89EQ" hidden="1">#REF!</definedName>
    <definedName name="BExCW2WIB6CFM8JQTA193EQG2BXX" hidden="1">#REF!</definedName>
    <definedName name="BExCWEFZQRVBZS16FT2OS97B5O6I" hidden="1">#REF!</definedName>
    <definedName name="BExCWJOPOYP2IH86W4IU8IDSZ143" hidden="1">#REF!</definedName>
    <definedName name="BExCWLMRCR4SZKJO6TRRDQIOBXUK" hidden="1">#REF!</definedName>
    <definedName name="BExCWW4FHRDW603A02V8X679LE79" hidden="1">#REF!</definedName>
    <definedName name="BExCX6WU4DBKISTPJ019SXLH144N" localSheetId="3" hidden="1">QKPI #REF!</definedName>
    <definedName name="BExCX6WU4DBKISTPJ019SXLH144N" hidden="1">QKPI #REF!</definedName>
    <definedName name="BExCX95VP9YNUBSFOT8HQ8HMFU5J" localSheetId="3" hidden="1">Query #REF!</definedName>
    <definedName name="BExCX95VP9YNUBSFOT8HQ8HMFU5J" hidden="1">Query #REF!</definedName>
    <definedName name="BExCX9REDI8O8KGMAOIWSJLGOAPZ" hidden="1">#REF!</definedName>
    <definedName name="BExCXM735E165SSS42YKW9Z4LRTC" hidden="1">#REF!</definedName>
    <definedName name="BExCXOQVN1RC8TTOFGYW5IAHG6ZA" hidden="1">#REF!</definedName>
    <definedName name="BExCXQJNDJLSLQ2O79CQ8HS0002V" hidden="1">#REF!</definedName>
    <definedName name="BExCXQUGKVCY0AKFDQDKJ2IQSFMT" hidden="1">#REF!</definedName>
    <definedName name="BExCXV6T5ISWXR8YAPIAY46XGD9H" localSheetId="3" hidden="1">_KF01 #REF!</definedName>
    <definedName name="BExCXV6T5ISWXR8YAPIAY46XGD9H" hidden="1">_KF01 #REF!</definedName>
    <definedName name="BExCXXVWITRN7FNVT47QCZL6HOKN" hidden="1">#REF!</definedName>
    <definedName name="BExCXY6P4E0YGUKBVFGL51NWYVKX" hidden="1">#REF!</definedName>
    <definedName name="BExCYA6A8VJRXI94R1UZ4YFLUZH4" hidden="1">#REF!</definedName>
    <definedName name="BExCYBYZNIOMTGS4KURBV5UY0H4M" hidden="1">#REF!</definedName>
    <definedName name="BExCYLPN0Q0O74GNK1ZLZSUPX3CB" hidden="1">#REF!</definedName>
    <definedName name="BExCYSR8WY0QHLPKIKD2WRF3T8NB" localSheetId="3" hidden="1">QKPI #REF!</definedName>
    <definedName name="BExCYSR8WY0QHLPKIKD2WRF3T8NB" hidden="1">QKPI #REF!</definedName>
    <definedName name="BExCZ74ZDONL8J8BO1U8O1Y9ZTC1" hidden="1">#REF!</definedName>
    <definedName name="BExCZ7QK4LCVX97318MCD9Y1JCRM" hidden="1">#REF!</definedName>
    <definedName name="BExCZAVXIA4WVKTO6WOBMTFSOJHM" hidden="1">#REF!</definedName>
    <definedName name="BExCZLIW0SPTAQT2GHDANS7GB679" hidden="1">#REF!</definedName>
    <definedName name="BExCZN11AM1PV8SEBY86K6ZT9SAR" hidden="1">#REF!</definedName>
    <definedName name="BExCZUILBR4918EUYJ8MWFGKZG63" localSheetId="3" hidden="1">_YA01 #REF!</definedName>
    <definedName name="BExCZUILBR4918EUYJ8MWFGKZG63" hidden="1">_YA01 #REF!</definedName>
    <definedName name="BExD0803FXMQBPINDP6H019DS399" localSheetId="3" hidden="1">DP #REF!</definedName>
    <definedName name="BExD0803FXMQBPINDP6H019DS399" hidden="1">DP #REF!</definedName>
    <definedName name="BExD08R6DM6HTJNR5DVBKFVLTHWY" hidden="1">#REF!</definedName>
    <definedName name="BExD0AZZM20O8D0RCLJ74RLOXDXU" hidden="1">#REF!</definedName>
    <definedName name="BExD0BASY2QTTJYBEKDB1Q9A03LR" hidden="1">#REF!</definedName>
    <definedName name="BExD0E5E8RJOOJ54JF10DOBS6GDX" hidden="1">#REF!</definedName>
    <definedName name="BExD0FCJZJLJQPSOVAJ3ABH2J70R" hidden="1">#REF!</definedName>
    <definedName name="BExD0FSMN3DHWSL8GSQ8AHMKQCY5" hidden="1">#REF!</definedName>
    <definedName name="BExD0GUHTJCTDKCVGGSV6YJSZYDK" hidden="1">#REF!</definedName>
    <definedName name="BExD0US4QI9M05JM35QZS4A7QLXR" hidden="1">#REF!</definedName>
    <definedName name="BExD1LR7AQ36NYSE8KQKADP0EZNZ" hidden="1">#REF!</definedName>
    <definedName name="BExD1T3GS626B5AJNCCONOQ2I15O" hidden="1">#REF!</definedName>
    <definedName name="BExD2531HPXH3HS0014R5SNH3MB7" hidden="1">#REF!</definedName>
    <definedName name="BExD2FFE2BWQYZYMQQ9M2SB7LHQL" hidden="1">#REF!</definedName>
    <definedName name="BExD2VLVL11FKDTPTCGDBO9WCG5E" hidden="1">#REF!</definedName>
    <definedName name="BExD2ZCSIYA8A8CZNALJTLOTUNO6" hidden="1">#REF!</definedName>
    <definedName name="BExD2ZSWYASL9O2YG2EOKCL94ENG" hidden="1">#REF!</definedName>
    <definedName name="BExD32YARCM0FUUY176XTB92S5EU" hidden="1">#REF!</definedName>
    <definedName name="BExD37ANRD5O2JC1H8E65KPMLZEE" hidden="1">#REF!</definedName>
    <definedName name="BExD3B6XKEUNCPERKWKGDFXK4CK1" hidden="1">#REF!</definedName>
    <definedName name="BExD3BN73XW66HA2GZSYO6ZICH7V" hidden="1">#REF!</definedName>
    <definedName name="BExD3CZNOG2LT9IG5PQP8CM96BF7" hidden="1">#REF!</definedName>
    <definedName name="BExD3F36FBKF9WBQZ0JGZHEF9JA9" hidden="1">#REF!</definedName>
    <definedName name="BExD3H6PRBJL19KVX1HSZBL2P2QN" hidden="1">#REF!</definedName>
    <definedName name="BExD3MA5AQ0E2BZZQ9MFEGRR8QT1" hidden="1">#REF!</definedName>
    <definedName name="BExD3NXJRSR6BHORQR2YXYXBQ2VO" hidden="1">#REF!</definedName>
    <definedName name="BExD3O8C3JN9IMD63ATIF52UKRVR" hidden="1">#REF!</definedName>
    <definedName name="BExD3S4LYIIFUTEYK7N53TV71NIK" hidden="1">#REF!</definedName>
    <definedName name="BExD450EDKV4N7TTC0O64LLJK2G4" hidden="1">#REF!</definedName>
    <definedName name="BExD467J25ZTR4CJLL1N6HFXCR10" hidden="1">#REF!</definedName>
    <definedName name="BExD4FCR92LHW8MAYQA6N92W60IX" localSheetId="3" hidden="1">Query #REF!</definedName>
    <definedName name="BExD4FCR92LHW8MAYQA6N92W60IX" hidden="1">Query #REF!</definedName>
    <definedName name="BExD4JUJR7BVAIO27ZK2CR43QHYY" hidden="1">#REF!</definedName>
    <definedName name="BExD4NQUEJS9E64E4TZXMEZL1EFS" hidden="1">#REF!</definedName>
    <definedName name="BExD4VDVIZNAPMXVCJLQZBIPTXPS" hidden="1">#REF!</definedName>
    <definedName name="BExD50S4SX50V9FWE13KH63BAL2H" hidden="1">#REF!</definedName>
    <definedName name="BExD53XAUEWLKXWA9NV7B5LYMME2" localSheetId="3" hidden="1">Query #REF!</definedName>
    <definedName name="BExD53XAUEWLKXWA9NV7B5LYMME2" hidden="1">Query #REF!</definedName>
    <definedName name="BExD54J1LANA7QZDIHTLRNJNO4KW" hidden="1">#REF!</definedName>
    <definedName name="BExD5A7WEU4TZITEEXJ43Z5DVV62" localSheetId="3" hidden="1">QKPI #REF!</definedName>
    <definedName name="BExD5A7WEU4TZITEEXJ43Z5DVV62" hidden="1">QKPI #REF!</definedName>
    <definedName name="BExD5E4BLGBSY5CKKPD2W2L912O2" localSheetId="3" hidden="1">Query #REF!</definedName>
    <definedName name="BExD5E4BLGBSY5CKKPD2W2L912O2" hidden="1">Query #REF!</definedName>
    <definedName name="BExD5GNYRGOP8SXCKJNY3HDOGIZ1" hidden="1">#REF!</definedName>
    <definedName name="BExD5HV49HTK5UCHM1P91COK4A5H" hidden="1">#REF!</definedName>
    <definedName name="BExD5OAZWBWKL3Z1UALEVACLF2ME" hidden="1">#REF!</definedName>
    <definedName name="BExD5PIBRCNCIITBXOGZZOXFFP6I" hidden="1">#REF!</definedName>
    <definedName name="BExD5TJX8MUW4FPZQ6755PN4Z165" localSheetId="3" hidden="1">QKPI #REF!</definedName>
    <definedName name="BExD5TJX8MUW4FPZQ6755PN4Z165" hidden="1">QKPI #REF!</definedName>
    <definedName name="BExD5UATK5KI5WRRAOQOBCAAUMOG" localSheetId="3" hidden="1">QKPI #REF!</definedName>
    <definedName name="BExD5UATK5KI5WRRAOQOBCAAUMOG" hidden="1">QKPI #REF!</definedName>
    <definedName name="BExD5XWAV9LAAPPXX6C5E7ORGG46" localSheetId="3" hidden="1">QKPI #REF!</definedName>
    <definedName name="BExD5XWAV9LAAPPXX6C5E7ORGG46" hidden="1">QKPI #REF!</definedName>
    <definedName name="BExD611NSIXXX8HSZRDRT9YFQNK3" hidden="1">#REF!</definedName>
    <definedName name="BExD66L5TI2GW2QC6MZ8CIQOE86N" hidden="1">#REF!</definedName>
    <definedName name="BExD6A6O2JGYC3WHANKXJP1AXDEC" hidden="1">#REF!</definedName>
    <definedName name="BExD6JBNPIEZG2Z3RB227Q6HS83H" localSheetId="3" hidden="1">_YB11 #REF!</definedName>
    <definedName name="BExD6JBNPIEZG2Z3RB227Q6HS83H" hidden="1">_YB11 #REF!</definedName>
    <definedName name="BExD6UV4JRSMQOH20VI0VEQO3OW7" hidden="1">#REF!</definedName>
    <definedName name="BExD71RAIAU2ZVCSPG09ELDQERGO" hidden="1">#REF!</definedName>
    <definedName name="BExD75YDTCD7FTZMHYA674E1VGUJ" hidden="1">#REF!</definedName>
    <definedName name="BExD7IJJVCRPTFNU5NSWJX7R10N3" hidden="1">#REF!</definedName>
    <definedName name="BExD7VQA5A9L7JWTOTH8N70WVVBY" hidden="1">#REF!</definedName>
    <definedName name="BExD7XZ3EKSDE0TIB6HN3RAHPXRR" hidden="1">#REF!</definedName>
    <definedName name="BExD83DC2J3YHPWFO4SBF122RLPB" hidden="1">#REF!</definedName>
    <definedName name="BExD84PS7VXB9TK280CNANY8BL9E" hidden="1">#REF!</definedName>
    <definedName name="BExD87KD8JOOOEXUJX8ATF0TVPMS" hidden="1">#REF!</definedName>
    <definedName name="BExD8A9GWQD7U9P81G0L6PZKTESA" hidden="1">#REF!</definedName>
    <definedName name="BExD8H5N1VJT7K96W9S15FVIOROO" hidden="1">#REF!</definedName>
    <definedName name="BExD8M92XFT4SRS0S9ZD85LYW3KS" localSheetId="3" hidden="1">QKPI #REF!</definedName>
    <definedName name="BExD8M92XFT4SRS0S9ZD85LYW3KS" hidden="1">QKPI #REF!</definedName>
    <definedName name="BExD8X1HN1B3Q4MGBNTJRZ1X9D8X" hidden="1">#REF!</definedName>
    <definedName name="BExD8XC949RXR1TJ46LL3EML5Q5P" hidden="1">#REF!</definedName>
    <definedName name="BExD984PHTQNT8K3484E8FZORGGQ" localSheetId="3" hidden="1">QCheck #REF!</definedName>
    <definedName name="BExD984PHTQNT8K3484E8FZORGGQ" hidden="1">QCheck #REF!</definedName>
    <definedName name="BExD9DO95H8OCKTQSVOJ6GDIW3OG" hidden="1">#REF!</definedName>
    <definedName name="BExD9IBEVBL4N277ZCIE3925EF30" hidden="1">#REF!</definedName>
    <definedName name="BExD9JYTJV7IX0N8BAZ543NK0PBH" hidden="1">#REF!</definedName>
    <definedName name="BExD9LM2VP0HM0JJL5707LI3KEDW" localSheetId="3" hidden="1">QKPI #REF!</definedName>
    <definedName name="BExD9LM2VP0HM0JJL5707LI3KEDW" hidden="1">QKPI #REF!</definedName>
    <definedName name="BExD9MNW57WI8BG4R35Z4FPH3B9Y" hidden="1">#REF!</definedName>
    <definedName name="BExD9XR4VL5P6JIHQR7JJNZO0F4Z" hidden="1">#REF!</definedName>
    <definedName name="BExD9YCQ6ZAWAN97JCTT1YMEUIP3" hidden="1">#REF!</definedName>
    <definedName name="BExDAEZH1IWWAWYP99JXRSMVKXZO" hidden="1">#REF!</definedName>
    <definedName name="BExDAOVIDDD2ARP6GNR3FHS3LKWY" hidden="1">#REF!</definedName>
    <definedName name="BExDAR9U7INTWYQUA5DHIN7Z27EH" hidden="1">#REF!</definedName>
    <definedName name="BExDAYRKH6187LLBPZL150BWVPUD" hidden="1">#REF!</definedName>
    <definedName name="BExDBDR1WOLVHHS0NGYDSSVLLBVT" hidden="1">#REF!</definedName>
    <definedName name="BExDBHY4PDJW3O70UHOY3UGOUY3I" hidden="1">#REF!</definedName>
    <definedName name="BExDBMFYTJKFAPVJ5IJFVZAPJKQM" hidden="1">#REF!</definedName>
    <definedName name="BExENIJPGJFBVCYFX6NHNK7KNSMO" localSheetId="3" hidden="1">Query #REF!</definedName>
    <definedName name="BExENIJPGJFBVCYFX6NHNK7KNSMO" hidden="1">Query #REF!</definedName>
    <definedName name="BExENXJ7UU18EHTZBEXZXK9FR41I" hidden="1">#REF!</definedName>
    <definedName name="BExEOX75WHN70XHLM0B1WOG035XE" hidden="1">#REF!</definedName>
    <definedName name="BExEOZQS2V7OJR1L0RYKTLCZRQAV" hidden="1">#REF!</definedName>
    <definedName name="BExEPFS4YFE2IM9MW1HW1JAKDGI8" hidden="1">#REF!</definedName>
    <definedName name="BExEPPTHE8MP8WP9CFTM7TDWE0WR" hidden="1">#REF!</definedName>
    <definedName name="BExEPZ9FI9KBK3GYB0IMBGH6ANN6" localSheetId="3" hidden="1">Query #REF!</definedName>
    <definedName name="BExEPZ9FI9KBK3GYB0IMBGH6ANN6" hidden="1">Query #REF!</definedName>
    <definedName name="BExEQ1I96PH96880TH1JRJQJ0N74" hidden="1">#REF!</definedName>
    <definedName name="BExEQB91L3RXRUFSBL5Q8YLFZ3O4" hidden="1">#REF!</definedName>
    <definedName name="BExEQMMW8QM6ZT56J919OCD1K2W1" localSheetId="3" hidden="1">QKPI #REF!</definedName>
    <definedName name="BExEQMMW8QM6ZT56J919OCD1K2W1" hidden="1">QKPI #REF!</definedName>
    <definedName name="BExEQRVRLZPADLCRUA5CU0I11VUM" hidden="1">#REF!</definedName>
    <definedName name="BExEQYH6CO8XA2DHSXAL8G9YYWQO" localSheetId="3" hidden="1">QKPI #REF!</definedName>
    <definedName name="BExEQYH6CO8XA2DHSXAL8G9YYWQO" hidden="1">QKPI #REF!</definedName>
    <definedName name="BExER4GYRH5P4TC3YQSLQ191Z6KD" hidden="1">#REF!</definedName>
    <definedName name="BExER5DCDJS4FQGQ8ZIALMWES70P" localSheetId="3" hidden="1">_YB05 GuV #REF!</definedName>
    <definedName name="BExER5DCDJS4FQGQ8ZIALMWES70P" hidden="1">_YB05 GuV #REF!</definedName>
    <definedName name="BExER7GV5A1GBRPGC1JI0XY9VLN7" hidden="1">#REF!</definedName>
    <definedName name="BExER7WXYSX7ORUCA243JKWEQ9IS" hidden="1">#REF!</definedName>
    <definedName name="BExERK20CZOCLEIQZQN8QMQAZDCH" localSheetId="3" hidden="1">Query #REF!</definedName>
    <definedName name="BExERK20CZOCLEIQZQN8QMQAZDCH" hidden="1">Query #REF!</definedName>
    <definedName name="BExERU3DOT4L84N5UILLKOXNJIRE" hidden="1">#REF!</definedName>
    <definedName name="BExERYL7X141N9XL22XK4HJASRNG" hidden="1">#REF!</definedName>
    <definedName name="BExES1L4IXVC1QU1K1AA6ZZDQAK9" hidden="1">#REF!</definedName>
    <definedName name="BExESBRZM62XR08EHBGNX3C40I6Q" localSheetId="3" hidden="1">_YA01 #REF!</definedName>
    <definedName name="BExESBRZM62XR08EHBGNX3C40I6Q" hidden="1">_YA01 #REF!</definedName>
    <definedName name="BExESFZ1BLPARTNTGPKTG9XUVI9M" hidden="1">#REF!</definedName>
    <definedName name="BExESN5ZMIOWFCJ1ZSZIBDXWSC6V" hidden="1">#REF!</definedName>
    <definedName name="BExESQWR909BON7121ZHHGSES3T8" hidden="1">#REF!</definedName>
    <definedName name="BExESUT0TB220IFBWX771RIBUD3Q" hidden="1">#REF!</definedName>
    <definedName name="BExESZR4OGXETFO188ZAOT96KKRO" localSheetId="3" hidden="1">_YB01 #REF!</definedName>
    <definedName name="BExESZR4OGXETFO188ZAOT96KKRO" hidden="1">_YB01 #REF!</definedName>
    <definedName name="BExET9HQGHPNYPY7F0F63R93MCN4" hidden="1">#REF!</definedName>
    <definedName name="BExETAZO30M51NC2JJRF39X66PFP" hidden="1">#REF!</definedName>
    <definedName name="BExETEFP4P7VVFA7QRDG2C4UAA9I" hidden="1">#REF!</definedName>
    <definedName name="BExETI6MNQXUT9MOK1ESR3MESBQA" hidden="1">#REF!</definedName>
    <definedName name="BExETJZCX459MPYNPR2IQZ18VSZA" hidden="1">#REF!</definedName>
    <definedName name="BExETJZCZW0VMCE3WDACWS95ZLIO" hidden="1">#REF!</definedName>
    <definedName name="BExETLS4DDAJYBJQCNBURPQSG1RI" hidden="1">#REF!</definedName>
    <definedName name="BExETTVF6GKK113H8DG3XS6W1G7D" hidden="1">#REF!</definedName>
    <definedName name="BExETXROY85ZVEYZMXTMNOL719CI" hidden="1">#REF!</definedName>
    <definedName name="BExEU3RGD6ML6L9INDUAKI6YUESK" localSheetId="3" hidden="1">QCheck #REF!</definedName>
    <definedName name="BExEU3RGD6ML6L9INDUAKI6YUESK" hidden="1">QCheck #REF!</definedName>
    <definedName name="BExEUDNJML5YR7X5OGGHQ85BP44E" hidden="1">#REF!</definedName>
    <definedName name="BExEUXA5PJIFORC6MBIGZDQ2HLGN" hidden="1">#REF!</definedName>
    <definedName name="BExEUXVR8M5EF0DWPV3JJ8JJ6I2T" hidden="1">#REF!</definedName>
    <definedName name="BExEUZ2WK8UXCYAOHWQNEJSD5WH3" hidden="1">#REF!</definedName>
    <definedName name="BExEV82M33FW0Y8THDB4Q5E3IQA2" hidden="1">#REF!</definedName>
    <definedName name="BExEVAGX5AIIES14FI2VVJQJ21TV" hidden="1">#REF!</definedName>
    <definedName name="BExEVDGTQCKRECC4AITY6YBY454U" hidden="1">#REF!</definedName>
    <definedName name="BExEVNYFWIMODDPE9AXNB8BO52K3" hidden="1">#REF!</definedName>
    <definedName name="BExEVUZX86RHYI8AR37F78PJHYO7" hidden="1">#REF!</definedName>
    <definedName name="BExEW0ZOX697IAW9L01TK6OVCAUI" hidden="1">#REF!</definedName>
    <definedName name="BExEWH6CQ33UYYMAPGU1OYHRNVWR" hidden="1">#REF!</definedName>
    <definedName name="BExEWKRUSICXKX1S50X44Q9KNX8V" hidden="1">#REF!</definedName>
    <definedName name="BExEWLZ07ZBC3QAQMCK6DEU99TUS" hidden="1">#REF!</definedName>
    <definedName name="BExEWM9S9WWVP0OKODNLYQTPEUQY" hidden="1">#REF!</definedName>
    <definedName name="BExEWQWYP5D77CZPD2QPJ95B7TKG" hidden="1">#REF!</definedName>
    <definedName name="BExEWU7R7Q3ZP4DYD9QF344Z4TAA" hidden="1">#REF!</definedName>
    <definedName name="BExEWUYODJJ4CRMMLIKHIZZSVARY" hidden="1">#REF!</definedName>
    <definedName name="BExEX1PDT1HRRRL6V0W63H37RWG3" hidden="1">#REF!</definedName>
    <definedName name="BExEX4UQWPAA7GOY9AJVCSF0DJJV" hidden="1">#REF!</definedName>
    <definedName name="BExEX7UI0K86W9PUVK57F7QU0ER3" hidden="1">#REF!</definedName>
    <definedName name="BExEX9N7IM9OGCUFU5UY01LSTBLU" hidden="1">#REF!</definedName>
    <definedName name="BExEXDZQ68AI4NM6DL0YNGPD8IJG" hidden="1">#REF!</definedName>
    <definedName name="BExEXIC9ZVJCFBLA8E3WP29SBLA7" hidden="1">#REF!</definedName>
    <definedName name="BExEXK4V5HLWFRGKKZL3SHIL1OSF" hidden="1">#REF!</definedName>
    <definedName name="BExEY0GZ4UCMSDODWYI0PDV8IBSW" localSheetId="3" hidden="1">_YB06 #REF!</definedName>
    <definedName name="BExEY0GZ4UCMSDODWYI0PDV8IBSW" hidden="1">_YB06 #REF!</definedName>
    <definedName name="BExEY0RQYVP6L4QVPGQWLW8FCWYA" hidden="1">#REF!</definedName>
    <definedName name="BExEY2VA6TQAPTSOO7MQQ05IL1IA" hidden="1">#REF!</definedName>
    <definedName name="BExEY549Z2YHPGLZ8F9DT3ZC0U2Y" hidden="1">#REF!</definedName>
    <definedName name="BExEY5V6JRW2GY6T3NS214NHE5LC" hidden="1">#REF!</definedName>
    <definedName name="BExEY6BAFHPXT5ME962DIQTM69P0" hidden="1">#REF!</definedName>
    <definedName name="BExEY7D4KLG06HE7VHXJJR2DPFQL" hidden="1">#REF!</definedName>
    <definedName name="BExEYANU4G023L28AYQAY01V0IDL" hidden="1">#REF!</definedName>
    <definedName name="BExEYBEQCJROEMLC48P3U1743FB1" hidden="1">#REF!</definedName>
    <definedName name="BExEYCRCBWINRI8SFR9CGVOPGT3J" hidden="1">#REF!</definedName>
    <definedName name="BExEYFWKC0SKS940SA68M0F4K6YV" hidden="1">#REF!</definedName>
    <definedName name="BExEYMNEONSLW6Z60XYUM6FYV3DK" hidden="1">#REF!</definedName>
    <definedName name="BExEYTZNAIYOYANT17G2RZDZDNO3" localSheetId="3" hidden="1">QKPI #REF!</definedName>
    <definedName name="BExEYTZNAIYOYANT17G2RZDZDNO3" hidden="1">QKPI #REF!</definedName>
    <definedName name="BExEYZONZ4S7MJIKA1HE4JIX0QQG" hidden="1">#REF!</definedName>
    <definedName name="BExEZ9Q738OGV6BOJ0HXV4L51Z30" hidden="1">#REF!</definedName>
    <definedName name="BExEZBO9LR8IRK5QDIRSTB67866A" localSheetId="3" hidden="1">QKPI #REF!</definedName>
    <definedName name="BExEZBO9LR8IRK5QDIRSTB67866A" hidden="1">QKPI #REF!</definedName>
    <definedName name="BExEZEYXYI4GP797S7QMLPLLZV04" hidden="1">#REF!</definedName>
    <definedName name="BExEZGROS53AT1UA55ZM99FVNZZH" hidden="1">#REF!</definedName>
    <definedName name="BExEZKTFE8VR7UOC7SVVQ6CPAU98" hidden="1">#REF!</definedName>
    <definedName name="BExEZT21X2FX07ZFSL6D4902SCJ6" hidden="1">#REF!</definedName>
    <definedName name="BExEZU3QXCL0G3RNKHSYNH7V0AL4" hidden="1">#REF!</definedName>
    <definedName name="BExF00JTSR36X8IB1VVRM0A84AXQ" localSheetId="3" hidden="1">DP #REF!</definedName>
    <definedName name="BExF00JTSR36X8IB1VVRM0A84AXQ" hidden="1">DP #REF!</definedName>
    <definedName name="BExF02NBLHNA1DMTU7F3G23DRS6X" hidden="1">#REF!</definedName>
    <definedName name="BExF02SMAY39K9HQ0EHAQI51ON4E" hidden="1">#REF!</definedName>
    <definedName name="BExF068RJQNEZT6DASDXV9I2P5A1" hidden="1">#REF!</definedName>
    <definedName name="BExF0Q0X3CBSU2KYP869XZIFKIAF" hidden="1">#REF!</definedName>
    <definedName name="BExF0UIS9WZ20AKB4J7Y7FIWRM3Y" localSheetId="3" hidden="1">Query #REF!</definedName>
    <definedName name="BExF0UIS9WZ20AKB4J7Y7FIWRM3Y" hidden="1">Query #REF!</definedName>
    <definedName name="BExF1327T8HJYMDJCV6ZTI7CGAGD" hidden="1">#REF!</definedName>
    <definedName name="BExF14EO2UVPZNZAASMGUIGRIGR5" hidden="1">#REF!</definedName>
    <definedName name="BExF1L1JXBDWO114LMMEEZY1B3O3" hidden="1">#REF!</definedName>
    <definedName name="BExF1Y2USYXCRB3ONS7Q7CDVQ8LA" hidden="1">#REF!</definedName>
    <definedName name="BExF230SL695WLM8V0QQQWMYL3U8" hidden="1">#REF!</definedName>
    <definedName name="BExF2B458MD4DONUVF11TCGMXLGO" hidden="1">#REF!</definedName>
    <definedName name="BExF2F5VLZ9KCF0JWHK6JRZPHG1A" hidden="1">#REF!</definedName>
    <definedName name="BExF2GT4UE6C5ZUIHHGEH13DRIR9" hidden="1">#REF!</definedName>
    <definedName name="BExF2SNDM3VHMKJ90JOADQCBVMX2" hidden="1">#REF!</definedName>
    <definedName name="BExF2UW7JIDBK6UY7N11667LHGX0" hidden="1">#REF!</definedName>
    <definedName name="BExF30QQ4FLRD0EW7TJW1K7EBJCK" hidden="1">#REF!</definedName>
    <definedName name="BExF3CVKZT9ICVN9HJBU3MDCNVRQ" hidden="1">#REF!</definedName>
    <definedName name="BExF3E2QCAP98VRG7YXS9W5ABLLP" hidden="1">#REF!</definedName>
    <definedName name="BExF3IPYI9GJR3KES3H0O17E6J7D" hidden="1">#REF!</definedName>
    <definedName name="BExF3K2KBFG4811ZWEYZ1T5L4YHY" hidden="1">#REF!</definedName>
    <definedName name="BExF3QIM8OYAH6UUGEGCJC8MYGWI" hidden="1">#REF!</definedName>
    <definedName name="BExF3YAZXSX9B9MU6779MVVX8CXX" hidden="1">#REF!</definedName>
    <definedName name="BExF4CJKJ8KKF0ZRHRS9VMJKCTHS" hidden="1">#REF!</definedName>
    <definedName name="BExF4PKTPFV8SPPB2HGGKT2DNI7A" hidden="1">#REF!</definedName>
    <definedName name="BExF4TMK8CHJ7ZPUF4FISMF7SYDY" hidden="1">#REF!</definedName>
    <definedName name="BExF4ZMDMCSTJODZ97JA8ZA4W5MT" hidden="1">#REF!</definedName>
    <definedName name="BExF5G3N1V5349MK57F0JFIVA8GG" hidden="1">#REF!</definedName>
    <definedName name="BExF5I1U7HOZQJ1Q7Z6JRTU2XNO3" localSheetId="3" hidden="1">QKPI #REF!</definedName>
    <definedName name="BExF5I1U7HOZQJ1Q7Z6JRTU2XNO3" hidden="1">QKPI #REF!</definedName>
    <definedName name="BExF5JEC404TU9KAUMMO4F014TTK" hidden="1">#REF!</definedName>
    <definedName name="BExF5OHS71A6Y1YWN0PCNUJSSXFM" hidden="1">#REF!</definedName>
    <definedName name="BExF5XMVME4G3YIONPBRPJUFYZRE" hidden="1">#REF!</definedName>
    <definedName name="BExF5YTXD3Q4D0N5BLA04MO2I95W" hidden="1">#REF!</definedName>
    <definedName name="BExF65VJU8HLPKTGAKC6I0WFVP9M" hidden="1">#REF!</definedName>
    <definedName name="BExF65VKCSS7QMVV7CXJSUEREAOJ" hidden="1">#REF!</definedName>
    <definedName name="BExF67OALQN5AL7DC4RZUPO4CPIZ" hidden="1">#REF!</definedName>
    <definedName name="BExF6AYZ8XY485EB80VFCVFDFUEQ" hidden="1">#REF!</definedName>
    <definedName name="BExF6BKJST5FBISSMBSVHEDRDFWM" hidden="1">#REF!</definedName>
    <definedName name="BExF6CRPR9SEAUEUAOFKGDMARTMJ" hidden="1">#REF!</definedName>
    <definedName name="BExF6H47S1VHRDLUSSSXWSO229VF" hidden="1">#REF!</definedName>
    <definedName name="BExF6JNVKW5TC2GMPIO4B46ZO31X" hidden="1">#REF!</definedName>
    <definedName name="BExF6O5Q64P80BQHSDW3JNAOEHIP" hidden="1">#REF!</definedName>
    <definedName name="BExF6SI3O2EBIMN96W7WHXZY5GDJ" hidden="1">#REF!</definedName>
    <definedName name="BExF6UAUDV47B6KN8VWI2JONLQJN" hidden="1">#REF!</definedName>
    <definedName name="BExF70ALQWF316MDIEZQMYOR015K" hidden="1">#REF!</definedName>
    <definedName name="BExF73G0HNW78KZUOFJ8A2EUESZN" hidden="1">#REF!</definedName>
    <definedName name="BExF776RVM7R1B1YQ37FE7HTTEKW" hidden="1">#REF!</definedName>
    <definedName name="BExF7AXQBIUGXQ8GYPF8IX837MEY" hidden="1">#REF!</definedName>
    <definedName name="BExF7SRMB31AKK7WSKIXFT127S7I" hidden="1">#REF!</definedName>
    <definedName name="BExF7SRN6NUPU96D1S9I5YQWP2C1" hidden="1">#REF!</definedName>
    <definedName name="BExF7ZD00N0ZFUDHVKFSS6RE7RD8" hidden="1">#REF!</definedName>
    <definedName name="BExF863UJGRL7IJM7OPQQXQPJR04" hidden="1">#REF!</definedName>
    <definedName name="BExF86PEUDENZEWDG11TKDD2SXW7" hidden="1">#REF!</definedName>
    <definedName name="BExF86UQTA01J8PFKBJBK5KI26OF" hidden="1">#REF!</definedName>
    <definedName name="BExF8B1S4UB0B1OIGKF6RWE7KWHW" hidden="1">#REF!</definedName>
    <definedName name="BExF8DQWJP5EZHTKS6J9KYC1KG8J" hidden="1">#REF!</definedName>
    <definedName name="BExF8ENA1I5ZZ6CS1GHZV0PD5PDR" localSheetId="3" hidden="1">QKPI #REF!</definedName>
    <definedName name="BExF8ENA1I5ZZ6CS1GHZV0PD5PDR" hidden="1">QKPI #REF!</definedName>
    <definedName name="BExF8O8IOSTJZLOQEO8R5PIOUAFI" localSheetId="3" hidden="1">Query #REF!</definedName>
    <definedName name="BExF8O8IOSTJZLOQEO8R5PIOUAFI" hidden="1">Query #REF!</definedName>
    <definedName name="BExF8WMO357JI1RPR1T8BAWULFOF" hidden="1">#REF!</definedName>
    <definedName name="BExGKBY5LEOPHZ9Y8JBN7BR271D7" hidden="1">#REF!</definedName>
    <definedName name="BExGKF8UMOYHZWFON0SVBOZ8FVB3" hidden="1">#REF!</definedName>
    <definedName name="BExGLN06BUT2RZ4U9HDLHQ7PQKRH" hidden="1">#REF!</definedName>
    <definedName name="BExGLXHSHT76RIE3EXDUK79G118R" localSheetId="3" hidden="1">Query #REF!</definedName>
    <definedName name="BExGLXHSHT76RIE3EXDUK79G118R" hidden="1">Query #REF!</definedName>
    <definedName name="BExGM5L4S8QWYKBCPQB8N5QL4BH4" hidden="1">#REF!</definedName>
    <definedName name="BExGMBKWJSDZV767FWLRIKRTGGF0" hidden="1">#REF!</definedName>
    <definedName name="BExGMG2QECS9GDHNCT91PCNVGJ91" hidden="1">#REF!</definedName>
    <definedName name="BExGMIH25XWI8UM62VSGQTEF1T4S" hidden="1">#REF!</definedName>
    <definedName name="BExGMRM2KNG4PTKXMM3P3JYKHUFU" hidden="1">#REF!</definedName>
    <definedName name="BExGMSNWXNCLRJGWAI293QTDQIA6" hidden="1">#REF!</definedName>
    <definedName name="BExGMV28QQ9RN0RCM8CYNOVZYY3B" hidden="1">#REF!</definedName>
    <definedName name="BExGN4ST5GOJA5POWMUBEIYLADK4" hidden="1">#REF!</definedName>
    <definedName name="BExGNA709ASB9E1SVNLPPQGO84G9" hidden="1">#REF!</definedName>
    <definedName name="BExGNCAK972NYRXJQJ5YHGRBBZSI" hidden="1">#REF!</definedName>
    <definedName name="BExGND6XX6U43IAU77OJWP9T91D4" hidden="1">#REF!</definedName>
    <definedName name="BExGNEUBKE7ELEX3LSJZH55MITMD" hidden="1">#REF!</definedName>
    <definedName name="BExGNK33A63A8G1BU5G9ZZ8YKG03" hidden="1">#REF!</definedName>
    <definedName name="BExGNKJ6MW99KK77D1V1GBPIWA20" hidden="1">#REF!</definedName>
    <definedName name="BExGNO4TW27NXR9SL22N6OFE0TSG" hidden="1">#REF!</definedName>
    <definedName name="BExGO2TCU3G9CT5YC501Q1X42I4Y" localSheetId="3" hidden="1">Query #REF!</definedName>
    <definedName name="BExGO2TCU3G9CT5YC501Q1X42I4Y" hidden="1">Query #REF!</definedName>
    <definedName name="BExGO2YTGYT5DB3W46WM08RPPYPJ" hidden="1">#REF!</definedName>
    <definedName name="BExGOD0730XGJJFLAZ0EUQ9SAJFH" hidden="1">#REF!</definedName>
    <definedName name="BExGOEYERN395UY59DFBODLMURFI" localSheetId="3" hidden="1">QCheck #REF!</definedName>
    <definedName name="BExGOEYERN395UY59DFBODLMURFI" hidden="1">QCheck #REF!</definedName>
    <definedName name="BExGOJG8UYEAJEX00BU2NHGWUN2U" hidden="1">#REF!</definedName>
    <definedName name="BExGOSAH4YHWFY5ZPZKJ45PGRJRO" hidden="1">#REF!</definedName>
    <definedName name="BExGP5XANRW62MAW2PZSVFIU43JE" hidden="1">#REF!</definedName>
    <definedName name="BExGPEM7ZKKJHWZRYXD245EN5Z92" hidden="1">#REF!</definedName>
    <definedName name="BExGPONR3GSSB3BEHWPD2DSOARCC" hidden="1">#REF!</definedName>
    <definedName name="BExGPPUX54N0X71DRWXT82CZEAMD" hidden="1">#REF!</definedName>
    <definedName name="BExGPSPD3J213ZX23BBAVG2T3U8R" hidden="1">#REF!</definedName>
    <definedName name="BExGPWGAIISQO9KPCURG2AQD1GTL" hidden="1">#REF!</definedName>
    <definedName name="BExGQ2G3ZINDP1TM7GPYC7EDOGVZ" localSheetId="3" hidden="1">Query #REF!</definedName>
    <definedName name="BExGQ2G3ZINDP1TM7GPYC7EDOGVZ" hidden="1">Query #REF!</definedName>
    <definedName name="BExGQ5L9TBW5FCIY421HQSSZXFMU" hidden="1">#REF!</definedName>
    <definedName name="BExGQ9MVWSZ4JL064KSO27NEQ0SL" hidden="1">#REF!</definedName>
    <definedName name="BExGQLRXVF1FRJ7P6LHS9NJO4A6N" hidden="1">#REF!</definedName>
    <definedName name="BExGQMDI59A29K03AXLJ9XD9M21D" hidden="1">#REF!</definedName>
    <definedName name="BExGR0GMOAZ6Y3PIQ7W5HV3P5UXX" hidden="1">#REF!</definedName>
    <definedName name="BExGRA780YOVNAWFPBA5SMW29NEG" hidden="1">#REF!</definedName>
    <definedName name="BExGRBZYQ4CA79RUIA2UYCBHMHTD" hidden="1">#REF!</definedName>
    <definedName name="BExGRKE1RR983EPPZE1LNX83LBFX" hidden="1">#REF!</definedName>
    <definedName name="BExGRM6SODQFYMHM894RE7URGNXU" hidden="1">#REF!</definedName>
    <definedName name="BExGROFSWN1IPMM1CM6BWWIJ95Q5" hidden="1">#REF!</definedName>
    <definedName name="BExGRSXH8AW6N2VP8MTU7CO8V1CK" hidden="1">#REF!</definedName>
    <definedName name="BExGRUKWIE9DEXSVQWOMH2MTOAMD" hidden="1">#REF!</definedName>
    <definedName name="BExGS4M9N68677G576LOG3PQKALW" hidden="1">#REF!</definedName>
    <definedName name="BExGS5O4A75CG6FN4DOAN9F1RBMN" hidden="1">#REF!</definedName>
    <definedName name="BExGS6PSD718KSFL7FMFGJ4D2X0R" hidden="1">#REF!</definedName>
    <definedName name="BExGSBNXX645F8OJMZQGQ9TQ8FXN" hidden="1">#REF!</definedName>
    <definedName name="BExGSDWQQVW4ZA0UX7WXICZNRWHK" hidden="1">#REF!</definedName>
    <definedName name="BExGSEYLBZP27601UFCW63K2H75S" hidden="1">#REF!</definedName>
    <definedName name="BExGSGB3LB0U4K326GXD39FKYF3I" hidden="1">#REF!</definedName>
    <definedName name="BExGSVAK5GH98U167L5OCAMJD42H" hidden="1">#REF!</definedName>
    <definedName name="BExGSVAL5QA78ATQ1YMYMUF000XN" hidden="1">#REF!</definedName>
    <definedName name="BExGT5BXT81PIXFEOZRS1CXOJC7Y" localSheetId="3" hidden="1">Query #REF!</definedName>
    <definedName name="BExGT5BXT81PIXFEOZRS1CXOJC7Y" hidden="1">Query #REF!</definedName>
    <definedName name="BExGT6J2Y0XJ0YH0M5U4IRIYXKOU" hidden="1">#REF!</definedName>
    <definedName name="BExGT9OGC53SA6ALIXN16QJ1ID53" hidden="1">#REF!</definedName>
    <definedName name="BExGTAQBSTQAE35RFTPRRBRSJ6QV" hidden="1">#REF!</definedName>
    <definedName name="BExGTCZ685H24N8DXNQ8LB77SCD7" hidden="1">#REF!</definedName>
    <definedName name="BExGTJF1THSDDAGE8HT4R2HT47JJ" hidden="1">#REF!</definedName>
    <definedName name="BExGTP9ICSZLXQZAX4Z7OPMOBL8X" hidden="1">#REF!</definedName>
    <definedName name="BExGTRIC70BA1BAXRDWXD3ZBCYJ5" hidden="1">#REF!</definedName>
    <definedName name="BExGTUYIUSOT9PCGT6X7P8SQ6YWX" hidden="1">#REF!</definedName>
    <definedName name="BExGTW5OBRFEQY7RAAAGZ9R51R4O" hidden="1">#REF!</definedName>
    <definedName name="BExGTWLSSTDN49PI2W2SX0GPAXB6" hidden="1">#REF!</definedName>
    <definedName name="BExGTWR9P2OPQ7YPJ7PV7M79UJ01" hidden="1">#REF!</definedName>
    <definedName name="BExGTX7DMPLVB8YBRCBST8K185T0" hidden="1">#REF!</definedName>
    <definedName name="BExGU0YB8YJG1CGNQSU2HWYGW6IG" hidden="1">#REF!</definedName>
    <definedName name="BExGU73FP0JPEP0ZCIIRXS16ANPF" hidden="1">#REF!</definedName>
    <definedName name="BExGU9HQ636O95QOLFOAIZK9CF1M" hidden="1">#REF!</definedName>
    <definedName name="BExGUA3C4QK2ZYI5ISHBPWMV5UGF" hidden="1">#REF!</definedName>
    <definedName name="BExGUHVUB750APBFGP2ZCCHTL8TV" hidden="1">#REF!</definedName>
    <definedName name="BExGUN4M4T9Q5DT0JYA9N0SNI1TP" hidden="1">#REF!</definedName>
    <definedName name="BExGUPZ5QWLI9B63VTECCBXN6M1X" hidden="1">#REF!</definedName>
    <definedName name="BExGUT9UI5UC4XNHJ75H15MN2N71" hidden="1">#REF!</definedName>
    <definedName name="BExGUXBFW8V1RB7AJ3VHVCLB77J1" hidden="1">#REF!</definedName>
    <definedName name="BExGV00KUB1W5SREKP0HQK1UT4XT" hidden="1">#REF!</definedName>
    <definedName name="BExGV6B51NIZ18TH4DE1M0F6TO07" hidden="1">#REF!</definedName>
    <definedName name="BExGV6LWGJJRZBZEA3JMD73ZSMOZ" localSheetId="3" hidden="1">Query #REF!</definedName>
    <definedName name="BExGV6LWGJJRZBZEA3JMD73ZSMOZ" hidden="1">Query #REF!</definedName>
    <definedName name="BExGV7CZU8790CTQ1JDZ3EKPYW67" hidden="1">#REF!</definedName>
    <definedName name="BExGVILI9S4BQ7GVRXSKAXZ1ELAT" localSheetId="3" hidden="1">_YA01 #REF!</definedName>
    <definedName name="BExGVILI9S4BQ7GVRXSKAXZ1ELAT" hidden="1">_YA01 #REF!</definedName>
    <definedName name="BExGVJCDG4AVDDRST4G950MNIJ8Z" hidden="1">#REF!</definedName>
    <definedName name="BExGVNE4ZXRHIX02JGR29QKMIXKX" hidden="1">#REF!</definedName>
    <definedName name="BExGVNJMG1G08H3JWULZ35Y2FB9H" hidden="1">#REF!</definedName>
    <definedName name="BExGW2DLMV1XZ3JSTNXHFLTOH8C9" hidden="1">#REF!</definedName>
    <definedName name="BExGW3VKBD72NKL2LOP7XZVY62GW" hidden="1">#REF!</definedName>
    <definedName name="BExGWBDAZ3JEB9XZ223OX0E7ISOP" hidden="1">#REF!</definedName>
    <definedName name="BExGWGGPLN0ZZ53VCEL6DUHHA8VB" hidden="1">#REF!</definedName>
    <definedName name="BExGWVARR5ANTYK05I8H7IRF7KSL" hidden="1">#REF!</definedName>
    <definedName name="BExGWW73VG8Z3B8NJ0GZASPXNURQ" hidden="1">#REF!</definedName>
    <definedName name="BExGWYW7LK2NHK7JS7T6N9YR5IKC" hidden="1">#REF!</definedName>
    <definedName name="BExGWZ1P7F4XQT6Q5YY294DXN2EV" hidden="1">#REF!</definedName>
    <definedName name="BExGX6JFFSDYDGAGKKGGKSWS4EVG" hidden="1">#REF!</definedName>
    <definedName name="BExGX6OR40X82FBBB66VRBOY85K7" hidden="1">#REF!</definedName>
    <definedName name="BExGXCDQO3ABCR3B7LCODFB4FT1U" hidden="1">#REF!</definedName>
    <definedName name="BExGXCJ8DKXR8QGY1QRN4T856WTD" localSheetId="3" hidden="1">QKPI #REF!</definedName>
    <definedName name="BExGXCJ8DKXR8QGY1QRN4T856WTD" hidden="1">QKPI #REF!</definedName>
    <definedName name="BExGXD4TC66KFJ4V0KGODXR5TUEN" hidden="1">#REF!</definedName>
    <definedName name="BExGXFIXZO7YRVI0AZ18BGUQHTAE" hidden="1">#REF!</definedName>
    <definedName name="BExGXHMIW02Q1C4DN310ORVA08CN" hidden="1">#REF!</definedName>
    <definedName name="BExGXKH2WLOPBV1KCJWJ46U7PAIR" hidden="1">#REF!</definedName>
    <definedName name="BExGXO2IYHC6WLVUWND3QQWPVTJR" hidden="1">#REF!</definedName>
    <definedName name="BExGY0253VQZ6QY1Z2322VFWDT4F" hidden="1">#REF!</definedName>
    <definedName name="BExGYBANORO9RA8WR3I1L99A8M7S" hidden="1">#REF!</definedName>
    <definedName name="BExGYFHPV24HZB29J7BA6XJCKOC0" hidden="1">#REF!</definedName>
    <definedName name="BExGYICAFPRM9ASMCPLEDRC5EDFE" hidden="1">#REF!</definedName>
    <definedName name="BExGYIHLAXNOVIC4UBIETKOZ9ZS5" hidden="1">#REF!</definedName>
    <definedName name="BExGYMOOI4YIJRV473B4XIKMW9XT" hidden="1">#REF!</definedName>
    <definedName name="BExGYNL1UTKNLYLP5WKQBNN6EH3U" localSheetId="3" hidden="1">Query #REF!</definedName>
    <definedName name="BExGYNL1UTKNLYLP5WKQBNN6EH3U" hidden="1">Query #REF!</definedName>
    <definedName name="BExGZ0682T2JU6MMMVIFB911LNPI" hidden="1">#REF!</definedName>
    <definedName name="BExGZGYF9CAJMGA05FT0JJ0ANKCJ" hidden="1">#REF!</definedName>
    <definedName name="BExGZHUSMNYNJJL6LK5PA12COQLP" hidden="1">#REF!</definedName>
    <definedName name="BExGZKJXAHH19YL1QQ6E75FOEDL3" hidden="1">#REF!</definedName>
    <definedName name="BExGZKUOUHRZ29Y7PHSJNLJS78SW" hidden="1">#REF!</definedName>
    <definedName name="BExH0FPUBKEKJWYRICX9H3WADQB3" hidden="1">#REF!</definedName>
    <definedName name="BExH0HO32L8CPXVR8LKVTE2X5ECK" hidden="1">#REF!</definedName>
    <definedName name="BExH0OV1KJP3QLP11QBM7Y441GZ5" hidden="1">#REF!</definedName>
    <definedName name="BExH0SLS7M6Q2L9QAR1CVRAVYN6L" hidden="1">#REF!</definedName>
    <definedName name="BExH0Y5H7ZGFWUE7WVY44M9XMMJ0" hidden="1">#REF!</definedName>
    <definedName name="BExH0YAU46BMSV4I4YVU2VEQO82G" hidden="1">#REF!</definedName>
    <definedName name="BExH13UIE347DLXL88GZTBTNTJ13" hidden="1">#REF!</definedName>
    <definedName name="BExH17FUUTZ8KFWQ90W9ZP1DGOEU" hidden="1">#REF!</definedName>
    <definedName name="BExH1AFPA81J0T2A8Q43NRDWPFVF" hidden="1">#REF!</definedName>
    <definedName name="BExH1B1FOIM72LZXBXQ402H5RVBJ" hidden="1">#REF!</definedName>
    <definedName name="BExH1CU7VVA1X6V7RPGHXPHGA5VK" hidden="1">#REF!</definedName>
    <definedName name="BExH1GFPK7LU9AJK8FJ83H91148Y" hidden="1">#REF!</definedName>
    <definedName name="BExH1MA09IUD7LB0W54803C7F29D" hidden="1">#REF!</definedName>
    <definedName name="BExH23IBT221NR1OQ6E5VI9SF3M9" hidden="1">#REF!</definedName>
    <definedName name="BExH25LU3AGH26X9M8F0EO7DY6XF" hidden="1">#REF!</definedName>
    <definedName name="BExH2H5BX6MPYOXXEOYVP3IEED60" hidden="1">#REF!</definedName>
    <definedName name="BExH2PZIY5YGBJJ5Z6IBN518SGTI" hidden="1">#REF!</definedName>
    <definedName name="BExH2SZH0ZQ1UXCYA9MP5JL921BG" hidden="1">#REF!</definedName>
    <definedName name="BExH2YOFGQ9ULCME3Q0WWTJH39K3" hidden="1">#REF!</definedName>
    <definedName name="BExH2ZA1F60CEHK536I7BMFZY2NF" hidden="1">#REF!</definedName>
    <definedName name="BExH359SVEJ86S1E9YY87CLE1QWE" localSheetId="3" hidden="1">Query #REF!</definedName>
    <definedName name="BExH359SVEJ86S1E9YY87CLE1QWE" hidden="1">Query #REF!</definedName>
    <definedName name="BExH384DUZWCWX9UR12BKYZ2336Y" hidden="1">#REF!</definedName>
    <definedName name="BExH3N96YYPMM79C05XNXV4XX07O" hidden="1">#REF!</definedName>
    <definedName name="BExH3XQU14Y9ADCU00ENP6NWBYRD" localSheetId="3" hidden="1">Query #REF!</definedName>
    <definedName name="BExH3XQU14Y9ADCU00ENP6NWBYRD" hidden="1">Query #REF!</definedName>
    <definedName name="BExH471AT44P5G4T77L9ZJ0QAU0U" hidden="1">#REF!</definedName>
    <definedName name="BExIG64ZDTDB2VSCDRLX4TAFWSSS" hidden="1">#REF!</definedName>
    <definedName name="BExIGDBWCIEEC7PFD4UFF1HSC7F9" hidden="1">#REF!</definedName>
    <definedName name="BExIGR484VIF80SFTBU5A0WOB3WZ" hidden="1">#REF!</definedName>
    <definedName name="BExIGV0H1HO6HA2A44QW1JIZPB8N" hidden="1">#REF!</definedName>
    <definedName name="BExIH406E5IPNH1ATZWUQGRTNTYN" localSheetId="3" hidden="1">Query #REF!</definedName>
    <definedName name="BExIH406E5IPNH1ATZWUQGRTNTYN" hidden="1">Query #REF!</definedName>
    <definedName name="BExIHBHWXEHY274F09163J9GLEFC" hidden="1">#REF!</definedName>
    <definedName name="BExIHFOYRQQZE5C08R5N6OWXCAAD" hidden="1">#REF!</definedName>
    <definedName name="BExIHIOW26WSNUFNUM5NYJHQ74GC" hidden="1">#REF!</definedName>
    <definedName name="BExIHPFKKM9WFOF9CZ6KC0I6GFIJ" localSheetId="3" hidden="1">QKPI #REF!</definedName>
    <definedName name="BExIHPFKKM9WFOF9CZ6KC0I6GFIJ" hidden="1">QKPI #REF!</definedName>
    <definedName name="BExII1KLKNXM2H68TOJR87BCL12R" hidden="1">#REF!</definedName>
    <definedName name="BExIIH06U6VC141Q309UJKY58JAE" localSheetId="3" hidden="1">Query #REF!</definedName>
    <definedName name="BExIIH06U6VC141Q309UJKY58JAE" hidden="1">Query #REF!</definedName>
    <definedName name="BExIIKGDKJGL89CXGP6NZ7CVX6YV" hidden="1">#REF!</definedName>
    <definedName name="BExIING3W8I1RWXXABMF394G9X9Z" localSheetId="3" hidden="1">QKPI #REF!</definedName>
    <definedName name="BExIING3W8I1RWXXABMF394G9X9Z" hidden="1">QKPI #REF!</definedName>
    <definedName name="BExIIRHUNW0E0GVAOLGE1I96WFH3" localSheetId="3" hidden="1">Query #REF!</definedName>
    <definedName name="BExIIRHUNW0E0GVAOLGE1I96WFH3" hidden="1">Query #REF!</definedName>
    <definedName name="BExIJ1DWCBNPLSX07FB0FTZ8WAGO" hidden="1">#REF!</definedName>
    <definedName name="BExIJDISWII69INC4XX4JGOGNMD4" hidden="1">#REF!</definedName>
    <definedName name="BExIJI63L7DMDAAILT32XDH3FOJH" hidden="1">#REF!</definedName>
    <definedName name="BExIK23JTMFZIAZ67R4TZIM7X6ZG" hidden="1">#REF!</definedName>
    <definedName name="BExIK472ZFO7P4KVSH51TRXO5DLE" hidden="1">#REF!</definedName>
    <definedName name="BExIK4CIU52QRA1IT02OAO8LYNKA" hidden="1">#REF!</definedName>
    <definedName name="BExIK53H42JYP8KPRFHNI55VHJME" hidden="1">#REF!</definedName>
    <definedName name="BExIK6LFFK5L2SAHE0P733C46TWZ" hidden="1">#REF!</definedName>
    <definedName name="BExIKAMYBE02X9DBCIWNDJ61O0BM" hidden="1">#REF!</definedName>
    <definedName name="BExIKCL71ZFUU7R9257XLOGVN6NK" hidden="1">#REF!</definedName>
    <definedName name="BExIKOFAY1UGYE246NKPAC6ZNQH9" hidden="1">#REF!</definedName>
    <definedName name="BExIKTIPMXVOYPQ6BXPZPWOSRRKL" hidden="1">#REF!</definedName>
    <definedName name="BExIKYBCQBRS2SEIUNHJJYA74NVZ" hidden="1">#REF!</definedName>
    <definedName name="BExILK1IE8OI2Q4IXTBHQ62MJOFC" hidden="1">#REF!</definedName>
    <definedName name="BExILNHO4J3DM7139XHMXEU7ZH4S" hidden="1">#REF!</definedName>
    <definedName name="BExILTC0KKNAR7DIY1T02Z3KXG84" hidden="1">#REF!</definedName>
    <definedName name="BExILUDTZ7V5FIKKY72KEVO455U3" hidden="1">#REF!</definedName>
    <definedName name="BExILVVT8UHQYS0WZWRAQSPXL1KT" hidden="1">#REF!</definedName>
    <definedName name="BExILWHE1W100VS1Z4P2SZWBD788" hidden="1">#REF!</definedName>
    <definedName name="BExILZBTGG26AGANDVK1M6X38KIN" hidden="1">#REF!</definedName>
    <definedName name="BExILZHAIW42TPGOKOA1YC2GAEOV" hidden="1">#REF!</definedName>
    <definedName name="BExIM7VEU6URS4ES5H2NGFOW3LO6" hidden="1">#REF!</definedName>
    <definedName name="BExIMP970DQGZ8N4LBK81H3L504O" hidden="1">#REF!</definedName>
    <definedName name="BExIMPUKXVDZPG7JE8E9K89AOIAT" hidden="1">#REF!</definedName>
    <definedName name="BExIMQWFK1MX3L41018WP33P6WSI" hidden="1">#REF!</definedName>
    <definedName name="BExINWEQ1BEP46RK20EQE9493TFR" hidden="1">#REF!</definedName>
    <definedName name="BExIO8JS9BEPM70GISDGRR30OS5E" hidden="1">#REF!</definedName>
    <definedName name="BExIOCQUZ0U4F6JXTKT6A6BN3OA4" hidden="1">#REF!</definedName>
    <definedName name="BExIOUKPNFG8356Y6KDR23R9WT4C" localSheetId="3" hidden="1">DP #REF!</definedName>
    <definedName name="BExIOUKPNFG8356Y6KDR23R9WT4C" hidden="1">DP #REF!</definedName>
    <definedName name="BExIP0VCFDNHDWDLNLQQWKOSCBD5" localSheetId="3" hidden="1">Query #REF!</definedName>
    <definedName name="BExIP0VCFDNHDWDLNLQQWKOSCBD5" hidden="1">Query #REF!</definedName>
    <definedName name="BExIP164W8WQSIM3MRCGP8EFNO0P" hidden="1">#REF!</definedName>
    <definedName name="BExIP4M46RVEF7AZHR594FF54NGT" hidden="1">#REF!</definedName>
    <definedName name="BExIP6EUP3PXWXUA5BTG2TR6X6EX" hidden="1">#REF!</definedName>
    <definedName name="BExIP6KBCTSH2BIR2N07IUQ79877" hidden="1">#REF!</definedName>
    <definedName name="BExIPJWF0NOWD60R68HXN9C4AIIJ" hidden="1">#REF!</definedName>
    <definedName name="BExIPMQZK1AWUNPETFMWB76VKC1R" hidden="1">#REF!</definedName>
    <definedName name="BExIPPAMXQ5N1HAWYUUTZUPEDFBJ" localSheetId="3" hidden="1">_YB11 #REF!</definedName>
    <definedName name="BExIPPAMXQ5N1HAWYUUTZUPEDFBJ" hidden="1">_YB11 #REF!</definedName>
    <definedName name="BExIQ38EPPBCGICWXZ9TWO8I8I7V" hidden="1">#REF!</definedName>
    <definedName name="BExIQ44ND55XJKZV1BDVQCMD93QZ" hidden="1">#REF!</definedName>
    <definedName name="BExIQ5XBJTXJDXN4O27FIMO1FMEI" localSheetId="3" hidden="1">Query #REF!</definedName>
    <definedName name="BExIQ5XBJTXJDXN4O27FIMO1FMEI" hidden="1">Query #REF!</definedName>
    <definedName name="BExIQ9J01L95YJI31LXA4YSWDSDV" hidden="1">#REF!</definedName>
    <definedName name="BExIQCIQVMWGRHD32EHNOK6OW1KZ" hidden="1">#REF!</definedName>
    <definedName name="BExIQFO3Y899I93J1TVCAKJTUOKT" localSheetId="3" hidden="1">_KF01 #REF!</definedName>
    <definedName name="BExIQFO3Y899I93J1TVCAKJTUOKT" hidden="1">_KF01 #REF!</definedName>
    <definedName name="BExIQLIFVA6UZYJJYYUUX4RPVKTD" hidden="1">#REF!</definedName>
    <definedName name="BExIQNGMTFVNZ3SZF8TR03BG9F2B" hidden="1">#REF!</definedName>
    <definedName name="BExIR13HJ57TEUU7NISB3I0TGP92" hidden="1">#REF!</definedName>
    <definedName name="BExIRDDV8RNTHB1PW9K9089XNUPI" hidden="1">#REF!</definedName>
    <definedName name="BExIRMIUD6C4B4HUYCWXSHPILX01" hidden="1">#REF!</definedName>
    <definedName name="BExIRRGXLPZPT38EJDRU7PQ8Z4BA" hidden="1">#REF!</definedName>
    <definedName name="BExIRRGZ157B5HP42JA77HWG6I2J" localSheetId="3" hidden="1">_YB10 #REF!</definedName>
    <definedName name="BExIRRGZ157B5HP42JA77HWG6I2J" hidden="1">_YB10 #REF!</definedName>
    <definedName name="BExIRSYWI4D2BWVYEJWVM4L5T0DP" hidden="1">#REF!</definedName>
    <definedName name="BExIS6R8012X1W0VBNL5W7NF668P" hidden="1">#REF!</definedName>
    <definedName name="BExISD752I1YAE5DNUPSK6ZYXGPC" hidden="1">#REF!</definedName>
    <definedName name="BExISFLGBIX7ZKB99X04TUJX1C0N" hidden="1">#REF!</definedName>
    <definedName name="BExISJSJ5PMW9OP2S8VAFUOH8V6B" localSheetId="3" hidden="1">QKPI #REF!</definedName>
    <definedName name="BExISJSJ5PMW9OP2S8VAFUOH8V6B" hidden="1">QKPI #REF!</definedName>
    <definedName name="BExISK8S7J4EZK17IZZAR1XKYDFE" hidden="1">#REF!</definedName>
    <definedName name="BExISN373B6MN504LNNTN40ZP9Q1" hidden="1">#REF!</definedName>
    <definedName name="BExISNJ9DF1VVK9RXWCJ2Z8V9EIJ" hidden="1">#REF!</definedName>
    <definedName name="BExISNJGQ93X00ML36N2048M84S8" hidden="1">#REF!</definedName>
    <definedName name="BExISS6LW1GXZ7Z8MLR3YIPFUSQT" hidden="1">#REF!</definedName>
    <definedName name="BExISWOHITWUOLHPP0V5XGUEF2HZ" hidden="1">#REF!</definedName>
    <definedName name="BExITDB6XBA7WM1ANMX4P6JRECYJ" hidden="1">#REF!</definedName>
    <definedName name="BExITOJW4SI1ED2I4UXFL08VL95C" hidden="1">#REF!</definedName>
    <definedName name="BExITTSNX4JDQJFSOFRKT4T4PUYB" hidden="1">#REF!</definedName>
    <definedName name="BExITXU78QSNVK0VYKFNIF42T4YN" hidden="1">#REF!</definedName>
    <definedName name="BExIU1ACEJT3UNPRE74JTP517ITC" hidden="1">#REF!</definedName>
    <definedName name="BExIU7KYXR1VUBIRDYT6XSYK2B44" hidden="1">#REF!</definedName>
    <definedName name="BExIUC2TG02N6PENM51YEQ9K0QZP" localSheetId="3" hidden="1">Query #REF!</definedName>
    <definedName name="BExIUC2TG02N6PENM51YEQ9K0QZP" hidden="1">Query #REF!</definedName>
    <definedName name="BExIUFZ1SZJH5HND64NMEOCZFVNH" hidden="1">#REF!</definedName>
    <definedName name="BExIUHRTPGHYR4ZGAWXQK8SJNC3O" hidden="1">#REF!</definedName>
    <definedName name="BExIUMV8149DJQ6SZZBF2RINKTAH" localSheetId="3" hidden="1">QCheck #REF!</definedName>
    <definedName name="BExIUMV8149DJQ6SZZBF2RINKTAH" hidden="1">QCheck #REF!</definedName>
    <definedName name="BExIUPEULSGYXT7PTX6TZEFW6IUG" hidden="1">#REF!</definedName>
    <definedName name="BExIUXYBLT8JJQB543PC5X8P87BE" hidden="1">#REF!</definedName>
    <definedName name="BExIVF6ROM7AMOB4K735JXYQ5P4D" localSheetId="3" hidden="1">_YA09 GuV #REF!</definedName>
    <definedName name="BExIVF6ROM7AMOB4K735JXYQ5P4D" hidden="1">_YA09 GuV #REF!</definedName>
    <definedName name="BExIVHAB8Q1YOQVMAPTA6K1ASJK1" hidden="1">#REF!</definedName>
    <definedName name="BExIVLXLL93M1YT03DUZVSHALITP" hidden="1">#REF!</definedName>
    <definedName name="BExIVY2IZQOESPWG3QPKWGXJ8AWP" hidden="1">#REF!</definedName>
    <definedName name="BExIW5V2SNX6R5ZGRX1Z7OPH4A17" hidden="1">#REF!</definedName>
    <definedName name="BExIWA7EXYBJPVGP2YIXTQ4473A1" hidden="1">#REF!</definedName>
    <definedName name="BExIWBK1V0Q8EWIDYNM6QYYIINC6" hidden="1">#REF!</definedName>
    <definedName name="BExIWIQZV9O5JVUVWURKPTUVV7SW" hidden="1">#REF!</definedName>
    <definedName name="BExIWKUD2LLSXELHR16S0LKW6OAV" hidden="1">#REF!</definedName>
    <definedName name="BExIWOAHYSYYOQTTTJROY9YK50YW" hidden="1">#REF!</definedName>
    <definedName name="BExIWOQNHMJA6CPCCNBY5SKOTMOW" hidden="1">#REF!</definedName>
    <definedName name="BExIWSXV83JJ8PRTXWUYU39V9WM8" hidden="1">#REF!</definedName>
    <definedName name="BExIWVSAGGT6IOVNAUOCX4KV09QY" hidden="1">#REF!</definedName>
    <definedName name="BExIX587H0P1RNRWQK3JXKJH541A" hidden="1">#REF!</definedName>
    <definedName name="BExIX82MBAZTT4JAYZCKN1E3EIL5" hidden="1">#REF!</definedName>
    <definedName name="BExIXA667D08I4UH0J8F4YQBR44N" hidden="1">#REF!</definedName>
    <definedName name="BExIXJ5VE9H4DR0PF7T1GTPUOB99" hidden="1">#REF!</definedName>
    <definedName name="BExIXWSOXI7WY2NPFU0HYJOE4EHS" hidden="1">#REF!</definedName>
    <definedName name="BExIY2SI8QOT6IID46TSKH5YLKAP" hidden="1">#REF!</definedName>
    <definedName name="BExIY38R6PWL6HKMT2UGP0VLJ81Y" hidden="1">#REF!</definedName>
    <definedName name="BExIY86OR8PQT9RK5QOEZSPMQ76H" hidden="1">#REF!</definedName>
    <definedName name="BExIYAA8FTUMTSFAPCFXD2M96UHN" localSheetId="3" hidden="1">Query #REF!</definedName>
    <definedName name="BExIYAA8FTUMTSFAPCFXD2M96UHN" hidden="1">Query #REF!</definedName>
    <definedName name="BExIYK6A49I0JOCY0F33KC107VUE" hidden="1">#REF!</definedName>
    <definedName name="BExIYLZ1G91JFXOKNA33FCOUD07B" hidden="1">#REF!</definedName>
    <definedName name="BExIZ1K47DF366TZTK766E8F2WKG" hidden="1">#REF!</definedName>
    <definedName name="BExIZ6CQ4XS0MI74N44HDOE0FUHL" hidden="1">#REF!</definedName>
    <definedName name="BExIZAJT4GIUMRKIHF1203WBHEUY" hidden="1">#REF!</definedName>
    <definedName name="BExIZB5CN77HEY3U6YJT5MXB62DG" hidden="1">#REF!</definedName>
    <definedName name="BExIZBW9ZF2R25M0PQ6I41VLB22T" hidden="1">#REF!</definedName>
    <definedName name="BExIZEAL2988NNPR1WL8FRAGFKZU" hidden="1">#REF!</definedName>
    <definedName name="BExIZJ37TWLP7H1R99KKLR2FFXWA" localSheetId="3" hidden="1">DP #REF!</definedName>
    <definedName name="BExIZJ37TWLP7H1R99KKLR2FFXWA" hidden="1">DP #REF!</definedName>
    <definedName name="BExIZMZG56N598OF3C79YZSFDYRG" hidden="1">#REF!</definedName>
    <definedName name="BExIZP8HT2U2AC1M578DD4K78U0L" localSheetId="3" hidden="1">QKPI #REF!</definedName>
    <definedName name="BExIZP8HT2U2AC1M578DD4K78U0L" hidden="1">QKPI #REF!</definedName>
    <definedName name="BExIZPDT7XDQHXKVRJ5OHSODZR16" hidden="1">#REF!</definedName>
    <definedName name="BExIZU6G5Z7XLTZMYRMHDGL90W7M" hidden="1">#REF!</definedName>
    <definedName name="BExJ0YN1816RI847AMPWGMSMTAFV" hidden="1">#REF!</definedName>
    <definedName name="BExJ1L48BNAL30OVITVBWV2NZKD9" hidden="1">#REF!</definedName>
    <definedName name="BExJ1P0JKYY0AFUXNBFAYDUR7PO7" hidden="1">#REF!</definedName>
    <definedName name="BExKDD0YC9881WA7LJOR2Q6SSORV" localSheetId="3" hidden="1">DP #REF!</definedName>
    <definedName name="BExKDD0YC9881WA7LJOR2Q6SSORV" hidden="1">DP #REF!</definedName>
    <definedName name="BExKDG0UISYFH5WYFT2G49DK96EQ" hidden="1">#REF!</definedName>
    <definedName name="BExKDKIOJ4QIA6LECAFGPS0UL9CE" hidden="1">#REF!</definedName>
    <definedName name="BExKDWT26MDG137H4N8NSBWWKMSM" hidden="1">#REF!</definedName>
    <definedName name="BExKDWT2FDA4BP0ROXJNDZ8DY30Y" hidden="1">#REF!</definedName>
    <definedName name="BExKDXENSGVSJNVWHZV5UXVR0U82" localSheetId="3" hidden="1">DP #REF!</definedName>
    <definedName name="BExKDXENSGVSJNVWHZV5UXVR0U82" hidden="1">DP #REF!</definedName>
    <definedName name="BExKEAQPAMTCCP0IK84K1S0Y3OGL" hidden="1">#REF!</definedName>
    <definedName name="BExKEEC6O3C9TH5QL7N7C9WKWTCW" hidden="1">#REF!</definedName>
    <definedName name="BExKEESGNU56RCL1X589KPV7FPBZ" hidden="1">#REF!</definedName>
    <definedName name="BExKEMA6SD5MLDP05RNYMDZ1540F" hidden="1">#REF!</definedName>
    <definedName name="BExKENXF996GKMX3WTXVEL39RJFK" hidden="1">#REF!</definedName>
    <definedName name="BExKEQXC6OPSR3N3349IFWIS2YSY" hidden="1">#REF!</definedName>
    <definedName name="BExKEZ653K9FBH3GDJPBHNMSSYD1" hidden="1">#REF!</definedName>
    <definedName name="BExKF2GSRRUEQPDBB0IZFN33S3L7" hidden="1">#REF!</definedName>
    <definedName name="BExKF6IFIPVUQAH4TYH7NRQPFPP6" hidden="1">#REF!</definedName>
    <definedName name="BExKF8GL5ICM2GQXFFMFJ2SIDV5B" hidden="1">#REF!</definedName>
    <definedName name="BExKF9NLSJ8RN0MRJBBIYSQ68VQO" hidden="1">#REF!</definedName>
    <definedName name="BExKFMZUZ20CIVNPAXAKVWT5969F" hidden="1">#REF!</definedName>
    <definedName name="BExKFT4YLO04ZWA13ISYD6ZF0QD5" hidden="1">#REF!</definedName>
    <definedName name="BExKFTAGDAG8MGLLXVT81OT2G16Q" localSheetId="3" hidden="1">QKPI #REF!</definedName>
    <definedName name="BExKFTAGDAG8MGLLXVT81OT2G16Q" hidden="1">QKPI #REF!</definedName>
    <definedName name="BExKGDNYHY4QRUGJPTO33E1FSIM2" hidden="1">#REF!</definedName>
    <definedName name="BExKGRWJJ6672Y54OXDJQOCWCWMG" hidden="1">#REF!</definedName>
    <definedName name="BExKH2UAR39XL2GGL7T8H00RDQ5I" hidden="1">#REF!</definedName>
    <definedName name="BExKH2ZRLFFX8NDPBUPUQRIS0Y37" hidden="1">#REF!</definedName>
    <definedName name="BExKHK84637JKIZZN1KA6TUHM5WP" hidden="1">#REF!</definedName>
    <definedName name="BExKHOKL1OUGDOZDV5ROAZQ6FAH7" localSheetId="3" hidden="1">DP #REF!</definedName>
    <definedName name="BExKHOKL1OUGDOZDV5ROAZQ6FAH7" hidden="1">DP #REF!</definedName>
    <definedName name="BExKHZNUVQTZHARI1O8BRGYV9SRN" hidden="1">#REF!</definedName>
    <definedName name="BExKI6PA68AN5E2OR2ZEVOS7AESF" hidden="1">#REF!</definedName>
    <definedName name="BExKILE04IDXPQVIUJF1DNH15BY9" hidden="1">#REF!</definedName>
    <definedName name="BExKIMACK4G2Q7X9YILDAXRSVNHQ" hidden="1">#REF!</definedName>
    <definedName name="BExKISFH82NZ4QOAIZZU16ZZDYRH" hidden="1">#REF!</definedName>
    <definedName name="BExKIVFCFMNK3XTZV41QEWTHBKCM" hidden="1">#REF!</definedName>
    <definedName name="BExKJ2RTBTSB81Y5TR9MRJOPQN74" hidden="1">#REF!</definedName>
    <definedName name="BExKJ563OUHMVCDDEDL1XAN28M8W" localSheetId="3" hidden="1">QCheck #REF!</definedName>
    <definedName name="BExKJ563OUHMVCDDEDL1XAN28M8W" hidden="1">QCheck #REF!</definedName>
    <definedName name="BExKJ6TCRI15ZB834YMKNWZHQVVD" localSheetId="3" hidden="1">Query #REF!</definedName>
    <definedName name="BExKJ6TCRI15ZB834YMKNWZHQVVD" hidden="1">Query #REF!</definedName>
    <definedName name="BExKJCIE2ANQY3BJXKZP3HY3HL6R" hidden="1">#REF!</definedName>
    <definedName name="BExKJM93UT7XFKA1JOEW1JO97RJ7" hidden="1">#REF!</definedName>
    <definedName name="BExKJNWDAOZDEH9MSYM9EVTNQ0OC" hidden="1">#REF!</definedName>
    <definedName name="BExKJQQTD5BZQ6FK3Y7FYIM3U1X2" hidden="1">#REF!</definedName>
    <definedName name="BExKJTFX8L81AJBIMXJ1M1CH4AQN" hidden="1">#REF!</definedName>
    <definedName name="BExKK0XOPC63BGGKK8C7KTTUGHWF" hidden="1">#REF!</definedName>
    <definedName name="BExKKCMLEAYPRUT3C55755I9H7FA" hidden="1">#REF!</definedName>
    <definedName name="BExKKUWLYC17RJF7N087FRNAYGYE" hidden="1">#REF!</definedName>
    <definedName name="BExKL000TMGK5ISB4MJTBFEFGQDD" hidden="1">#REF!</definedName>
    <definedName name="BExKL1NANL6VTCJPLMWBZHODUE8J" hidden="1">#REF!</definedName>
    <definedName name="BExKL770HTUKVQ5USDOIDPZGHUGE" hidden="1">#REF!</definedName>
    <definedName name="BExKLVGXIFP92MDN73N9QXPDA6JY" hidden="1">#REF!</definedName>
    <definedName name="BExKM044ORN0UTC5WQ2NBQJFMI6E" hidden="1">#REF!</definedName>
    <definedName name="BExKM1WUR3EG8F2KB9ABLIEC9ZL3" hidden="1">#REF!</definedName>
    <definedName name="BExKMAAZ2THL34EJ010NBGWZGHOE" hidden="1">#REF!</definedName>
    <definedName name="BExKMCJSPJXVINBEECJ432WAZLAE" hidden="1">#REF!</definedName>
    <definedName name="BExKMENHU2425YGPOXYBTUEK62XS" hidden="1">#REF!</definedName>
    <definedName name="BExKMJLF9O8MOEM2QLFMT1K5UIZO" localSheetId="3" hidden="1">DP #REF!</definedName>
    <definedName name="BExKMJLF9O8MOEM2QLFMT1K5UIZO" hidden="1">DP #REF!</definedName>
    <definedName name="BExKMO8KL7YDDNWTQ4F0WPFQAI8F" hidden="1">#REF!</definedName>
    <definedName name="BExKMP4YLSX7RKNYY4G9MGIYDGS6" hidden="1">#REF!</definedName>
    <definedName name="BExKMPQK0LXXG5CQNQNJFVF1GYPC" localSheetId="3" hidden="1">Query #REF!</definedName>
    <definedName name="BExKMPQK0LXXG5CQNQNJFVF1GYPC" hidden="1">Query #REF!</definedName>
    <definedName name="BExKMQSD2O0MOHC8NB2GLYN8YX7F" hidden="1">#REF!</definedName>
    <definedName name="BExKN9IP7EQHPVBN9212AIPMIZVK" hidden="1">#REF!</definedName>
    <definedName name="BExKNCO0DAPM8127LS746XLM1M8O" localSheetId="3" hidden="1">QKPI #REF!</definedName>
    <definedName name="BExKNCO0DAPM8127LS746XLM1M8O" hidden="1">QKPI #REF!</definedName>
    <definedName name="BExKNG9I894Y960DKUFYNUKGZTM7" hidden="1">#REF!</definedName>
    <definedName name="BExKNOSY28P9QHYQWT7WRMYBMQ3Z" hidden="1">#REF!</definedName>
    <definedName name="BExKNS94WN60NXBGGZYYY0JA5OBX" hidden="1">#REF!</definedName>
    <definedName name="BExKNT5GHYHRX7JFWQLX87WA5AYX" localSheetId="3" hidden="1">Query #REF!</definedName>
    <definedName name="BExKNT5GHYHRX7JFWQLX87WA5AYX" hidden="1">Query #REF!</definedName>
    <definedName name="BExKO78ESPL8L6SG5UM2REFTG6XJ" hidden="1">#REF!</definedName>
    <definedName name="BExKOAOM5OEB7UU2WCGVNZC9F1Z5" hidden="1">#REF!</definedName>
    <definedName name="BExKOBKXVOOENQTK0T6L4I8V0D0B" hidden="1">#REF!</definedName>
    <definedName name="BExKOBKXZYBEAEBRVAL3LKQVVE4Q" hidden="1">#REF!</definedName>
    <definedName name="BExKOF6ERNE29QXISJI6IWEHGMUR" hidden="1">#REF!</definedName>
    <definedName name="BExKOOGX75N3JPV1JS5MZP9BMHDL" hidden="1">#REF!</definedName>
    <definedName name="BExKP292QDEW5YRWZ59KOIXN4LD8" hidden="1">#REF!</definedName>
    <definedName name="BExKP4SUWIBR7EMPMTRZFQGAPEOU" hidden="1">#REF!</definedName>
    <definedName name="BExKPD1NL9YUV6LFYHCD1N3AXUX3" hidden="1">#REF!</definedName>
    <definedName name="BExKPD1OF5CNV3Q8S66YPFSVN0B7" hidden="1">#REF!</definedName>
    <definedName name="BExKPE3CSDXD9O0AZ7SP6ES5ZVTH" hidden="1">#REF!</definedName>
    <definedName name="BExKPLAAIE5L2UTWGLRFLCEZE2QK" localSheetId="3" hidden="1">Query #REF!</definedName>
    <definedName name="BExKPLAAIE5L2UTWGLRFLCEZE2QK" hidden="1">Query #REF!</definedName>
    <definedName name="BExKPLL39I3C2CWSAF33YHI6L9AU" hidden="1">#REF!</definedName>
    <definedName name="BExKPNDTE6BNYRCXGWJJ8KRVFE73" localSheetId="3" hidden="1">Query #REF!</definedName>
    <definedName name="BExKPNDTE6BNYRCXGWJJ8KRVFE73" hidden="1">Query #REF!</definedName>
    <definedName name="BExKPRVO8SUUT09DVCWST5KN0859" hidden="1">#REF!</definedName>
    <definedName name="BExKPWOBQ21LFNFS6R7HGV7KWB6T" hidden="1">#REF!</definedName>
    <definedName name="BExKQ1GWPHDWHLLGE2P843B5APII" hidden="1">#REF!</definedName>
    <definedName name="BExKQFPCGC61C05969SKJQ16V769" hidden="1">#REF!</definedName>
    <definedName name="BExKQKI01NA4DKC85X6VAB6BZ6XV" hidden="1">#REF!</definedName>
    <definedName name="BExKQSLBXS723HNYYVG2IDN491JU" hidden="1">#REF!</definedName>
    <definedName name="BExKQUZMWZQ9I6ODACX7UK7L502P" hidden="1">#REF!</definedName>
    <definedName name="BExKQX35958YE48Q8TB1XM3P110A" hidden="1">#REF!</definedName>
    <definedName name="BExKR2MO89DBYLOGTTTMV66TUM75" hidden="1">#REF!</definedName>
    <definedName name="BExKR4VP8GXDPSL3IQ3YCAISO7O7" hidden="1">#REF!</definedName>
    <definedName name="BExKR86E7U2F9CISXVKT1KY8HTNQ" hidden="1">#REF!</definedName>
    <definedName name="BExKRLYODB4YWJLXQ1YU8SV8FYGS" hidden="1">#REF!</definedName>
    <definedName name="BExKS1P47VKR2BYBFQV7UMUDM3M3" hidden="1">#REF!</definedName>
    <definedName name="BExKS2W7RPJRP5A57DQGGSXMVAGD" hidden="1">#REF!</definedName>
    <definedName name="BExKS78RX39OCR26FU9WW2ZG1YH9" hidden="1">#REF!</definedName>
    <definedName name="BExKSBACGVJMJS18PXC1FKX3I826" hidden="1">#REF!</definedName>
    <definedName name="BExKSCC1R6PX9NM23PCA2VX95AEA" hidden="1">#REF!</definedName>
    <definedName name="BExKSVYSPKNO00VQWYY2G48264UP" hidden="1">#REF!</definedName>
    <definedName name="BExKT5K41YAUG0LXAM23ELI4BFSM" hidden="1">#REF!</definedName>
    <definedName name="BExKTANJT8X18NKMO4BQFYDPL6FF" hidden="1">#REF!</definedName>
    <definedName name="BExKTE918ML3HFIMR9Y7XWRWEIG5" hidden="1">#REF!</definedName>
    <definedName name="BExKTFQT0AT7CWJG56IARQGD33ED" hidden="1">#REF!</definedName>
    <definedName name="BExKTM6UWX9GVPR3KKRUH46J3T0N" localSheetId="3" hidden="1">_YB05 GuV #REF!</definedName>
    <definedName name="BExKTM6UWX9GVPR3KKRUH46J3T0N" hidden="1">_YB05 GuV #REF!</definedName>
    <definedName name="BExKTOVXYPF7SV7NLS8PD2G0U11A" hidden="1">#REF!</definedName>
    <definedName name="BExKTPHHU1BHNE9VYQKJ1NWY0LSW" hidden="1">#REF!</definedName>
    <definedName name="BExKTWDP8UA5H2DBVRWP6K5SVIQ6" localSheetId="3" hidden="1">DP #REF!</definedName>
    <definedName name="BExKTWDP8UA5H2DBVRWP6K5SVIQ6" hidden="1">DP #REF!</definedName>
    <definedName name="BExKTXA3019D5UN11MKVIKM0O3NR" localSheetId="3" hidden="1">QKPI #REF!</definedName>
    <definedName name="BExKTXA3019D5UN11MKVIKM0O3NR" hidden="1">QKPI #REF!</definedName>
    <definedName name="BExKU0KQ7LP2BKCGRC0H2A4J0IEU" hidden="1">#REF!</definedName>
    <definedName name="BExKUAX2UCIE7OUAHY0IUW2AW7N4" hidden="1">#REF!</definedName>
    <definedName name="BExKUB7QBIJ3K1PK6TVWNQ9GM6UJ" hidden="1">#REF!</definedName>
    <definedName name="BExKUF3Z30D9EZYL5JV5Z03IFGT9" hidden="1">#REF!</definedName>
    <definedName name="BExKUVLFBQ2RZHUT5A3MBA3TYD4W" localSheetId="3" hidden="1">QCheck #REF!</definedName>
    <definedName name="BExKUVLFBQ2RZHUT5A3MBA3TYD4W" hidden="1">QCheck #REF!</definedName>
    <definedName name="BExKVBH8BP92Z6ST5KYFQJ4PCOIW" hidden="1">#REF!</definedName>
    <definedName name="BExKVCDM8NNLNN77GXQ9BB4KAFED" localSheetId="3" hidden="1">Query #REF!</definedName>
    <definedName name="BExKVCDM8NNLNN77GXQ9BB4KAFED" hidden="1">Query #REF!</definedName>
    <definedName name="BExKVERXMSVJC3EC9B9II86AMAIL" localSheetId="3" hidden="1">QKPI #REF!</definedName>
    <definedName name="BExKVERXMSVJC3EC9B9II86AMAIL" hidden="1">QKPI #REF!</definedName>
    <definedName name="BExKVKRP8SSMRQBXBHVOQRSCEI9Y" localSheetId="3" hidden="1">_YB05 #REF!</definedName>
    <definedName name="BExKVKRP8SSMRQBXBHVOQRSCEI9Y" hidden="1">_YB05 #REF!</definedName>
    <definedName name="BExKVNGV9H9PYIGF6OXCHS5QEOA9" hidden="1">#REF!</definedName>
    <definedName name="BExKVYK0P7QY8COZIWTM8ACRQA0M" hidden="1">#REF!</definedName>
    <definedName name="BExKW0NM394AEUZ8UICWTG3KSG3M" hidden="1">#REF!</definedName>
    <definedName name="BExKW6CLI748UWFWQZG08EW2FYZH" hidden="1">#REF!</definedName>
    <definedName name="BExKWDUAS014GHDVVXB5GD4G50AV" hidden="1">#REF!</definedName>
    <definedName name="BExM9M1QUF1GJXIQFOYKUH800FUD" hidden="1">#REF!</definedName>
    <definedName name="BExMA2TX01D8EM03QBMJ9JALNT8A" hidden="1">#REF!</definedName>
    <definedName name="BExMA5J1KNMUQF6PR2RFMKE8K0OK" hidden="1">#REF!</definedName>
    <definedName name="BExMB3P1ZKNX9HYIL1QUPCRCCV5R" hidden="1">#REF!</definedName>
    <definedName name="BExMB3P2Q15282IGTZNHW9OPFXMI" hidden="1">#REF!</definedName>
    <definedName name="BExMB939SL729BSYGO1YGYYI139D" hidden="1">#REF!</definedName>
    <definedName name="BExMB9ZNL9Y4WJHT3UA3M9YN9EIR" hidden="1">#REF!</definedName>
    <definedName name="BExMBEXL60F63SFJS48LWLLB8VL1" hidden="1">#REF!</definedName>
    <definedName name="BExMBLIZITO2AUU1DEI6M3IM2QGK" localSheetId="3" hidden="1">_KF01 #REF!</definedName>
    <definedName name="BExMBLIZITO2AUU1DEI6M3IM2QGK" hidden="1">_KF01 #REF!</definedName>
    <definedName name="BExMBNX9PFXD7P5COAZJ2G6TN28L" localSheetId="3" hidden="1">QKPI #REF!</definedName>
    <definedName name="BExMBNX9PFXD7P5COAZJ2G6TN28L" hidden="1">QKPI #REF!</definedName>
    <definedName name="BExMBP4FT0VLW97AK8DAVCJYB5YV" hidden="1">#REF!</definedName>
    <definedName name="BExMC5B41349XL49ZEQYSSMG8KBY" hidden="1">#REF!</definedName>
    <definedName name="BExMC9SXSVN4O5FWPGK3H3BG7NXO" localSheetId="3" hidden="1">Query #REF!</definedName>
    <definedName name="BExMC9SXSVN4O5FWPGK3H3BG7NXO" hidden="1">Query #REF!</definedName>
    <definedName name="BExMCF1O8KC3DIGZFCRIYP98WI9B" hidden="1">#REF!</definedName>
    <definedName name="BExMCQL531EXXNSJA71YNPE0YPZK" hidden="1">#REF!</definedName>
    <definedName name="BExMCTFKXT7QTK5PU2BO24XW472F" localSheetId="3" hidden="1">DP #REF!</definedName>
    <definedName name="BExMCTFKXT7QTK5PU2BO24XW472F" hidden="1">DP #REF!</definedName>
    <definedName name="BExMDAIKL7OWO4V72GLBFEU5PAV4" hidden="1">#REF!</definedName>
    <definedName name="BExMDC0J8FRHRDX0RFVDT4OFXA5S" hidden="1">#REF!</definedName>
    <definedName name="BExMDIWP7TJI43X8TV182JSYNVDS" hidden="1">#REF!</definedName>
    <definedName name="BExMDLLRSYJ0AEQDYMNU50AF8AZC" hidden="1">#REF!</definedName>
    <definedName name="BExMDMYF43X6UQOOJUF2WD5RQP0O" hidden="1">#REF!</definedName>
    <definedName name="BExMDQEG0VWMFO04KPG0BH2P7A7I" hidden="1">#REF!</definedName>
    <definedName name="BExMEB894PFKVP92RZAAOQ1TVLPM" hidden="1">#REF!</definedName>
    <definedName name="BExMEBDP4J77EWX8V97SM8CJ64NR" hidden="1">#REF!</definedName>
    <definedName name="BExMECKVLZFUYC5F8QC6FOHAEUNO" hidden="1">#REF!</definedName>
    <definedName name="BExMED6GVVS9UFKZQTAMMDED261E" hidden="1">#REF!</definedName>
    <definedName name="BExMEYRBURM5A21YY3WLNDMRLL0C" hidden="1">#REF!</definedName>
    <definedName name="BExMFCZQJUSKDE516TBIQS07Y7BF" localSheetId="3" hidden="1">Query #REF!</definedName>
    <definedName name="BExMFCZQJUSKDE516TBIQS07Y7BF" hidden="1">Query #REF!</definedName>
    <definedName name="BExMFDAIP79IFI482USGZ0D6SAXL" hidden="1">#REF!</definedName>
    <definedName name="BExMFG4Y6YHZE4RBFHV5FEJQ87XB" hidden="1">#REF!</definedName>
    <definedName name="BExMFIOQEL770C1YQM048PDR77E3" localSheetId="3" hidden="1">QKPI #REF!</definedName>
    <definedName name="BExMFIOQEL770C1YQM048PDR77E3" hidden="1">QKPI #REF!</definedName>
    <definedName name="BExMFIZISWAN3XG6KQBRUU9UE1GN" hidden="1">#REF!</definedName>
    <definedName name="BExMFT0WNX0VD0AMLS6SJQHNR2KM" localSheetId="3" hidden="1">_YB02 #REF!</definedName>
    <definedName name="BExMFT0WNX0VD0AMLS6SJQHNR2KM" hidden="1">_YB02 #REF!</definedName>
    <definedName name="BExMFYVCUFDLR2Q1LX1UH8ZNEK3U" hidden="1">#REF!</definedName>
    <definedName name="BExMGINBSPV4NY20NR0PD51GC9SW" hidden="1">#REF!</definedName>
    <definedName name="BExMGJP610TB1QIROLFQNSOMZIUQ" hidden="1">#REF!</definedName>
    <definedName name="BExMGK59S1MWS9FJMKC4MI0LTQI9" hidden="1">#REF!</definedName>
    <definedName name="BExMGMZV2B2E6FJ7FGYLLQ9O0DK0" hidden="1">#REF!</definedName>
    <definedName name="BExMGNAMMJ2PLZ0A53D97YWEJF01" hidden="1">#REF!</definedName>
    <definedName name="BExMGOHT6R7KK2L7HZXJ3RHPFDV5" hidden="1">#REF!</definedName>
    <definedName name="BExMGUHLZ001HXDC3W0NOYAFBACG" hidden="1">#REF!</definedName>
    <definedName name="BExMGYONPPO7IZRH7BPUOHX7PU7I" localSheetId="3" hidden="1">Query #REF!</definedName>
    <definedName name="BExMGYONPPO7IZRH7BPUOHX7PU7I" hidden="1">Query #REF!</definedName>
    <definedName name="BExMH0MVUBYELBI8KIYKBMAN5MJ6" hidden="1">#REF!</definedName>
    <definedName name="BExMH5KSYUO0RNR4KZHQ913BXI3T" hidden="1">#REF!</definedName>
    <definedName name="BExMH72S0SPMSD76JOF38TR9IL5E" hidden="1">#REF!</definedName>
    <definedName name="BExMHC0PYC25EOMOH5P5PN28Z4CS" hidden="1">#REF!</definedName>
    <definedName name="BExMHD7V9JETKFNU8RU3LKNI3FOW" hidden="1">#REF!</definedName>
    <definedName name="BExMHJ2706VBAB1FH8M00V9W5V1R" hidden="1">#REF!</definedName>
    <definedName name="BExMHUAW1WOWIUFQD0IWML2O154T" hidden="1">#REF!</definedName>
    <definedName name="BExMHUWHGACJZ9QVNDO01JXPDMKQ" hidden="1">#REF!</definedName>
    <definedName name="BExMHVYBO5XMGRS5YQRBZK668YVG" localSheetId="3" hidden="1">DP #REF!</definedName>
    <definedName name="BExMHVYBO5XMGRS5YQRBZK668YVG" hidden="1">DP #REF!</definedName>
    <definedName name="BExMI171U8YQWJGM18OYWAU8XW4Y" localSheetId="3" hidden="1">DP #REF!</definedName>
    <definedName name="BExMI171U8YQWJGM18OYWAU8XW4Y" hidden="1">DP #REF!</definedName>
    <definedName name="BExMI2OZSQ0PYPEMW4JNBP8J9AIQ" hidden="1">#REF!</definedName>
    <definedName name="BExMII4L58HQYA86IW6VE3IL0T1T" hidden="1">#REF!</definedName>
    <definedName name="BExMILKQIXPROJAW6C44N0QFH2XV" hidden="1">#REF!</definedName>
    <definedName name="BExMIYRI0E7FM2WFME2IAFLN9C2B" hidden="1">#REF!</definedName>
    <definedName name="BExMIYWSHQSJBL8YXXHLOE2DX8XK" hidden="1">#REF!</definedName>
    <definedName name="BExMJ3K4MHWNQAK6FC497MGM6Q8Y" hidden="1">#REF!</definedName>
    <definedName name="BExMJ4R9TUZMJD3PI2RQWMZEHF4W" hidden="1">#REF!</definedName>
    <definedName name="BExMJ8I1L97DYCBCXQIXRMBWC86X" localSheetId="3" hidden="1">QKPI #REF!</definedName>
    <definedName name="BExMJ8I1L97DYCBCXQIXRMBWC86X" hidden="1">QKPI #REF!</definedName>
    <definedName name="BExMJ8I2MLF61B1S42FI7OEH1J8F" hidden="1">#REF!</definedName>
    <definedName name="BExMJE73BEWRF1AK6N3EVEA0CLLG" hidden="1">#REF!</definedName>
    <definedName name="BExMJSKY9I5XUDOC5KTI44F711G0" hidden="1">#REF!</definedName>
    <definedName name="BExMJSVSLDBV38Y2N1ST7O78R0SP" hidden="1">#REF!</definedName>
    <definedName name="BExMJVKULDVPF91LG53QF4EJE5Z9" hidden="1">#REF!</definedName>
    <definedName name="BExMJXTPP8ZAIBU9ELC0X3LC271S" hidden="1">#REF!</definedName>
    <definedName name="BExMK79MLBL4MXC44ZCW35TPNDCA" localSheetId="3" hidden="1">Query #REF!</definedName>
    <definedName name="BExMK79MLBL4MXC44ZCW35TPNDCA" hidden="1">Query #REF!</definedName>
    <definedName name="BExMKV3DSE81MQ9HVN0UA83YNGEQ" hidden="1">#REF!</definedName>
    <definedName name="BExMKVOYCWIU4630CCWS2DXLBPVG" hidden="1">#REF!</definedName>
    <definedName name="BExML2QFA2CTFI0ARD5VF0D0NRPD" hidden="1">#REF!</definedName>
    <definedName name="BExML7OJNSIHBQYB7BC2BMK8PBZR" hidden="1">#REF!</definedName>
    <definedName name="BExML9H8WGJ6VB0BQLCRF2VIKZW9" hidden="1">#REF!</definedName>
    <definedName name="BExMLC6DFDDEO849AI8D4R14H2R7" hidden="1">#REF!</definedName>
    <definedName name="BExMLEVI3TV2COUJKF4XSSPA9RD8" hidden="1">#REF!</definedName>
    <definedName name="BExMLV1Z5140U551BSE199EQJHE4" hidden="1">#REF!</definedName>
    <definedName name="BExMM83D5LMNAUSW37JBWTZ61E7U" hidden="1">#REF!</definedName>
    <definedName name="BExMMDCBHBPP6JWWMK24GPDNYMAQ" hidden="1">#REF!</definedName>
    <definedName name="BExMMHONRIRTY6QU5P0UON9JCFKB" hidden="1">#REF!</definedName>
    <definedName name="BExMMI4WL8DUOAG94UJAD3D0SFAX" hidden="1">#REF!</definedName>
    <definedName name="BExMMJS6B55ABRI8YH6FDOL2ZVGJ" hidden="1">#REF!</definedName>
    <definedName name="BExMMJS6QI70UKK0DW9VYVUXGA8N" hidden="1">#REF!</definedName>
    <definedName name="BExMMQDKP0T8Z3CLBSCO5R5ME322" hidden="1">#REF!</definedName>
    <definedName name="BExMMT7YAPQ7UI9XNILFFA05EPZY" localSheetId="3" hidden="1">DP #REF!</definedName>
    <definedName name="BExMMT7YAPQ7UI9XNILFFA05EPZY" hidden="1">DP #REF!</definedName>
    <definedName name="BExMMUF4OBOSIKA3NYJZRHIM3YN8" hidden="1">#REF!</definedName>
    <definedName name="BExMMY0MWXPHRCJM1CYSYO495B6M" hidden="1">#REF!</definedName>
    <definedName name="BExMN69FHNEJ145539PJFLJDGA9H" hidden="1">#REF!</definedName>
    <definedName name="BExMN7WOGOBZ3AJY224PGPR3WNY0" hidden="1">#REF!</definedName>
    <definedName name="BExMNJLFY9FE9VV3VLYYZBVHGVKU" hidden="1">#REF!</definedName>
    <definedName name="BExMNNXZJDEHD2Q1K6WS5DINFDC4" localSheetId="3" hidden="1">QKPI #REF!</definedName>
    <definedName name="BExMNNXZJDEHD2Q1K6WS5DINFDC4" hidden="1">QKPI #REF!</definedName>
    <definedName name="BExMNUU0FN2ATY46I6LGDUZ15DIW" hidden="1">#REF!</definedName>
    <definedName name="BExMNV4SDAZM4VBB3IMIWIEWGJUE" hidden="1">#REF!</definedName>
    <definedName name="BExMO4KQVEWNFGTKTZ7JEN933DXR" localSheetId="3" hidden="1">Query #REF!</definedName>
    <definedName name="BExMO4KQVEWNFGTKTZ7JEN933DXR" hidden="1">Query #REF!</definedName>
    <definedName name="BExMOF2DDYG38NAJ868XTDM462WI" hidden="1">#REF!</definedName>
    <definedName name="BExMOG9JW9EZ6JFGTIXOD57937ZL" hidden="1">#REF!</definedName>
    <definedName name="BExMOM95YXFZUF90I4HIXOXP0JLD" hidden="1">#REF!</definedName>
    <definedName name="BExMOUY23756GA3E5BJO2U562BIU" hidden="1">#REF!</definedName>
    <definedName name="BExMP13DCGIJYJN24L95PX38DOBV" hidden="1">#REF!</definedName>
    <definedName name="BExMPCS691EGA9STJCJTSHQ8R1IR" hidden="1">#REF!</definedName>
    <definedName name="BExMPDOITK3ZKZAII88KGMM4QPL2" hidden="1">#REF!</definedName>
    <definedName name="BExMPH9YMWIICUN1EJU67IVRWPMD" hidden="1">#REF!</definedName>
    <definedName name="BExMQ1YFKZNP7ACXQDQ4GUR7VI1Y" hidden="1">#REF!</definedName>
    <definedName name="BExMQ41UN3VWNBXHPWT7P1QQUGCQ" localSheetId="3" hidden="1">Query #REF!</definedName>
    <definedName name="BExMQ41UN3VWNBXHPWT7P1QQUGCQ" hidden="1">Query #REF!</definedName>
    <definedName name="BExMQ6LMUQJZJZXHIARQT5ZXPNLO" hidden="1">#REF!</definedName>
    <definedName name="BExMQ9QTOTN8K9PAL9RXS7AZH28M" hidden="1">#REF!</definedName>
    <definedName name="BExMQA72U1ZUIAR3EI1UAMYXLWIF" hidden="1">#REF!</definedName>
    <definedName name="BExMQH8PRTW5PSFSJGP916ARUW2J" localSheetId="3" hidden="1">_YA01 #REF!</definedName>
    <definedName name="BExMQH8PRTW5PSFSJGP916ARUW2J" hidden="1">_YA01 #REF!</definedName>
    <definedName name="BExMQKOQ0HUX7OUPF43NWO9EB540" localSheetId="3" hidden="1">QKPI #REF!</definedName>
    <definedName name="BExMQKOQ0HUX7OUPF43NWO9EB540" hidden="1">QKPI #REF!</definedName>
    <definedName name="BExMQT86W8ZSO9WV3QC2KNNR87TV" hidden="1">#REF!</definedName>
    <definedName name="BExMR2TE6OM9K5DT4JNMWASP3TGG" hidden="1">#REF!</definedName>
    <definedName name="BExMR7BBATEPJUA4GBX97VEHKKZP" hidden="1">#REF!</definedName>
    <definedName name="BExMRI3OYFMCKOQ49KJN299H0ODA" hidden="1">#REF!</definedName>
    <definedName name="BExMRIEHIAFOSZ64QDRH1MVK44LI" hidden="1">#REF!</definedName>
    <definedName name="BExMRM5G5NWLU9UEYI32UL5CYBTK" hidden="1">#REF!</definedName>
    <definedName name="BExMRTCEMZCPUL70B58C2LV1NGM6" hidden="1">#REF!</definedName>
    <definedName name="BExMRUE3OYXBM2HF2EU5HF3TLZIO" hidden="1">#REF!</definedName>
    <definedName name="BExMRWCA4KCZQ3R69ERPMN2H2XR0" localSheetId="3" hidden="1">QCheck #REF!</definedName>
    <definedName name="BExMRWCA4KCZQ3R69ERPMN2H2XR0" hidden="1">QCheck #REF!</definedName>
    <definedName name="BExMSSK3H22BRY04VKHV1WJOVL1W" hidden="1">#REF!</definedName>
    <definedName name="BExMSVJZZ4LD8C6R2ZXTAIW2DIBK" hidden="1">#REF!</definedName>
    <definedName name="BExO4Q5SJLFEVXG49SGWACE69UI4" hidden="1">#REF!</definedName>
    <definedName name="BExO55G28IG6V2RVDJEE0HPW856H" hidden="1">#REF!</definedName>
    <definedName name="BExO62PP1S7N1T0VMJ4ASZMJVZEQ" hidden="1">#REF!</definedName>
    <definedName name="BExO635TI748ER4TW4YVDH2IQT6P" hidden="1">#REF!</definedName>
    <definedName name="BExO63WWIFU9X57FH1QG6B7WH53V" hidden="1">#REF!</definedName>
    <definedName name="BExO690A96TXNN9KAU8PE5RGUNTA" localSheetId="3" hidden="1">Query #REF!</definedName>
    <definedName name="BExO690A96TXNN9KAU8PE5RGUNTA" hidden="1">Query #REF!</definedName>
    <definedName name="BExO6LLGD4D496KSRIJIBEG0FMPW" localSheetId="3" hidden="1">_YA01 #REF!</definedName>
    <definedName name="BExO6LLGD4D496KSRIJIBEG0FMPW" hidden="1">_YA01 #REF!</definedName>
    <definedName name="BExO6M1JOCS4J8V6H8QEFRIIM2MZ" hidden="1">#REF!</definedName>
    <definedName name="BExO6MHTV52ZUPZCG9IHB0FJ2DP1" hidden="1">#REF!</definedName>
    <definedName name="BExO6OFWAVQ6HW8AAF26JESZOHCM" hidden="1">#REF!</definedName>
    <definedName name="BExO6PSIH9YW6JUDQ9NNNIEM8VR3" hidden="1">#REF!</definedName>
    <definedName name="BExO6Q3C5GJ2V1Z6FK7T7D6K2TZO" hidden="1">#REF!</definedName>
    <definedName name="BExO6SHM5OBF0IX1YIKFBQ8KZ09I" localSheetId="3" hidden="1">Query #REF!</definedName>
    <definedName name="BExO6SHM5OBF0IX1YIKFBQ8KZ09I" hidden="1">Query #REF!</definedName>
    <definedName name="BExO76KLA34RFSZ2DIX3CYQZWLNQ" localSheetId="3" hidden="1">QCheck #REF!</definedName>
    <definedName name="BExO76KLA34RFSZ2DIX3CYQZWLNQ" hidden="1">QCheck #REF!</definedName>
    <definedName name="BExO782IPKIU6Y0GURPKC516D0ZQ" hidden="1">#REF!</definedName>
    <definedName name="BExO78TKCQKZLAH5592HVN7VGMFP" hidden="1">#REF!</definedName>
    <definedName name="BExO78TL5R9433WSS9TH6I32CX63" localSheetId="3" hidden="1">_YA01 #REF!</definedName>
    <definedName name="BExO78TL5R9433WSS9TH6I32CX63" hidden="1">_YA01 #REF!</definedName>
    <definedName name="BExO7DRJY8DEICHCLPI1OTUZXNLY" hidden="1">#REF!</definedName>
    <definedName name="BExO7EIMBN7GDYPX9CS5F0IU4076" hidden="1">#REF!</definedName>
    <definedName name="BExO7FKGARU075KOCER8YGA8CQ9V" hidden="1">#REF!</definedName>
    <definedName name="BExO7N7HH4UHOQN3NHPS2AL8665W" hidden="1">#REF!</definedName>
    <definedName name="BExO7TNDKTQS1NB0A9E8O278D5GM" hidden="1">#REF!</definedName>
    <definedName name="BExO8637DOUOEML84X9057YACZEU" hidden="1">#REF!</definedName>
    <definedName name="BExO8CTXID7JZ7U0CIZKQKZODOAY" hidden="1">#REF!</definedName>
    <definedName name="BExO8D4OGM2BMEMMUYWT4JHOW2JQ" hidden="1">#REF!</definedName>
    <definedName name="BExO8DKZDUU2XTHRBFXGUEQXPL3A" hidden="1">#REF!</definedName>
    <definedName name="BExO8GVNTSZ2LWVI5GXYTFB9H08T" hidden="1">#REF!</definedName>
    <definedName name="BExO8ODDDUK2VK4XAA2GMQRTHC1P" hidden="1">#REF!</definedName>
    <definedName name="BExO8UD0HUU2RFOCBQYV93P0J17Z" hidden="1">#REF!</definedName>
    <definedName name="BExO8V9F2A618Y4QTC2M9FGBX7PC" hidden="1">#REF!</definedName>
    <definedName name="BExO90IAS4GQ6EB6GEZ16FUHC5PV" hidden="1">#REF!</definedName>
    <definedName name="BExO913W99Z4BYBAKBANHYSNR03B" hidden="1">#REF!</definedName>
    <definedName name="BExO92R4598X2RC9X0X7437P296Z" hidden="1">#REF!</definedName>
    <definedName name="BExO98AUDD6T3N8JRUVG5YPF79QW" localSheetId="3" hidden="1">Query #REF!</definedName>
    <definedName name="BExO98AUDD6T3N8JRUVG5YPF79QW" hidden="1">Query #REF!</definedName>
    <definedName name="BExO9ISH4NP2DE5UI4OHFOPAU4L7" hidden="1">#REF!</definedName>
    <definedName name="BExO9NQFA39DY5EYEORVCAJRV7T1" hidden="1">#REF!</definedName>
    <definedName name="BExO9P325VL2CFCD3Q5OT2TR2WI5" hidden="1">#REF!</definedName>
    <definedName name="BExO9UXCSEYODDWX7Z814LO4HZ7V" hidden="1">#REF!</definedName>
    <definedName name="BExOA8EWQJ0OBG7YEDEU34QP538H" hidden="1">#REF!</definedName>
    <definedName name="BExOAAYOQ1TIHX6NGDBEZ2Z6QL9V" hidden="1">#REF!</definedName>
    <definedName name="BExOADD088ZWOY76VUKTCPJCDNHE" hidden="1">#REF!</definedName>
    <definedName name="BExOB4MP9SE9KKSU2FYK6C0BKU57" hidden="1">#REF!</definedName>
    <definedName name="BExOBE2NVB6AAMHSSA50XGATXV4G" hidden="1">#REF!</definedName>
    <definedName name="BExOBEYZVZJU79JT2Z4D1SGM43F7" localSheetId="3" hidden="1">Query #REF!</definedName>
    <definedName name="BExOBEYZVZJU79JT2Z4D1SGM43F7" hidden="1">Query #REF!</definedName>
    <definedName name="BExOBLK8L79PTJPE8J855D9PG2ZQ" hidden="1">#REF!</definedName>
    <definedName name="BExOBMRD82YDX8LUSKYQ5XKU8FYK" hidden="1">#REF!</definedName>
    <definedName name="BExOBMRJPZ7I2U2LE61D9Z4H8V4V" hidden="1">#REF!</definedName>
    <definedName name="BExOBQICP44A24NCJVYBLMPG7FXI" localSheetId="3" hidden="1">QKPI #REF!</definedName>
    <definedName name="BExOBQICP44A24NCJVYBLMPG7FXI" hidden="1">QKPI #REF!</definedName>
    <definedName name="BExOBUJXR8YTP9CF3HL32Y2UEDAT" localSheetId="3" hidden="1">QKPI #REF!</definedName>
    <definedName name="BExOBUJXR8YTP9CF3HL32Y2UEDAT" hidden="1">QKPI #REF!</definedName>
    <definedName name="BExOC4LH0WN29GB0ZSUVFBD7T9L0" hidden="1">#REF!</definedName>
    <definedName name="BExOC7G1QH14KMIWXJOAN9NDQDOX" hidden="1">#REF!</definedName>
    <definedName name="BExOC86YJWWXU1G4MCYOU5E6N3OM" localSheetId="3" hidden="1">Query #REF!</definedName>
    <definedName name="BExOC86YJWWXU1G4MCYOU5E6N3OM" hidden="1">Query #REF!</definedName>
    <definedName name="BExOC9ZNWF7G81R2WTF6GHZIV6G6" hidden="1">#REF!</definedName>
    <definedName name="BExOCBSDS4TFJTNAD3I2176QA00A" hidden="1">#REF!</definedName>
    <definedName name="BExOCDQGUHP7VMZX5RWIQQXKV4KB" hidden="1">#REF!</definedName>
    <definedName name="BExOCI30UR2E9XLER2Q54188KRL3" hidden="1">#REF!</definedName>
    <definedName name="BExOCJKY49E81GQ3K1Z637XAEL59" hidden="1">#REF!</definedName>
    <definedName name="BExOCZ0JK6S2U6SVEVL8XH5DSJ5N" hidden="1">#REF!</definedName>
    <definedName name="BExOD2B7JX4MKJSGS171IADIPLRN" hidden="1">#REF!</definedName>
    <definedName name="BExODA3R6VBH2ZIG8NGRJQ2DMPMD" hidden="1">#REF!</definedName>
    <definedName name="BExODGUM107SI60A17R3U435TRA9" hidden="1">#REF!</definedName>
    <definedName name="BExODJJIQ84VBPC3STQFUJ6CZ0EM" hidden="1">#REF!</definedName>
    <definedName name="BExODPJDA9MV6JS9QG2FGG5JUOXL" hidden="1">#REF!</definedName>
    <definedName name="BExODQFVS78RZBC6KZ05NNLLIH8Q" hidden="1">#REF!</definedName>
    <definedName name="BExODS8GJAZ3LDLY5OUPW48V77F1" hidden="1">#REF!</definedName>
    <definedName name="BExODSDWOOFYEQSYAU5ZEZBZV9F3" hidden="1">#REF!</definedName>
    <definedName name="BExOE00YSJEIH5AXJ65AV7LTO1W9" hidden="1">#REF!</definedName>
    <definedName name="BExOE0BR8JY4QVP7ZJQR5HGZHGIS" hidden="1">#REF!</definedName>
    <definedName name="BExOE6MDGNRN5ROFRQ0PC821OPKB" hidden="1">#REF!</definedName>
    <definedName name="BExOEIGHJC9NT1VUXKWK26F1FANR" hidden="1">#REF!</definedName>
    <definedName name="BExOEJ20YVRLB81PP4QY8HVQ3U0Y" hidden="1">#REF!</definedName>
    <definedName name="BExOEJ7IJ92PIV7R0SDISOU6ZTX3" hidden="1">#REF!</definedName>
    <definedName name="BExOEN3RS8QX1BM6MBEH17O4LNYI" hidden="1">#REF!</definedName>
    <definedName name="BExOFEDMV8YMM6B9BOMNHLWCLMEW" hidden="1">#REF!</definedName>
    <definedName name="BExOFEIYAQKHQI3PKGIH3OQJJVE7" hidden="1">#REF!</definedName>
    <definedName name="BExOFGRY24ZVD00G9DOBH2B2ZKEH" hidden="1">#REF!</definedName>
    <definedName name="BExOFNIMHSJ8W4JH5L5E06CCOFIJ" hidden="1">#REF!</definedName>
    <definedName name="BExOFY5QU3EFM3KT6YHGXA57YFX3" hidden="1">#REF!</definedName>
    <definedName name="BExOG2I3U3VRP5CZDJ7W8ZUZZXT0" hidden="1">#REF!</definedName>
    <definedName name="BExOGK6PWSWO2QYK6BJ64GAWOJGZ" hidden="1">#REF!</definedName>
    <definedName name="BExOHCT0K1FSPX3YR23FHTYMPQI9" hidden="1">#REF!</definedName>
    <definedName name="BExOHNFZR3D47KMVNZ2WBD4KHA0V" hidden="1">#REF!</definedName>
    <definedName name="BExOHOHT2R2B3LP43M7OIFO7HYPE" localSheetId="3" hidden="1">DP #REF!</definedName>
    <definedName name="BExOHOHT2R2B3LP43M7OIFO7HYPE" hidden="1">DP #REF!</definedName>
    <definedName name="BExOI1OLRY8CT7D1GPCPO4WU0JF8" hidden="1">#REF!</definedName>
    <definedName name="BExOI84H6W3YELJ27JO2HPOORP8U" hidden="1">#REF!</definedName>
    <definedName name="BExOIIGSSICL85RWT86UI10DH837" localSheetId="3" hidden="1">QCheck #REF!</definedName>
    <definedName name="BExOIIGSSICL85RWT86UI10DH837" hidden="1">QCheck #REF!</definedName>
    <definedName name="BExOIJYPYE3CEBLU9LDTSLCRS4HJ" hidden="1">#REF!</definedName>
    <definedName name="BExOIMNOMNVWHI47Z8FM6EB0DGIG" hidden="1">#REF!</definedName>
    <definedName name="BExOIO5NHKHGHEALX8BH2F4M8NQE" hidden="1">#REF!</definedName>
    <definedName name="BExOIZZW6XNF3AN8OG766Y4V396I" localSheetId="3" hidden="1">Query #REF!</definedName>
    <definedName name="BExOIZZW6XNF3AN8OG766Y4V396I" hidden="1">Query #REF!</definedName>
    <definedName name="BExOJ1HV7DZ9NDODEC65FPVG2HFD" hidden="1">#REF!</definedName>
    <definedName name="BExOJ23EXLHKFF0HRCY3YFRAXOM1" hidden="1">#REF!</definedName>
    <definedName name="BExOJ3W5Y282B05UMIMJ9XK1LF1V" hidden="1">#REF!</definedName>
    <definedName name="BExOJ4CA4VHAETI7P7NBDSYWBDD3" hidden="1">#REF!</definedName>
    <definedName name="BExOJ4SKJ4LIXW42HDHKDVLYB7HT" hidden="1">#REF!</definedName>
    <definedName name="BExOJ5JGE7TT0QTC7Z2YFFQ54XOF" localSheetId="3" hidden="1">QKPI #REF!</definedName>
    <definedName name="BExOJ5JGE7TT0QTC7Z2YFFQ54XOF" hidden="1">QKPI #REF!</definedName>
    <definedName name="BExOJ88P7V5DGQ2HX1XCFHN2MR4Z" hidden="1">#REF!</definedName>
    <definedName name="BExOJNOB3D8JPXRC27UT6X3UJ680" hidden="1">#REF!</definedName>
    <definedName name="BExOJPH1BO1JS78J09ZJDF1337O8" hidden="1">#REF!</definedName>
    <definedName name="BExOK8SUQAALUEB0I8XCIZDWB1MA" hidden="1">#REF!</definedName>
    <definedName name="BExOK8SW0L4LMZVVVBWOKBDSZN6B" hidden="1">#REF!</definedName>
    <definedName name="BExOKAWFDNHWFKMGBYRZCOC26EHN" hidden="1">#REF!</definedName>
    <definedName name="BExOKEN73CBPQ9QOAN0PG6N8TAUU" hidden="1">#REF!</definedName>
    <definedName name="BExOKFE9AKE85W3GEP7J1O5P39PA" hidden="1">#REF!</definedName>
    <definedName name="BExOKI3DHYE90UPB12IXQNMRUVZ6" hidden="1">#REF!</definedName>
    <definedName name="BExOKI8U2OY48HSSUG7U6IR7HT59" hidden="1">#REF!</definedName>
    <definedName name="BExOKPL3X5G1OCZEHPIGNBZEFXB8" hidden="1">#REF!</definedName>
    <definedName name="BExOKWS1KLJ8L4EYGHA82PR70C3W" localSheetId="3" hidden="1">QCheck #REF!</definedName>
    <definedName name="BExOKWS1KLJ8L4EYGHA82PR70C3W" hidden="1">QCheck #REF!</definedName>
    <definedName name="BExOL6INZG6H7P2R3M3BFJNIUWZ4" hidden="1">#REF!</definedName>
    <definedName name="BExOLB5YD9CF7JKHHCGVI0TJTGK1" localSheetId="3" hidden="1">Query #REF!</definedName>
    <definedName name="BExOLB5YD9CF7JKHHCGVI0TJTGK1" hidden="1">Query #REF!</definedName>
    <definedName name="BExOLII8P7R63OD8NCZOINVTL0QW" hidden="1">#REF!</definedName>
    <definedName name="BExOLNLOI7SURI5G51EJF33Y12CP" hidden="1">#REF!</definedName>
    <definedName name="BExOLOI0I9494MPJ51LVND6TY7SM" hidden="1">#REF!</definedName>
    <definedName name="BExOLQARJCXGLK81H3DEAVX87KS7" localSheetId="3" hidden="1">QKPI #REF!</definedName>
    <definedName name="BExOLQARJCXGLK81H3DEAVX87KS7" hidden="1">QKPI #REF!</definedName>
    <definedName name="BExOLQWBZLL1UXI90ES4GDUZI7AP" localSheetId="3" hidden="1">QKPI #REF!</definedName>
    <definedName name="BExOLQWBZLL1UXI90ES4GDUZI7AP" hidden="1">QKPI #REF!</definedName>
    <definedName name="BExOLRHXCP68GK8GUEXNO143RDMY" localSheetId="3" hidden="1">_YB05 #REF!</definedName>
    <definedName name="BExOLRHXCP68GK8GUEXNO143RDMY" hidden="1">_YB05 #REF!</definedName>
    <definedName name="BExOLVU9WA7ODQ241O714U2VHCEX" hidden="1">#REF!</definedName>
    <definedName name="BExOM1U8VJKE01KQNTT5Z27GRI3H" hidden="1">#REF!</definedName>
    <definedName name="BExOM78FU1NST77AZDDQZ5KFM1NH" hidden="1">#REF!</definedName>
    <definedName name="BExOMW3TIXLEIDY0VOJYZ4WRHL3B" localSheetId="3" hidden="1">Query #REF!</definedName>
    <definedName name="BExOMW3TIXLEIDY0VOJYZ4WRHL3B" hidden="1">Query #REF!</definedName>
    <definedName name="BExON11RQHZUZO57ZV9YAUW7F2AI" hidden="1">#REF!</definedName>
    <definedName name="BExON8E6CZ6ZM2ETSSZ3VEMD4D2J" hidden="1">#REF!</definedName>
    <definedName name="BExON8P05FFJFXAQJXARXTSZ9TJA" hidden="1">#REF!</definedName>
    <definedName name="BExONBOVDU5HDN3ZK90XAQI76XX4" localSheetId="3" hidden="1">Query #REF!</definedName>
    <definedName name="BExONBOVDU5HDN3ZK90XAQI76XX4" hidden="1">Query #REF!</definedName>
    <definedName name="BExONJBYZW51N0VXZCVY74B1D3LU" localSheetId="3" hidden="1">Query #REF!</definedName>
    <definedName name="BExONJBYZW51N0VXZCVY74B1D3LU" hidden="1">Query #REF!</definedName>
    <definedName name="BExONJXNVZN5G0320FH27CSUC7VA" localSheetId="3" hidden="1">QKPI #REF!</definedName>
    <definedName name="BExONJXNVZN5G0320FH27CSUC7VA" hidden="1">QKPI #REF!</definedName>
    <definedName name="BExONNDOU1PK9EDOD7J2M3OCELJV" hidden="1">#REF!</definedName>
    <definedName name="BExONSX98DDCO3DCC7W39M4BP500" hidden="1">#REF!</definedName>
    <definedName name="BExONVMAUXZQQ4OGJ44SQYFO7YX0" hidden="1">#REF!</definedName>
    <definedName name="BExOO99BWZWHUYBYELS80MYHTPNG" hidden="1">#REF!</definedName>
    <definedName name="BExOODAX2JPBPU5XPCL0L70URBB9" hidden="1">#REF!</definedName>
    <definedName name="BExOOEYBVZY2LUX76EHXRUAA3RL2" hidden="1">#REF!</definedName>
    <definedName name="BExOOHNFZ4BWUN4301GEL1RH3SIZ" hidden="1">#REF!</definedName>
    <definedName name="BExOOI3I7QFQRVW95216TBN7MDGZ" hidden="1">#REF!</definedName>
    <definedName name="BExOOJLIJJZOY18SX2GGBBSVO2CI" hidden="1">#REF!</definedName>
    <definedName name="BExOOPAH0KNG053MX59HVP0HCMWZ" hidden="1">#REF!</definedName>
    <definedName name="BExOOWHFUWO6VG7F2XT7QKVB3H4U" hidden="1">#REF!</definedName>
    <definedName name="BExOOXJAJ7OH2F6VTIN3RGK5Y4GA" hidden="1">#REF!</definedName>
    <definedName name="BExOOYKYHAUXUHF0WBC5PULXDKYP" localSheetId="3" hidden="1">Query #REF!</definedName>
    <definedName name="BExOOYKYHAUXUHF0WBC5PULXDKYP" hidden="1">Query #REF!</definedName>
    <definedName name="BExOP2MQI6V7FFBNRK7BC3NF7XK8" hidden="1">#REF!</definedName>
    <definedName name="BExOPLNS0F87QZUE6FPBKDLIOGQX" hidden="1">#REF!</definedName>
    <definedName name="BExOPTR2LM82KAG7ZNRV9VF4OULD" hidden="1">#REF!</definedName>
    <definedName name="BExQ18RUT5YV1GY0DQ1QF7ZCP2GY" localSheetId="3" hidden="1">_YB02 #REF!</definedName>
    <definedName name="BExQ18RUT5YV1GY0DQ1QF7ZCP2GY" hidden="1">_YB02 #REF!</definedName>
    <definedName name="BExQ1K5V8VLHYKOCNX1C471NEOSG" hidden="1">#REF!</definedName>
    <definedName name="BExQ1P99G9Q0MACKVZHY7UW38EVX" localSheetId="3" hidden="1">DP #REF!</definedName>
    <definedName name="BExQ1P99G9Q0MACKVZHY7UW38EVX" hidden="1">DP #REF!</definedName>
    <definedName name="BExQ2259446NDS9PLEN0F1GD9HXF" hidden="1">#REF!</definedName>
    <definedName name="BExQ2JJ1NBN3ZY4WI8YQWU7Z9BCQ" hidden="1">#REF!</definedName>
    <definedName name="BExQ2U5YV40D4SPBGNBC3N6Z5K4K" hidden="1">#REF!</definedName>
    <definedName name="BExQ2XM4BDDPE9MN4QHG1IN89MYQ" hidden="1">#REF!</definedName>
    <definedName name="BExQ35PG0W64MVY4LHU1RDLT11SD" hidden="1">#REF!</definedName>
    <definedName name="BExQ365KMFFU2RUOASV3EP160QJI" hidden="1">#REF!</definedName>
    <definedName name="BExQ3GSMLT492SJ0D46NRT5VDOHW" localSheetId="3" hidden="1">Query #REF!</definedName>
    <definedName name="BExQ3GSMLT492SJ0D46NRT5VDOHW" hidden="1">Query #REF!</definedName>
    <definedName name="BExQ3K8N6MXKNK0SRBA34155RINP" hidden="1">#REF!</definedName>
    <definedName name="BExQ40Q3AG006HAPQKSB3GM1RFLA" hidden="1">#REF!</definedName>
    <definedName name="BExQ47RQW484YSE7EU36PF0BXKFW" hidden="1">#REF!</definedName>
    <definedName name="BExQ4CPP5E19DZE28748DYP8NAEJ" localSheetId="3" hidden="1">Query #REF!</definedName>
    <definedName name="BExQ4CPP5E19DZE28748DYP8NAEJ" hidden="1">Query #REF!</definedName>
    <definedName name="BExQ4FPKMJO329FT0EA9FZ2CFS9V" hidden="1">#REF!</definedName>
    <definedName name="BExQ4MWJOCJWYTAYT1RDAKBB8TTZ" localSheetId="3" hidden="1">_YB11 #REF!</definedName>
    <definedName name="BExQ4MWJOCJWYTAYT1RDAKBB8TTZ" hidden="1">_YB11 #REF!</definedName>
    <definedName name="BExQ55C0YG559G9SE60MH7Y119PF" localSheetId="3" hidden="1">QCheck #REF!</definedName>
    <definedName name="BExQ55C0YG559G9SE60MH7Y119PF" hidden="1">QCheck #REF!</definedName>
    <definedName name="BExQ58138X3QVECPQYB6RTBFQMSK" hidden="1">#REF!</definedName>
    <definedName name="BExQ5D4KK477ZBYVGACH0AM87DKD" hidden="1">#REF!</definedName>
    <definedName name="BExQ5DFD04R0XODYA2JJVUUDUVKV" hidden="1">#REF!</definedName>
    <definedName name="BExQ5J4C59EMWV8TT0ZE88ZN7W1D" hidden="1">#REF!</definedName>
    <definedName name="BExQ5KRR6LVCU2O0SXBP9K8TWI3B" hidden="1">#REF!</definedName>
    <definedName name="BExQ5LYWPX4H0IP82E1CENETF8ZZ" hidden="1">#REF!</definedName>
    <definedName name="BExQ62G7NEUDACYW91BJJCEV01SG" hidden="1">#REF!</definedName>
    <definedName name="BExQ62LNZ6Q5HUP7NIVTI1W161YX" hidden="1">#REF!</definedName>
    <definedName name="BExQ63CJYR9PYO3J0CUVETSL3KRT" hidden="1">#REF!</definedName>
    <definedName name="BExQ64JQ07DEJUQABA9B05FPFY9G" hidden="1">#REF!</definedName>
    <definedName name="BExQ69N42OUQ2CHO95IWCXZ118UC" hidden="1">#REF!</definedName>
    <definedName name="BExQ6STOWVJSVSJRLHHARI35UZI1" hidden="1">#REF!</definedName>
    <definedName name="BExQ6X6257N7LEF5LHMXQRMAOHEY" localSheetId="3" hidden="1">DP #REF!</definedName>
    <definedName name="BExQ6X6257N7LEF5LHMXQRMAOHEY" hidden="1">DP #REF!</definedName>
    <definedName name="BExQ6YNZOQZCFM988T3QJMUS1H0R" hidden="1">#REF!</definedName>
    <definedName name="BExQ6YTHGSS1KSN3VJ35DG5AR1Z7" hidden="1">#REF!</definedName>
    <definedName name="BExQ72458FAC4KPXKBFFTULKF8EG" hidden="1">#REF!</definedName>
    <definedName name="BExQ747ONESNQYR49N3ORNVDHYB8" hidden="1">#REF!</definedName>
    <definedName name="BExQ74YJRTUFIYP27U2E399SIPCN" localSheetId="3" hidden="1">DP #REF!</definedName>
    <definedName name="BExQ74YJRTUFIYP27U2E399SIPCN" hidden="1">DP #REF!</definedName>
    <definedName name="BExQ75KBAG69VIKGDU58J8VYDCW7" hidden="1">#REF!</definedName>
    <definedName name="BExQ79R7SPPFWH0V6BY1HMHQ1LH1" localSheetId="3" hidden="1">DP #REF!</definedName>
    <definedName name="BExQ79R7SPPFWH0V6BY1HMHQ1LH1" hidden="1">DP #REF!</definedName>
    <definedName name="BExQ7AIACIZYX4VL41PB6HJIB5YZ" hidden="1">#REF!</definedName>
    <definedName name="BExQ7I004GS1PPPAMC48N9B6180D" localSheetId="3" hidden="1">QKPI #REF!</definedName>
    <definedName name="BExQ7I004GS1PPPAMC48N9B6180D" hidden="1">QKPI #REF!</definedName>
    <definedName name="BExQ7JY2L9V1JLA3S5MVVXHZVB1C" hidden="1">#REF!</definedName>
    <definedName name="BExQ7TU48FELNBLB7QCZEEJJ4X9F" hidden="1">#REF!</definedName>
    <definedName name="BExQ7Y6NOUE59EEVFKU8PNF50SFP" hidden="1">#REF!</definedName>
    <definedName name="BExQ7Z8BT4D3NUWTZY2TNOFRSBIM" hidden="1">#REF!</definedName>
    <definedName name="BExQ81BUQTOAVCEFNABRQET4LTI9" localSheetId="3" hidden="1">_YB01 #REF!</definedName>
    <definedName name="BExQ81BUQTOAVCEFNABRQET4LTI9" hidden="1">_YB01 #REF!</definedName>
    <definedName name="BExQ852MSOB60O3MKL11FN8VSD1J" hidden="1">#REF!</definedName>
    <definedName name="BExQ85851SMU4U7OP3JGFMPC1UDL" hidden="1">#REF!</definedName>
    <definedName name="BExQ85DKU5JUN9XY8U7D03VGTCIN" hidden="1">#REF!</definedName>
    <definedName name="BExQ87BM67HZXC6BLMSLDB622RA5" hidden="1">#REF!</definedName>
    <definedName name="BExQ88TMOUU5RL1SSERD6XWWAZ5D" localSheetId="3" hidden="1">QKPI #REF!</definedName>
    <definedName name="BExQ88TMOUU5RL1SSERD6XWWAZ5D" hidden="1">QKPI #REF!</definedName>
    <definedName name="BExQ8A62O8JS36V9YSIZ9WMMGLVB" hidden="1">#REF!</definedName>
    <definedName name="BExQ8ABJUIWQ4M1JQCE2AXNP700I" hidden="1">#REF!</definedName>
    <definedName name="BExQ8JB7STXS2T08HLMC8RR4ZTLT" localSheetId="3" hidden="1">_YA01 #REF!</definedName>
    <definedName name="BExQ8JB7STXS2T08HLMC8RR4ZTLT" hidden="1">_YA01 #REF!</definedName>
    <definedName name="BExQ8VGAOILGPPPNPHX4S5QKWY1B" hidden="1">#REF!</definedName>
    <definedName name="BExQ8X3JHKGYKJKH7ZQW2TXQZE8W" hidden="1">#REF!</definedName>
    <definedName name="BExQ95N0REK5IQRPOYTP3JFZ4U26" hidden="1">#REF!</definedName>
    <definedName name="BExQ9TGOZKWND1GZV4152JUUJZF5" hidden="1">#REF!</definedName>
    <definedName name="BExQ9U7PLME2BM451JER3NK9PRLO" localSheetId="3" hidden="1">QKPI #REF!</definedName>
    <definedName name="BExQ9U7PLME2BM451JER3NK9PRLO" hidden="1">QKPI #REF!</definedName>
    <definedName name="BExQ9WBA1QGD1GOL8IXG5HZPALI6" hidden="1">#REF!</definedName>
    <definedName name="BExQ9WM2M8A9ULW9Q8EMR6T9UE4O" localSheetId="3" hidden="1">QKPI #REF!</definedName>
    <definedName name="BExQ9WM2M8A9ULW9Q8EMR6T9UE4O" hidden="1">QKPI #REF!</definedName>
    <definedName name="BExQAAEE7JXH2CO7YPX907KZ11CR" hidden="1">#REF!</definedName>
    <definedName name="BExQAKL7PDUI5KIDI016RVVYJRN7" hidden="1">#REF!</definedName>
    <definedName name="BExQAMU3HKLZ1L8TY51O74DC4E4N" hidden="1">#REF!</definedName>
    <definedName name="BExQASZCAXAGSIRV0EI6XA9O8SUA" hidden="1">#REF!</definedName>
    <definedName name="BExQAXXA645FCFODLD01APRIR51A" hidden="1">#REF!</definedName>
    <definedName name="BExQAZ4FXQXXE1Z7MEAWVBTFETJP" hidden="1">#REF!</definedName>
    <definedName name="BExQB2F5WYJ3T1HJIIDK29J4LF9C" hidden="1">#REF!</definedName>
    <definedName name="BExQB2PWVF34DXNG82D9RCWPVALF" hidden="1">#REF!</definedName>
    <definedName name="BExQB30PIOS0JWN9FAFSOAWFG2LN" hidden="1">#REF!</definedName>
    <definedName name="BExQBFB485OC0XHFERJDNS7CU5SN" hidden="1">#REF!</definedName>
    <definedName name="BExQBXAGUSWDSS71WCL8BCHQFTAZ" hidden="1">#REF!</definedName>
    <definedName name="BExQC04W53AU5OHYYS0NIWUL2X31" hidden="1">#REF!</definedName>
    <definedName name="BExQC0FOS5CECM47H28OJ22FR9JE" hidden="1">#REF!</definedName>
    <definedName name="BExQCD0UJWZSYX29U5ZVXM94WFT6" hidden="1">#REF!</definedName>
    <definedName name="BExQCFF5WCS1N5QQYKABB4X41W30" hidden="1">#REF!</definedName>
    <definedName name="BExQCJRJUAMG96CX0VYW9DRT1Z05" hidden="1">#REF!</definedName>
    <definedName name="BExQCPLYUZFQ787MWULGQ5TYZFRW" hidden="1">#REF!</definedName>
    <definedName name="BExQCS0CAQP6T3Y4Q48WOHBP31S3" hidden="1">#REF!</definedName>
    <definedName name="BExQDCE11KA2GPOEGEKMGOIHD1AH" hidden="1">#REF!</definedName>
    <definedName name="BExQDEC26D1679O3L8RUQOMTVUCF" hidden="1">#REF!</definedName>
    <definedName name="BExQDKBUW9DJ6E64I6RQ5A2YEP4L" hidden="1">#REF!</definedName>
    <definedName name="BExQDQH5761BDIDF3VUXM0R42DIK" hidden="1">#REF!</definedName>
    <definedName name="BExQE0YMA80D5S2F3WH8D1M7CWVA" hidden="1">#REF!</definedName>
    <definedName name="BExQE37MFA2P41VQDDJTA6ZPB7O6" hidden="1">#REF!</definedName>
    <definedName name="BExQE4V178KCOWJEI9QU4CJ2JEXW" hidden="1">#REF!</definedName>
    <definedName name="BExQEEWE693XZA345TJHHKQ1WM3S" localSheetId="3" hidden="1">QCheck #REF!</definedName>
    <definedName name="BExQEEWE693XZA345TJHHKQ1WM3S" hidden="1">QCheck #REF!</definedName>
    <definedName name="BExQEFSRP4JCGL0UOPR970655ZLM" hidden="1">#REF!</definedName>
    <definedName name="BExQEG3KO4P0YL052AHBVRR5A0AI" hidden="1">#REF!</definedName>
    <definedName name="BExQEHG6BYONR7XDGTRCVZBH0GER" hidden="1">#REF!</definedName>
    <definedName name="BExQEV31OPLKWG8X3B95MT836KKN" hidden="1">#REF!</definedName>
    <definedName name="BExQEXHCUYM2DT4KPX0YDYMX9IUC" hidden="1">#REF!</definedName>
    <definedName name="BExQF6BLZWH1NRDCC8QXKTGKFYI6" hidden="1">#REF!</definedName>
    <definedName name="BExQFQUL65H264VCA44KMYCS9Y0R" hidden="1">#REF!</definedName>
    <definedName name="BExQFSCKANQ8U72S7KZREVH7VA59" hidden="1">#REF!</definedName>
    <definedName name="BExQFUWC9JICYYA2MVSZ25HTPDBU" hidden="1">#REF!</definedName>
    <definedName name="BExQFXLFHAQK679UF35FFBCQDDRY" hidden="1">#REF!</definedName>
    <definedName name="BExQGCVPFLPS0DNL08JT26C1KSW9" hidden="1">#REF!</definedName>
    <definedName name="BExQGDXENKE3RY6P2CFENG0MZP90" localSheetId="3" hidden="1">_YA01 #REF!</definedName>
    <definedName name="BExQGDXENKE3RY6P2CFENG0MZP90" hidden="1">_YA01 #REF!</definedName>
    <definedName name="BExQGJMF71TQ9LLH5886RY5EXVL6" hidden="1">#REF!</definedName>
    <definedName name="BExQGKIRFMEGYASB34BIT24PEIVQ" hidden="1">#REF!</definedName>
    <definedName name="BExQGKO81N0MSIUD1MK0KPMNCH63" hidden="1">#REF!</definedName>
    <definedName name="BExQGNDCDXPBCS8W7UPE5SEGQNDM" hidden="1">#REF!</definedName>
    <definedName name="BExQGW7KJO5UFTRP9K7TVD1HIERT" hidden="1">#REF!</definedName>
    <definedName name="BExQGZ7FLGQO0SKVC4UXO4GWISCY" hidden="1">#REF!</definedName>
    <definedName name="BExQHBCDE8YTLFVN43N70QE18499" hidden="1">#REF!</definedName>
    <definedName name="BExQHBHSUG1O5KPXP9DFF8ZWWLE9" hidden="1">#REF!</definedName>
    <definedName name="BExQHEXTCI02I2JFCP0Y253AFF2G" localSheetId="3" hidden="1">QKPI #REF!</definedName>
    <definedName name="BExQHEXTCI02I2JFCP0Y253AFF2G" hidden="1">QKPI #REF!</definedName>
    <definedName name="BExQHIJG92RRTULUB5W6H8IJVZFO" hidden="1">#REF!</definedName>
    <definedName name="BExQHL33XNE2ENGQC7DFJHEM65QW" hidden="1">#REF!</definedName>
    <definedName name="BExQHRDOPHAHCPKU3H1JOL8EOY4H" hidden="1">#REF!</definedName>
    <definedName name="BExQHTH7O90OQFOSGDKMX1K018CN" hidden="1">#REF!</definedName>
    <definedName name="BExQHU845BEQNGVBBSLRLB7XYVI0" hidden="1">#REF!</definedName>
    <definedName name="BExQIL1VAGZ8UL37I3G1J5AEVX9R" hidden="1">#REF!</definedName>
    <definedName name="BExQJ6S0PUOU4EPJY8EYJFBKGF29" hidden="1">#REF!</definedName>
    <definedName name="BExQJBKODPYGALYA2DCU4D9KCFCO" hidden="1">#REF!</definedName>
    <definedName name="BExQJE4ALLAZB025HSF7FEEF46DP" hidden="1">#REF!</definedName>
    <definedName name="BExQJFBFBGI1BJ308Q8KCK6HO6IV" hidden="1">#REF!</definedName>
    <definedName name="BExQJHEZI6L3RR8L0TOB04INQCES" hidden="1">#REF!</definedName>
    <definedName name="BExQJYHZYLQDCT6JV608HOYL0DCB" hidden="1">#REF!</definedName>
    <definedName name="BExQJZZX1XA2V602TKXT6K3DXXF0" localSheetId="3" hidden="1">Query #REF!</definedName>
    <definedName name="BExQJZZX1XA2V602TKXT6K3DXXF0" hidden="1">Query #REF!</definedName>
    <definedName name="BExQK9AEBM12L1GQCJISXPR7N5T0" hidden="1">#REF!</definedName>
    <definedName name="BExQK9FUSI9YQ00KCX5WHCIJRF38" hidden="1">#REF!</definedName>
    <definedName name="BExQKBDXXFC6ZN03IBP2HRZ7FSEC" hidden="1">#REF!</definedName>
    <definedName name="BExQKDXPDJ52C0KWQU1C7J2C7CTD" hidden="1">#REF!</definedName>
    <definedName name="BExQKQDGKGW2G6QPU5BJF9WN6MU4" hidden="1">#REF!</definedName>
    <definedName name="BExRXYA28VWIXDLRUTD7KN6XXNY0" hidden="1">#REF!</definedName>
    <definedName name="BExRZ84UGWS2PYX14QOL9IHBYUXV" hidden="1">#REF!</definedName>
    <definedName name="BExRZEQ802D4DIFQ4MNNBNI1GDE7" hidden="1">#REF!</definedName>
    <definedName name="BExRZGIXPDIV2HCGYGW6IG5DS9OD" localSheetId="3" hidden="1">QKPI #REF!</definedName>
    <definedName name="BExRZGIXPDIV2HCGYGW6IG5DS9OD" hidden="1">QKPI #REF!</definedName>
    <definedName name="BExRZIH0TNJHZWGHLN4QIGW7UC93" hidden="1">#REF!</definedName>
    <definedName name="BExS07Y45Y74GIYN5WD7JKUJP1UC" hidden="1">#REF!</definedName>
    <definedName name="BExS0DCC67WBWNNRB3HAC1F2BC9Z" hidden="1">#REF!</definedName>
    <definedName name="BExS0EJHAT3OQ3SPCDNA5PE503RA" hidden="1">#REF!</definedName>
    <definedName name="BExS0UVGN1U9VJ1OYZ03LYKIBXI6" hidden="1">#REF!</definedName>
    <definedName name="BExS0V0XCWPWEQIYYUPREBYBJTRE" hidden="1">#REF!</definedName>
    <definedName name="BExS0X9WWMNO6VUX63RUYNZT0KDD" hidden="1">#REF!</definedName>
    <definedName name="BExS0YX6O17W7U4BU553O40FK42M" localSheetId="3" hidden="1">QCheck #REF!</definedName>
    <definedName name="BExS0YX6O17W7U4BU553O40FK42M" hidden="1">QCheck #REF!</definedName>
    <definedName name="BExS169NJSZX9A50UDT5LD0VBUYJ" hidden="1">#REF!</definedName>
    <definedName name="BExS19PLHGYW6XG78TS42MMHMYFO" hidden="1">#REF!</definedName>
    <definedName name="BExS1UJFFDKLBX4MKBEM7HH0H9VT" localSheetId="3" hidden="1">Query #REF!</definedName>
    <definedName name="BExS1UJFFDKLBX4MKBEM7HH0H9VT" hidden="1">Query #REF!</definedName>
    <definedName name="BExS1ZC28B3ADTKJ24T5Z1OXPD7J" hidden="1">#REF!</definedName>
    <definedName name="BExS244P6CXE5ET3SPO28T5R1EXG" hidden="1">#REF!</definedName>
    <definedName name="BExS2AVE8UCV40W5S8BWPB3ER5YL" localSheetId="3" hidden="1">QKPI #REF!</definedName>
    <definedName name="BExS2AVE8UCV40W5S8BWPB3ER5YL" hidden="1">QKPI #REF!</definedName>
    <definedName name="BExS2AVEBM784ZRVU35NZZOPCLHS" hidden="1">#REF!</definedName>
    <definedName name="BExS2C802V2Z830OC1YEC7I9K6Q3" hidden="1">#REF!</definedName>
    <definedName name="BExS2DF5ZM739VR0D3G8HR8XPJI8" hidden="1">#REF!</definedName>
    <definedName name="BExS2EMB2XCCLR2REONT0V44XOX9" hidden="1">#REF!</definedName>
    <definedName name="BExS2ID48GOUZN9BMG2DF08VEXKR" localSheetId="3" hidden="1">Query #REF!</definedName>
    <definedName name="BExS2ID48GOUZN9BMG2DF08VEXKR" hidden="1">Query #REF!</definedName>
    <definedName name="BExS2KM5IHKMQD2UOU2BJKCP7UTI" localSheetId="3" hidden="1">QKPI #REF!</definedName>
    <definedName name="BExS2KM5IHKMQD2UOU2BJKCP7UTI" hidden="1">QKPI #REF!</definedName>
    <definedName name="BExS2VEKR2PSG1VL5YX221NMW4FL" localSheetId="3" hidden="1">QKPI #REF!</definedName>
    <definedName name="BExS2VEKR2PSG1VL5YX221NMW4FL" hidden="1">QKPI #REF!</definedName>
    <definedName name="BExS30HZ7033TWJHE4V8J76PK0KH" localSheetId="3" hidden="1">DP #REF!</definedName>
    <definedName name="BExS30HZ7033TWJHE4V8J76PK0KH" hidden="1">DP #REF!</definedName>
    <definedName name="BExS3AE0RT41L6SZHXMYLN4MMCXK" hidden="1">#REF!</definedName>
    <definedName name="BExS3BFQ6LM0O4D1WF4PHD41KPOO" hidden="1">#REF!</definedName>
    <definedName name="BExS3KVN9HZEBC6G7YK000VQGK6S" hidden="1">#REF!</definedName>
    <definedName name="BExS3RX5XTGAR0NRCXNUFKR2OI9K" hidden="1">#REF!</definedName>
    <definedName name="BExS3UX1WGZB3AO2L18XQPL9F7E2" hidden="1">#REF!</definedName>
    <definedName name="BExS429BJ1AJODURDBEA4P95OMEK" hidden="1">#REF!</definedName>
    <definedName name="BExS45PH6RKLWUEL13QLWHPAVSN4" hidden="1">#REF!</definedName>
    <definedName name="BExS49WJ3VOG7Y8N8LWG4Y77JNHN" hidden="1">#REF!</definedName>
    <definedName name="BExS4I56CY0DMLR8KVXQQ1LAUH7I" hidden="1">#REF!</definedName>
    <definedName name="BExS4PMXEYYSULXDAD13CEADC05J" hidden="1">#REF!</definedName>
    <definedName name="BExS510X3SSB0IHG8N922AUTK97V" hidden="1">#REF!</definedName>
    <definedName name="BExS5IPIJG6WJLJT6377YRAZSNEG" hidden="1">#REF!</definedName>
    <definedName name="BExS5NI53UG0RP7D5KK7IONI8CSW" hidden="1">#REF!</definedName>
    <definedName name="BExS5XZSVESFGVSZCKZK3F0MN5AC" hidden="1">#REF!</definedName>
    <definedName name="BExS6PEWXKJDF8N5ML24C805ZMBT" hidden="1">#REF!</definedName>
    <definedName name="BExS6T0FIZFDUVYBRKIL1S3DQJWO" hidden="1">#REF!</definedName>
    <definedName name="BExS71PBOJ6QU7VXDSQDB1Y7S3KI" hidden="1">#REF!</definedName>
    <definedName name="BExS76CGQOYE4UZL7VT78XIF6ZJL" hidden="1">#REF!</definedName>
    <definedName name="BExS7FSF4YK4I8P4FVS6KG4NCLUT" hidden="1">#REF!</definedName>
    <definedName name="BExS7QVIDA0G9Y3YH1MNLO600KMS" localSheetId="3" hidden="1">QKPI #REF!</definedName>
    <definedName name="BExS7QVIDA0G9Y3YH1MNLO600KMS" hidden="1">QKPI #REF!</definedName>
    <definedName name="BExS830KFQC1T7GM74BUVVAKEIFY" hidden="1">#REF!</definedName>
    <definedName name="BExS85UYVIC2BAXGD20AVJ0QDN2C" hidden="1">#REF!</definedName>
    <definedName name="BExS8HEFEW00YU4OJ55N1BRAKC5F" hidden="1">#REF!</definedName>
    <definedName name="BExS8O550D0ISH5NQNXBCVVE66GX" hidden="1">#REF!</definedName>
    <definedName name="BExS8OLF7CZSNZ4HS8YULQP6Y6N3" hidden="1">#REF!</definedName>
    <definedName name="BExS95O91EJFCP7YSYQ7A0VY4KTH" hidden="1">#REF!</definedName>
    <definedName name="BExS999VTPP2BEUYXXN9ZEAKWUYK" hidden="1">#REF!</definedName>
    <definedName name="BExS9JGKCHGOFHJJ5JMAMV01XM9Y" hidden="1">#REF!</definedName>
    <definedName name="BExS9MWPUO01Z6THM9FF71UFOMW8" hidden="1">#REF!</definedName>
    <definedName name="BExS9XED43FAJM4UOD0Y0QE3STOR" hidden="1">#REF!</definedName>
    <definedName name="BExSA68LA1KHWNR8WG5KHQQHJCS6" hidden="1">#REF!</definedName>
    <definedName name="BExSAEBVYNGUOK3LP1QMBR9TZWKA" hidden="1">#REF!</definedName>
    <definedName name="BExSAFDKZKO1DXMXZ0IGR5IBU6ST" hidden="1">#REF!</definedName>
    <definedName name="BExSAHMKCOHHOBT93AR1358SPKJ9" hidden="1">#REF!</definedName>
    <definedName name="BExSAJQ43EH7792PW59WLQQB4ZPO" hidden="1">#REF!</definedName>
    <definedName name="BExSB6I4YM1XMGBOIPH275N2XMWH" localSheetId="3" hidden="1">Query #REF!</definedName>
    <definedName name="BExSB6I4YM1XMGBOIPH275N2XMWH" hidden="1">Query #REF!</definedName>
    <definedName name="BExSBCSQ316PRFFP4R77XS3C7RT4" hidden="1">#REF!</definedName>
    <definedName name="BExSBFN52856KGEOU3RL8C357AAA" hidden="1">#REF!</definedName>
    <definedName name="BExSBUHAI72ZCVVVJNAUD9DIX2CS" localSheetId="3" hidden="1">Query #REF!</definedName>
    <definedName name="BExSBUHAI72ZCVVVJNAUD9DIX2CS" hidden="1">Query #REF!</definedName>
    <definedName name="BExSBX0YQ6OP6CPKJT3JM12M39DW" hidden="1">#REF!</definedName>
    <definedName name="BExSC77TFBYZUFF54E0CV95OK7TL" localSheetId="3" hidden="1">DP #REF!</definedName>
    <definedName name="BExSC77TFBYZUFF54E0CV95OK7TL" hidden="1">DP #REF!</definedName>
    <definedName name="BExSCDT59OBBOMDXGM25KY88AUEX" hidden="1">#REF!</definedName>
    <definedName name="BExSCH3UULA7P82ARMEJZM8AU5DY" hidden="1">#REF!</definedName>
    <definedName name="BExSCHUQNZ1BGGDH14RCFZ0XR4EX" localSheetId="3" hidden="1">QKPI #REF!</definedName>
    <definedName name="BExSCHUQNZ1BGGDH14RCFZ0XR4EX" hidden="1">QKPI #REF!</definedName>
    <definedName name="BExSCNEFXAXF32O4S9C87SC0CDT3" hidden="1">#REF!</definedName>
    <definedName name="BExSD04WF65VFINIMQMR8D3411Z4" hidden="1">#REF!</definedName>
    <definedName name="BExSD11B6UO0BICYX7MZPXW7GK1T" hidden="1">#REF!</definedName>
    <definedName name="BExSD9A19Y70KLN55D6H5JJCW3C3" hidden="1">#REF!</definedName>
    <definedName name="BExSDKNWTL6ZY34E9QKME25U7GA2" hidden="1">#REF!</definedName>
    <definedName name="BExSDKO1RKYUP6T7YB7BM8J39R3Z" hidden="1">#REF!</definedName>
    <definedName name="BExSDKYPQVY7C8X1TFHCL82P7DCT" hidden="1">#REF!</definedName>
    <definedName name="BExSDP0GLBBOJYP9IDVINO3C0ECD" localSheetId="3" hidden="1">QKPI #REF!</definedName>
    <definedName name="BExSDP0GLBBOJYP9IDVINO3C0ECD" hidden="1">QKPI #REF!</definedName>
    <definedName name="BExSDQ7LGIK78CTHJ3LUM3JSAKVE" hidden="1">#REF!</definedName>
    <definedName name="BExSDWNIBY22NBHBPSZHU601U73E" hidden="1">#REF!</definedName>
    <definedName name="BExSE1GA0QH4XWDB6I50AT6NR84Q" hidden="1">#REF!</definedName>
    <definedName name="BExSE4LHU8OJBWMK6AJHM8N10W88" hidden="1">#REF!</definedName>
    <definedName name="BExSEBC7QT5RQSQTNUXFNVXTDYH3" localSheetId="3" hidden="1">DP #REF!</definedName>
    <definedName name="BExSEBC7QT5RQSQTNUXFNVXTDYH3" hidden="1">DP #REF!</definedName>
    <definedName name="BExSEJA6JPOZOUZENBIDI5A5SZNR" hidden="1">#REF!</definedName>
    <definedName name="BExSEQ6C87P6OYUZB4H2IVNP2YIA" hidden="1">#REF!</definedName>
    <definedName name="BExSEU2MQ0GYZSMG45FZ0C59BSAJ" hidden="1">#REF!</definedName>
    <definedName name="BExSEX7T8KQCR6J990S41MI1BJHU" hidden="1">#REF!</definedName>
    <definedName name="BExSEXDAMJL6NV3C4QDDUXTXL7WT" hidden="1">#REF!</definedName>
    <definedName name="BExSF4UVH4PYDG6Q8PZZWJTOWICF" hidden="1">#REF!</definedName>
    <definedName name="BExSF7PHALFXM6IEHN58T9YYJP80" hidden="1">#REF!</definedName>
    <definedName name="BExSFEATJ8ID67TI5YQORA4MWMJ9" hidden="1">#REF!</definedName>
    <definedName name="BExSFEQXDO7IOYIW7KJ74KWKJ7ID" hidden="1">#REF!</definedName>
    <definedName name="BExSFIY03DM6WZ5Z9WFPYZO2GEMB" hidden="1">#REF!</definedName>
    <definedName name="BExSFLHSFPB7Q9UPF0Q4YSWF9KTA" hidden="1">#REF!</definedName>
    <definedName name="BExSFLXW58CTHWSQKVCNO35BASY5" hidden="1">#REF!</definedName>
    <definedName name="BExSFP8KP0RG3755N5ZIDU4APBJC" hidden="1">#REF!</definedName>
    <definedName name="BExSFPJDUUQ2U9HTKYX092PN30KG" hidden="1">#REF!</definedName>
    <definedName name="BExSFRHKLR9PPVTW8XGLSQ2333S3" localSheetId="3" hidden="1">QKPI #REF!</definedName>
    <definedName name="BExSFRHKLR9PPVTW8XGLSQ2333S3" hidden="1">QKPI #REF!</definedName>
    <definedName name="BExSFTAB4XTZDVA8D988DUJ9L4US" hidden="1">#REF!</definedName>
    <definedName name="BExSFTL4REY6KUHL0B4LMH597U20" localSheetId="3" hidden="1">_YA01 #REF!</definedName>
    <definedName name="BExSFTL4REY6KUHL0B4LMH597U20" hidden="1">_YA01 #REF!</definedName>
    <definedName name="BExSGF0HN5I800CPN3VRILXOW8TO" hidden="1">#REF!</definedName>
    <definedName name="BExSHKZ1KR2730DVR8GV785E2G5L" hidden="1">#REF!</definedName>
    <definedName name="BExSI1GH42Q45NUAJJBDBSMD34TF" hidden="1">#REF!</definedName>
    <definedName name="BExSI9JS5P7LEWBAPFG0K1XRRU9Q" hidden="1">#REF!</definedName>
    <definedName name="BExTTR9N45CJCZ2ADVHD65YR90Y8" hidden="1">#REF!</definedName>
    <definedName name="BExTUB1S86937KK564JIMXPWTWYE" hidden="1">#REF!</definedName>
    <definedName name="BExTUEN7JLDOBY0KKHFFNARNKVOA" hidden="1">#REF!</definedName>
    <definedName name="BExTURJ69AU5PJMQS1NOG7OS3MFV" localSheetId="3" hidden="1">QKPI #REF!</definedName>
    <definedName name="BExTURJ69AU5PJMQS1NOG7OS3MFV" hidden="1">QKPI #REF!</definedName>
    <definedName name="BExTURTZ1H7TTXD29SEL2AA8WX8P" hidden="1">#REF!</definedName>
    <definedName name="BExTUXZ4CH0UPA1TRFL96T63GSPZ" localSheetId="3" hidden="1">Query #REF!</definedName>
    <definedName name="BExTUXZ4CH0UPA1TRFL96T63GSPZ" hidden="1">Query #REF!</definedName>
    <definedName name="BExTV38048GGTAM42T6R4A9FMQ61" hidden="1">#REF!</definedName>
    <definedName name="BExTV44BTE0QW3HVNZ5OZYWMRSPL" localSheetId="3" hidden="1">_YB10 #REF!</definedName>
    <definedName name="BExTV44BTE0QW3HVNZ5OZYWMRSPL" hidden="1">_YB10 #REF!</definedName>
    <definedName name="BExTV8GPQWHX1RGHNSHXEKB9N8M9" hidden="1">#REF!</definedName>
    <definedName name="BExTVBRF27SEWEKQ5XY0ZP2PX9RX" hidden="1">#REF!</definedName>
    <definedName name="BExTVBRFB6FA5N0EV8DE3EP8FWYY" hidden="1">#REF!</definedName>
    <definedName name="BExTVKAZ8NAG10A3G94QPJ7COMKQ" hidden="1">#REF!</definedName>
    <definedName name="BExTVLNGPL101H4OE5JLJF1J10MG" hidden="1">#REF!</definedName>
    <definedName name="BExTVOY685H2Q311TC6HNTAXA81P" hidden="1">#REF!</definedName>
    <definedName name="BExTVPJPMMJBWJGYCQ28GOGX4WVF" localSheetId="3" hidden="1">Query #REF!</definedName>
    <definedName name="BExTVPJPMMJBWJGYCQ28GOGX4WVF" hidden="1">Query #REF!</definedName>
    <definedName name="BExTVTQSI3C203LXLLVQT6J2JL8O" hidden="1">#REF!</definedName>
    <definedName name="BExTW131X6U92NRB6DGEV9KJP6IH" hidden="1">#REF!</definedName>
    <definedName name="BExTWDDFKOGA0E5JKYX5H7MQDV2A" hidden="1">#REF!</definedName>
    <definedName name="BExTWHPYP5B9Z3DO2HDWFQ1WTAWE" hidden="1">#REF!</definedName>
    <definedName name="BExTWKF2KDHFIJX7BJE0R93CJZ2B" hidden="1">#REF!</definedName>
    <definedName name="BExTWKKD5KC58FOV77O36T2LBIOW" hidden="1">#REF!</definedName>
    <definedName name="BExTWN9N1M9EQRDAG0MHMD5UZZHW" hidden="1">#REF!</definedName>
    <definedName name="BExTWOBAZA3MM322TBYTU98M1DGG" hidden="1">#REF!</definedName>
    <definedName name="BExTWTUW1PR1A5XZ26FTITOMYDR7" hidden="1">#REF!</definedName>
    <definedName name="BExTXB8NS47YY2WMS6N3S3RQH3AE" hidden="1">#REF!</definedName>
    <definedName name="BExTXOFEGRPNO94B05LIZZWBYM8L" localSheetId="3" hidden="1">_YA01 #REF!</definedName>
    <definedName name="BExTXOFEGRPNO94B05LIZZWBYM8L" hidden="1">_YA01 #REF!</definedName>
    <definedName name="BExTXOQ66BR79FEA7U4YGKX4E6HV" hidden="1">#REF!</definedName>
    <definedName name="BExTXRQ2HKGKC6JDQNIBTCW658GB" hidden="1">#REF!</definedName>
    <definedName name="BExTXUPYX2SVTU26SL00T0NZ9UAR" localSheetId="3" hidden="1">Query #REF!</definedName>
    <definedName name="BExTXUPYX2SVTU26SL00T0NZ9UAR" hidden="1">Query #REF!</definedName>
    <definedName name="BExTXW2MEEX4Z5HULDQ9M5HI5L4W" localSheetId="3" hidden="1">DP #REF!</definedName>
    <definedName name="BExTXW2MEEX4Z5HULDQ9M5HI5L4W" hidden="1">DP #REF!</definedName>
    <definedName name="BExTXYGYKAQZK79K83EJGXVUPKX4" hidden="1">#REF!</definedName>
    <definedName name="BExTY1WYCQY9WMYLNJ5RDRBNZW3N" hidden="1">#REF!</definedName>
    <definedName name="BExTY57MOUTRD2J8068KR4W6F2LS" localSheetId="3" hidden="1">_YB02 #REF!</definedName>
    <definedName name="BExTY57MOUTRD2J8068KR4W6F2LS" hidden="1">_YB02 #REF!</definedName>
    <definedName name="BExTY827CI2I26434XU4BR90UMBA" hidden="1">#REF!</definedName>
    <definedName name="BExTY9ENW5HQ7A4MR2D625396GXP" hidden="1">#REF!</definedName>
    <definedName name="BExTYJWCMPKAXXYC8MAM5LDWMGEG" localSheetId="3" hidden="1">DP #REF!</definedName>
    <definedName name="BExTYJWCMPKAXXYC8MAM5LDWMGEG" hidden="1">DP #REF!</definedName>
    <definedName name="BExTYNCBU8ZMXSZNR9XXJRDH4ZA8" hidden="1">#REF!</definedName>
    <definedName name="BExTZNWNTI09BRMB9IFBGSAQ0P0H" hidden="1">#REF!</definedName>
    <definedName name="BExTZOCR4IQ2N7TSENU4H9WEKWO2" hidden="1">#REF!</definedName>
    <definedName name="BExTZTQZI8C4Y9LORAWEV2WXI2XW" hidden="1">#REF!</definedName>
    <definedName name="BExTZU1QXJP5QT97HK8BUNX52I1F" hidden="1">#REF!</definedName>
    <definedName name="BExTZXXZY7T7QUFUX5XH7S8BN495" hidden="1">#REF!</definedName>
    <definedName name="BExU018PVPYRW203RCO2C7HXJJUH" hidden="1">#REF!</definedName>
    <definedName name="BExU02W3WD9IIGOGB7XN25WISLXL" hidden="1">#REF!</definedName>
    <definedName name="BExU04U6GL8RN8YWBKCQISSTYIQA" localSheetId="3" hidden="1">QKPI #REF!</definedName>
    <definedName name="BExU04U6GL8RN8YWBKCQISSTYIQA" hidden="1">QKPI #REF!</definedName>
    <definedName name="BExU06XQTPRHB8ODCN1W26MVU91P" hidden="1">#REF!</definedName>
    <definedName name="BExU0AZFEUJHR5537IXB2IA6O5JB" hidden="1">#REF!</definedName>
    <definedName name="BExU0CMQ3YRDG30Q2AWDBCNE5KFO" hidden="1">#REF!</definedName>
    <definedName name="BExU0FH5KFWI3YG4ZN7N3LJBP2OB" hidden="1">#REF!</definedName>
    <definedName name="BExU0M2JQ7OT56IKH7BVGHEYNATY" hidden="1">#REF!</definedName>
    <definedName name="BExU100BMGHVEM8UPM7KS127WO2W" hidden="1">#REF!</definedName>
    <definedName name="BExU19003BT9IF3SMHQLL2PMAX91" hidden="1">#REF!</definedName>
    <definedName name="BExU1CWAGUY771ZVNN2UUE7IYV9I" hidden="1">#REF!</definedName>
    <definedName name="BExU1DN5ZCZ1SZH9XZ7H2E9HPIRO" localSheetId="3" hidden="1">Query #REF!</definedName>
    <definedName name="BExU1DN5ZCZ1SZH9XZ7H2E9HPIRO" hidden="1">Query #REF!</definedName>
    <definedName name="BExU1FLCZ0F654PSZTA8HOL09JR4" hidden="1">#REF!</definedName>
    <definedName name="BExU1IW1NA51AQWPWW4P5K1RQIPG" localSheetId="3" hidden="1">Query #REF!</definedName>
    <definedName name="BExU1IW1NA51AQWPWW4P5K1RQIPG" hidden="1">Query #REF!</definedName>
    <definedName name="BExU1VMITOOC7FCNEZIY4SAIES9J" hidden="1">#REF!</definedName>
    <definedName name="BExU25DATD0T1IOIAWVVKL4N2C4M" localSheetId="3" hidden="1">QKPI #REF!</definedName>
    <definedName name="BExU25DATD0T1IOIAWVVKL4N2C4M" hidden="1">QKPI #REF!</definedName>
    <definedName name="BExU29K7OFFAV7FYRL1YNPLWO1C2" hidden="1">#REF!</definedName>
    <definedName name="BExU2KY6KVM17T438Y2RFYLZ3QPR" hidden="1">#REF!</definedName>
    <definedName name="BExU2O8VGEHRDS3VY67GUVHKFL56" hidden="1">#REF!</definedName>
    <definedName name="BExU2W1D6FL80DMOSVYRM3741UGJ" hidden="1">#REF!</definedName>
    <definedName name="BExU2WXS72PBCFOB4CS10BJIT8YV" hidden="1">#REF!</definedName>
    <definedName name="BExU35XG7XXJTF2TVI6R2AS01BK8" hidden="1">#REF!</definedName>
    <definedName name="BExU362X3ZKUT2VLIWMZGEOK08TO" hidden="1">#REF!</definedName>
    <definedName name="BExU37VOGM5CV613303WYKN6GHTU" localSheetId="3" hidden="1">QKPI #REF!</definedName>
    <definedName name="BExU37VOGM5CV613303WYKN6GHTU" hidden="1">QKPI #REF!</definedName>
    <definedName name="BExU3F7X7TCJ2FZ933SD7BEDU348" hidden="1">#REF!</definedName>
    <definedName name="BExU3LTATQQO0YO2Q9OXN7CQKR84" localSheetId="3" hidden="1">QKPI #REF!</definedName>
    <definedName name="BExU3LTATQQO0YO2Q9OXN7CQKR84" hidden="1">QKPI #REF!</definedName>
    <definedName name="BExU3NWTC30BUNOQS77JC2J0UHJ3" hidden="1">#REF!</definedName>
    <definedName name="BExU40786GKMQ15O6FIAW01YW9XB" hidden="1">#REF!</definedName>
    <definedName name="BExU40YAAWT7GZTPIEEWO661SB76" localSheetId="3" hidden="1">Query #REF!</definedName>
    <definedName name="BExU40YAAWT7GZTPIEEWO661SB76" hidden="1">Query #REF!</definedName>
    <definedName name="BExU4E4UE1GAKATZ16SYY0CLC39I" hidden="1">#REF!</definedName>
    <definedName name="BExU4GJ5U3U03XZIJ9LWB3CVFA82" hidden="1">#REF!</definedName>
    <definedName name="BExU4OBP6LL498A5EINO05CCYCQF" hidden="1">#REF!</definedName>
    <definedName name="BExU4OX9LZIWWUPJP0R341ZDR62M" hidden="1">#REF!</definedName>
    <definedName name="BExU4OXAAIW4OV5M7F7529Q6X0QW" localSheetId="3" hidden="1">Query #REF!</definedName>
    <definedName name="BExU4OXAAIW4OV5M7F7529Q6X0QW" hidden="1">Query #REF!</definedName>
    <definedName name="BExU4PIV9YVB546D9MNNSN1RUTK2" hidden="1">#REF!</definedName>
    <definedName name="BExU4QKPCIENP6B6TUYLHF37ZSY1" hidden="1">#REF!</definedName>
    <definedName name="BExU5D77Z8PL2EF0G3V00HXCPN0Z" hidden="1">#REF!</definedName>
    <definedName name="BExU5QDTIUYM4QS8H4L08AS6X8PW" hidden="1">#REF!</definedName>
    <definedName name="BExU5U4SJW0EWTQKGRATYMWNCV8W" hidden="1">#REF!</definedName>
    <definedName name="BExU5UQCAB8R6MMF7H1581VRGZS3" hidden="1">#REF!</definedName>
    <definedName name="BExU6DRFNBUOHI3I0OG0ZMXDDFJ5" hidden="1">#REF!</definedName>
    <definedName name="BExU6J0B9BWQY6NZC2ZVND9S9X7C" hidden="1">#REF!</definedName>
    <definedName name="BExU6SWER1ZT0RWMRC5QTLC2OKPL" localSheetId="3" hidden="1">Query #REF!</definedName>
    <definedName name="BExU6SWER1ZT0RWMRC5QTLC2OKPL" hidden="1">Query #REF!</definedName>
    <definedName name="BExU6Z6YZGW94QVE9OORB1I3GJ8G" hidden="1">#REF!</definedName>
    <definedName name="BExU73ORRMNPJWK548DXYYN8SY77" hidden="1">#REF!</definedName>
    <definedName name="BExU7AFI22EVI9OYN8UF8SX6MY4B" localSheetId="3" hidden="1">QKPI #REF!</definedName>
    <definedName name="BExU7AFI22EVI9OYN8UF8SX6MY4B" hidden="1">QKPI #REF!</definedName>
    <definedName name="BExU7GVJPQA57TN1YYA9029T8919" localSheetId="3" hidden="1">Query #REF!</definedName>
    <definedName name="BExU7GVJPQA57TN1YYA9029T8919" hidden="1">Query #REF!</definedName>
    <definedName name="BExU7Q0J45XWL6DP54RXFSAGXR84" hidden="1">#REF!</definedName>
    <definedName name="BExU7RTAIABHT00AS0PRTWYME8EY" hidden="1">#REF!</definedName>
    <definedName name="BExU7TGKNK67KPUU373089RAJGI8" hidden="1">#REF!</definedName>
    <definedName name="BExU7WWOPOFUJFYL0JNNDEZUVQB3" hidden="1">#REF!</definedName>
    <definedName name="BExU837ABLF2GHHEC17ELDN0EC2T" hidden="1">#REF!</definedName>
    <definedName name="BExU8CSL61TFYIZV6IDPEB0CSGZ8" hidden="1">#REF!</definedName>
    <definedName name="BExU8HW0R5OK0OQYKHZ7L3C94ILU" hidden="1">#REF!</definedName>
    <definedName name="BExU8MTXFGLP1JV14460N33CZYCT" hidden="1">#REF!</definedName>
    <definedName name="BExU8NQB095DGR7YW0DP5KJ8LHPF" hidden="1">#REF!</definedName>
    <definedName name="BExU8PTTT1T6JH1SDCGB4MHC1O4B" hidden="1">#REF!</definedName>
    <definedName name="BExU8YD8M4HUFZMGBQP27YWQ0DXP" hidden="1">#REF!</definedName>
    <definedName name="BExU9OFY39BP9TGYXO2BMEQ2100T" localSheetId="3" hidden="1">_YA01 #REF!</definedName>
    <definedName name="BExU9OFY39BP9TGYXO2BMEQ2100T" hidden="1">_YA01 #REF!</definedName>
    <definedName name="BExU9XQFJRU0WVXP901GK82YXHE4" localSheetId="3" hidden="1">Query #REF!</definedName>
    <definedName name="BExU9XQFJRU0WVXP901GK82YXHE4" hidden="1">Query #REF!</definedName>
    <definedName name="BExUA3FG6VWA782Z9EIPM05XC06A" hidden="1">#REF!</definedName>
    <definedName name="BExUAC4BAO2HHBBPU982RAIU1Q7H" hidden="1">#REF!</definedName>
    <definedName name="BExUADMANPKK7TRXC7BB205LS7WR" hidden="1">#REF!</definedName>
    <definedName name="BExUAED5NFMU1E8O1VK1DJBICX2B" hidden="1">#REF!</definedName>
    <definedName name="BExUAG5XKR9V4OB5A7RBAX2EBQI9" hidden="1">#REF!</definedName>
    <definedName name="BExUAGWYWTX4GXV8C9TVRBAGO0GZ" localSheetId="3" hidden="1">_YB11 #REF!</definedName>
    <definedName name="BExUAGWYWTX4GXV8C9TVRBAGO0GZ" hidden="1">_YB11 #REF!</definedName>
    <definedName name="BExUAR94JYW9D4J93N8T78SO10DZ" localSheetId="3" hidden="1">Query #REF!</definedName>
    <definedName name="BExUAR94JYW9D4J93N8T78SO10DZ" hidden="1">Query #REF!</definedName>
    <definedName name="BExUAVWGOANFCEH08S9L1WHNHEV6" hidden="1">#REF!</definedName>
    <definedName name="BExUAXP7STBO2EBK8IWX4UFIJXZ2" hidden="1">#REF!</definedName>
    <definedName name="BExUAXUNLT9BFPTDLLETTYXLH8UB" hidden="1">#REF!</definedName>
    <definedName name="BExUB5HQOGAJY7XYZLGPU6IAHADL" hidden="1">#REF!</definedName>
    <definedName name="BExUB7W2090EQ6Q3U777GW8GF6V3" localSheetId="3" hidden="1">Query #REF!</definedName>
    <definedName name="BExUB7W2090EQ6Q3U777GW8GF6V3" hidden="1">Query #REF!</definedName>
    <definedName name="BExUBAQG5CXSZR4659ZJMO7RZVBB" hidden="1">#REF!</definedName>
    <definedName name="BExUBC8E9DPSW4SO2WN5QP526AE3" hidden="1">#REF!</definedName>
    <definedName name="BExUBCOO3D34NY9KG94Z0ALZNRAH" hidden="1">#REF!</definedName>
    <definedName name="BExUBOIRNP19JAT4WQ776T0YY53V" localSheetId="3" hidden="1">DP #REF!</definedName>
    <definedName name="BExUBOIRNP19JAT4WQ776T0YY53V" hidden="1">DP #REF!</definedName>
    <definedName name="BExUBZWRLP42F8GW73LDPMAAOU51" hidden="1">#REF!</definedName>
    <definedName name="BExUC2R7ILQSRPLM74OQ94I5XGWY" hidden="1">#REF!</definedName>
    <definedName name="BExUCEAPTZRMM77IVV4ORF76Z6ZO" hidden="1">#REF!</definedName>
    <definedName name="BExUCUBUMOT915BJ3HA0B7RF1IUV" hidden="1">#REF!</definedName>
    <definedName name="BExUCXXB455I60GHOSRDVMZEAQTP" hidden="1">#REF!</definedName>
    <definedName name="BExUCYDKO3JNKOJ3AK2FSTIUJDCZ" hidden="1">#REF!</definedName>
    <definedName name="BExUD5KJESY0B0A4YFSMNLLKMCF9" hidden="1">#REF!</definedName>
    <definedName name="BExUD60NTXR66CVULBRBQK0364OY" hidden="1">#REF!</definedName>
    <definedName name="BExUD846EU7OTS212T7B1MKXQF7Y" hidden="1">#REF!</definedName>
    <definedName name="BExUD9WWPWW5ESVH03X0RY0OTJIF" localSheetId="3" hidden="1">_YA01 #REF!</definedName>
    <definedName name="BExUD9WWPWW5ESVH03X0RY0OTJIF" hidden="1">_YA01 #REF!</definedName>
    <definedName name="BExUDFLXYKQTTUTDL6JEB4RYFWIH" hidden="1">#REF!</definedName>
    <definedName name="BExUDIWN1S5JYQZPHK3Q5P2PXZ22" hidden="1">#REF!</definedName>
    <definedName name="BExUDMI2P5FPY9J6SMGRMGQG84CW" hidden="1">#REF!</definedName>
    <definedName name="BExUDNP8DKZQ5SH3KIDDZFO01BER" hidden="1">#REF!</definedName>
    <definedName name="BExUECA01SHS327YZN51EWUOTRIK" hidden="1">#REF!</definedName>
    <definedName name="BExUEM61JEBAL8CK7QLCS2QEG1D7" hidden="1">#REF!</definedName>
    <definedName name="BExUEQYOLI4WJKOYKVO6DE2E2IJ0" hidden="1">#REF!</definedName>
    <definedName name="BExVPPSS2UOZ3RKZKJ08IMXHWPZI" localSheetId="3" hidden="1">QKPI #REF!</definedName>
    <definedName name="BExVPPSS2UOZ3RKZKJ08IMXHWPZI" hidden="1">QKPI #REF!</definedName>
    <definedName name="BExVQQD4M5QMDJKV9MSIP702S65Z" hidden="1">#REF!</definedName>
    <definedName name="BExVRBXZEFFUXA9BZTC8M6XAF10X" localSheetId="3" hidden="1">_YA01 #REF!</definedName>
    <definedName name="BExVRBXZEFFUXA9BZTC8M6XAF10X" hidden="1">_YA01 #REF!</definedName>
    <definedName name="BExVRCJIJAUM531M4TN35AZHMHTL" hidden="1">#REF!</definedName>
    <definedName name="BExVRHXQBOBYCQP0NP88TH7L47OD" hidden="1">#REF!</definedName>
    <definedName name="BExVRQBU3K1N9B1KEZV5M0FUUXOR" hidden="1">#REF!</definedName>
    <definedName name="BExVS20P906DMHDF5V6C0WX56MFR" hidden="1">#REF!</definedName>
    <definedName name="BExVS3IN12RBHS04KJTPSEV4OXP6" hidden="1">#REF!</definedName>
    <definedName name="BExVS5RFO6FW7RNS7XREAUXIEA4V" localSheetId="3" hidden="1">Query #REF!</definedName>
    <definedName name="BExVS5RFO6FW7RNS7XREAUXIEA4V" hidden="1">Query #REF!</definedName>
    <definedName name="BExVS6D1EAKGPQPOKEQUTHU6UH51" localSheetId="3" hidden="1">QKPI #REF!</definedName>
    <definedName name="BExVS6D1EAKGPQPOKEQUTHU6UH51" hidden="1">QKPI #REF!</definedName>
    <definedName name="BExVSC7I3SJVTEI8AB1YUDLMY9UB" hidden="1">#REF!</definedName>
    <definedName name="BExVSMECTSIG3NN24RWQDXKBDZLW" hidden="1">#REF!</definedName>
    <definedName name="BExVSOHW25XIYQG2G807KDLYR6MV" hidden="1">#REF!</definedName>
    <definedName name="BExVSRXXD0V1J1BUNBWWAM7M5CEB" hidden="1">#REF!</definedName>
    <definedName name="BExVSSOSFISBX6MBAMDNNDQYY9XE" hidden="1">#REF!</definedName>
    <definedName name="BExVT66GVMHBGTPS6RC44S8OFHVT" hidden="1">#REF!</definedName>
    <definedName name="BExVT9X9HBG97208XM4DFH5ARO3Y" hidden="1">#REF!</definedName>
    <definedName name="BExVTBVCNAXDJA0S7ONDPC9M1YQ2" localSheetId="3" hidden="1">Query #REF!</definedName>
    <definedName name="BExVTBVCNAXDJA0S7ONDPC9M1YQ2" hidden="1">Query #REF!</definedName>
    <definedName name="BExVTHEZMHIDEO09WD3GLWJMUJI1" hidden="1">#REF!</definedName>
    <definedName name="BExVTOWR97KT4R2VXMY9FJ1BVM5J" hidden="1">#REF!</definedName>
    <definedName name="BExVTPNNPF86E79208RH53U03AO7" hidden="1">#REF!</definedName>
    <definedName name="BExVTTPE2S3VBJYLXKN3516VK5MS" hidden="1">#REF!</definedName>
    <definedName name="BExVTUR369HRJ9BZI39UCP0D5ZLG" hidden="1">#REF!</definedName>
    <definedName name="BExVTVSXVMX46HP9275M013LUMY1" hidden="1">#REF!</definedName>
    <definedName name="BExVTYHUQEK10631HF5ZTB6JMUQ1" hidden="1">#REF!</definedName>
    <definedName name="BExVUIFH74918YFIR1HAKZTJINZN" hidden="1">#REF!</definedName>
    <definedName name="BExVUJS369BNPZ0BDT0QTJ0A8TEL" hidden="1">#REF!</definedName>
    <definedName name="BExVUMBPN39ZV12I40JKPTEL3VQK" hidden="1">#REF!</definedName>
    <definedName name="BExVUXEYWG5JZ8QMXUIABS7L6RAW" hidden="1">#REF!</definedName>
    <definedName name="BExVUZYK3TZS4ACCRHKF4ZWSNGRV" hidden="1">#REF!</definedName>
    <definedName name="BExVV3EQ2G0NJVOFDBWRXNRF2845" hidden="1">#REF!</definedName>
    <definedName name="BExVV3K25TW4T1GYFZMH43AOOBH4" hidden="1">#REF!</definedName>
    <definedName name="BExVV5T0FOE2IIU6KG0FE5HQNT0Y" hidden="1">#REF!</definedName>
    <definedName name="BExVV8SXRELHNGERG24NIZ9Y7960" hidden="1">#REF!</definedName>
    <definedName name="BExVVB1SYOKUKKSB17UYZ9FBLAT1" hidden="1">#REF!</definedName>
    <definedName name="BExVVIJJ5RR14O4PW68A312Q3LC0" hidden="1">#REF!</definedName>
    <definedName name="BExVVK1HLBB40SN8SBKSA4UB1KBH" hidden="1">#REF!</definedName>
    <definedName name="BExVVZXBAGUZ0LLX2XMMR2HDQRX6" hidden="1">#REF!</definedName>
    <definedName name="BExVW1KS95R9AVQB4VFSRETAPZZV" hidden="1">#REF!</definedName>
    <definedName name="BExVW20UGHQR2TEHWHVD6HMMYFF5" hidden="1">#REF!</definedName>
    <definedName name="BExVWB0J7TGPRYBMH14FL7ESHVYL" hidden="1">#REF!</definedName>
    <definedName name="BExVWBWWJFPS8G2GSYMNQR3LQ8SY" hidden="1">#REF!</definedName>
    <definedName name="BExVWCD1KRDN1539DVMUPGX9W8LH" hidden="1">#REF!</definedName>
    <definedName name="BExVWXN2FO84GCKKN01A9QGO9J0G" hidden="1">#REF!</definedName>
    <definedName name="BExVXDZ0MY4R4PKEK2TGTJP7O2ZR" hidden="1">#REF!</definedName>
    <definedName name="BExVXEFA6OTTOEY3EL8VHP82YUF3" hidden="1">#REF!</definedName>
    <definedName name="BExVXUGGPH3YRGHX93JXED4NDKLR" hidden="1">#REF!</definedName>
    <definedName name="BExVXWK00U0VXXYQEHJSBLSZ9TJK" hidden="1">#REF!</definedName>
    <definedName name="BExVY6G27M92PCQA9OKZ9JME2C5U" hidden="1">#REF!</definedName>
    <definedName name="BExVY7SIM5CB64VXEI40ZKFVCHY1" hidden="1">#REF!</definedName>
    <definedName name="BExVYBZQ7PP0MV1PAG0TS7NWNGQP" localSheetId="3" hidden="1">Query #REF!</definedName>
    <definedName name="BExVYBZQ7PP0MV1PAG0TS7NWNGQP" hidden="1">Query #REF!</definedName>
    <definedName name="BExVYHJ8XV8E35B0UUR1UBSJGR32" hidden="1">#REF!</definedName>
    <definedName name="BExVYNJ0VDYIUEF39HS7ZZ6MZNO0" hidden="1">#REF!</definedName>
    <definedName name="BExVYPMLAUZ56O0Z6YNDFJ4KP6CA" hidden="1">#REF!</definedName>
    <definedName name="BExVYZD6WOZ19M2PWQ1L9EMAVLID" hidden="1">#REF!</definedName>
    <definedName name="BExVZ0PSC7DIECC3BVV0I7T1TAPX" hidden="1">#REF!</definedName>
    <definedName name="BExVZ6400Y9RERJ0YBM7F2O1H0ZI" hidden="1">#REF!</definedName>
    <definedName name="BExVZ8NNWZQIJHGMELY5U0N9WGIW" hidden="1">#REF!</definedName>
    <definedName name="BExVZCUP8RPI1ODM6MAX0FYR38D0" localSheetId="3" hidden="1">Query #REF!</definedName>
    <definedName name="BExVZCUP8RPI1ODM6MAX0FYR38D0" hidden="1">Query #REF!</definedName>
    <definedName name="BExVZOZQVFLYTZ5FSWEYHX6SCZ19" hidden="1">#REF!</definedName>
    <definedName name="BExVZXTZC9IASAAQLW6HXARHXWQ1" hidden="1">#REF!</definedName>
    <definedName name="BExVZXZ9PZI9GXI3HFEKJEB9ARWJ" hidden="1">#REF!</definedName>
    <definedName name="BExVZYA7VQD94AWEGCOCGDTMRRZJ" hidden="1">#REF!</definedName>
    <definedName name="BExVZZ13ZCU72B4XNJ0P6EPOIZNH" hidden="1">#REF!</definedName>
    <definedName name="BExW0OI8Q7YED7OUNTAX0KWWWHF2" hidden="1">#REF!</definedName>
    <definedName name="BExW1253HUFNTM0C64XVYYGM37ST" hidden="1">#REF!</definedName>
    <definedName name="BExW196PIREXQO1VJXTXQRAFS1ZX" hidden="1">#REF!</definedName>
    <definedName name="BExW1AOOX31512I65MIBTGWDGYMH" localSheetId="3" hidden="1">QKPI #REF!</definedName>
    <definedName name="BExW1AOOX31512I65MIBTGWDGYMH" hidden="1">QKPI #REF!</definedName>
    <definedName name="BExW1NV9SSZ3UWQVAKA0SIEE9ZAW" hidden="1">#REF!</definedName>
    <definedName name="BExW1PIOXZOD7IFVTY3IGJYCU6I0" localSheetId="3" hidden="1">QKPI #REF!</definedName>
    <definedName name="BExW1PIOXZOD7IFVTY3IGJYCU6I0" hidden="1">QKPI #REF!</definedName>
    <definedName name="BExW1PO038KZ968POM3ZFLFX7TZ0" hidden="1">#REF!</definedName>
    <definedName name="BExW1TF00WVQROBSTU9DKENQCP3T" hidden="1">#REF!</definedName>
    <definedName name="BExW1VIGUFZ3NYKF77NZE3LOHXNL" hidden="1">#REF!</definedName>
    <definedName name="BExW20LWDF2ZMT6EUTFWV8FJ09TE" hidden="1">#REF!</definedName>
    <definedName name="BExW2PBZAAD59EJ43MV3ZL5S5SS9" localSheetId="3" hidden="1">QKPI #REF!</definedName>
    <definedName name="BExW2PBZAAD59EJ43MV3ZL5S5SS9" hidden="1">QKPI #REF!</definedName>
    <definedName name="BExW2SMO1RA3TLHFJXZZTLSJETPX" hidden="1">#REF!</definedName>
    <definedName name="BExW3FEOHLTT37USJLPCJJEHU2G0" hidden="1">#REF!</definedName>
    <definedName name="BExW3T1JZOS5DMOZRGLIA5FHFAJU" hidden="1">#REF!</definedName>
    <definedName name="BExW3TCBU5HSX7ESM16OWJDLSHJD" hidden="1">#REF!</definedName>
    <definedName name="BExW3WN0L72VC0IPDPTKSIWNCILF" hidden="1">#REF!</definedName>
    <definedName name="BExW45HEBYVOVMVB8GV0RWQ9P6X7" hidden="1">#REF!</definedName>
    <definedName name="BExW46TUMVE7YSTRVJSW5CCDV3KI" hidden="1">#REF!</definedName>
    <definedName name="BExW4AQ4M3VRLSF3R5FNXPMPEKHT" hidden="1">#REF!</definedName>
    <definedName name="BExW4CZ3FSOJZSUFWPNXT2AQCGL5" localSheetId="3" hidden="1">_YB11 #REF!</definedName>
    <definedName name="BExW4CZ3FSOJZSUFWPNXT2AQCGL5" hidden="1">_YB11 #REF!</definedName>
    <definedName name="BExW4OT7G4PCKOY2ANWGE8ZV4BYM" hidden="1">#REF!</definedName>
    <definedName name="BExW4ZLMWTQT55AFWOPGL8LIRCW3" hidden="1">#REF!</definedName>
    <definedName name="BExW52008YFLW3O3EILN2FOG5SMX" localSheetId="3" hidden="1">QKPI #REF!</definedName>
    <definedName name="BExW52008YFLW3O3EILN2FOG5SMX" hidden="1">QKPI #REF!</definedName>
    <definedName name="BExW56SKZMUNU9N9L4CB50CEFTCB" hidden="1">#REF!</definedName>
    <definedName name="BExW57E76E4S69Z7TPYDTIG7GTGI" hidden="1">#REF!</definedName>
    <definedName name="BExW5DORXDB5UVUBCHLMJI9UHJVS" hidden="1">#REF!</definedName>
    <definedName name="BExW5O0XRC3NQKWNQ1AM83Z9F2MW" hidden="1">#REF!</definedName>
    <definedName name="BExW5P83PDBFS7CCHHBI9AHF2J8Q" hidden="1">#REF!</definedName>
    <definedName name="BExW6241HSIC6DEQJMGN708QF4Y8" hidden="1">#REF!</definedName>
    <definedName name="BExW62PMBH2ZL58XMWSG8L1CVLSS" hidden="1">#REF!</definedName>
    <definedName name="BExW635RBIOQLBY5ZYF839R183JR" hidden="1">#REF!</definedName>
    <definedName name="BExW67I9TKYW19X9KCTNDD1QQM13" hidden="1">#REF!</definedName>
    <definedName name="BExW6ASY8ODRUYMS3ODFV10RV71E" localSheetId="3" hidden="1">_YA01 #REF!</definedName>
    <definedName name="BExW6ASY8ODRUYMS3ODFV10RV71E" hidden="1">_YA01 #REF!</definedName>
    <definedName name="BExW6B92LGQCR441TD3B4WE1HF68" hidden="1">#REF!</definedName>
    <definedName name="BExW6C5G6GY9774BO3KCEJJ64QAS" hidden="1">#REF!</definedName>
    <definedName name="BExW6D1S9HSML9VU6RRY0QHFE49A" hidden="1">#REF!</definedName>
    <definedName name="BExW6NZP03QR6MHU96806SYMWHW6" hidden="1">#REF!</definedName>
    <definedName name="BExW7O3QQNDJPCYEMA3VF549XBAN" hidden="1">#REF!</definedName>
    <definedName name="BExW7OJUDTXPI8RG93GX82EPO52N" hidden="1">#REF!</definedName>
    <definedName name="BExW7TCMMGQNP5FZ81WALVGGKD92" hidden="1">#REF!</definedName>
    <definedName name="BExW7TN9YIFNJJX6ZDXRWBOXCWFE" localSheetId="3" hidden="1">Query #REF!</definedName>
    <definedName name="BExW7TN9YIFNJJX6ZDXRWBOXCWFE" hidden="1">Query #REF!</definedName>
    <definedName name="BExW7WN6OOUM6JZM8D3Q0U6BFYQH" hidden="1">#REF!</definedName>
    <definedName name="BExW7Z6ZSYRCKZCGOEE6Q86KC1T3" hidden="1">#REF!</definedName>
    <definedName name="BExW82C7AQHQA7856JTN2FSHKZ8Z" localSheetId="3" hidden="1">QKPI #REF!</definedName>
    <definedName name="BExW82C7AQHQA7856JTN2FSHKZ8Z" hidden="1">QKPI #REF!</definedName>
    <definedName name="BExW83ZMVA9CXVEPY4TI6J5W1DXU" hidden="1">#REF!</definedName>
    <definedName name="BExW8C88KVG98WGC7H3L4O9OC4XW" hidden="1">#REF!</definedName>
    <definedName name="BExW8ES2D1PD9YY88XRVU02QUPTJ" hidden="1">#REF!</definedName>
    <definedName name="BExW8W0C2V2QN1FS97WULL1P74NS" hidden="1">#REF!</definedName>
    <definedName name="BExW913TLYEJZWI3JEL1ZYBCOMLM" hidden="1">#REF!</definedName>
    <definedName name="BExW9205MMRSCY4JBS8J4FRH1IC4" hidden="1">#REF!</definedName>
    <definedName name="BExXL67812JDNPJLVHJVW3V7ONJY" localSheetId="3" hidden="1">_YB06 #REF!</definedName>
    <definedName name="BExXL67812JDNPJLVHJVW3V7ONJY" hidden="1">_YB06 #REF!</definedName>
    <definedName name="BExXM2VAI5K20FM5JBTN400LKS27" hidden="1">#REF!</definedName>
    <definedName name="BExXMAD1D52882TMF0DBVU1ABV2D" localSheetId="3" hidden="1">DP #REF!</definedName>
    <definedName name="BExXMAD1D52882TMF0DBVU1ABV2D" hidden="1">DP #REF!</definedName>
    <definedName name="BExXMF5NWW9OZEIDCNKKNQWDL020" hidden="1">#REF!</definedName>
    <definedName name="BExXMN8Z7P1OK43EULLWDX8B3PW1" hidden="1">#REF!</definedName>
    <definedName name="BExXMQJNPS0ALL3NIV5M0KXGALMO" hidden="1">#REF!</definedName>
    <definedName name="BExXN0QJEZDSP31UF88X73IOAG6X" hidden="1">#REF!</definedName>
    <definedName name="BExXN4BZXAHEC2UNVSNKJV2XD1BZ" hidden="1">#REF!</definedName>
    <definedName name="BExXN5J5WE4GFDYFG6M58F2IIWUW" hidden="1">#REF!</definedName>
    <definedName name="BExXNCVFE1R8WLLEYHDL6ZUP7JMY" hidden="1">#REF!</definedName>
    <definedName name="BExXNI9N381J8DBV1F880LZEIWOY" localSheetId="3" hidden="1">QKPI #REF!</definedName>
    <definedName name="BExXNI9N381J8DBV1F880LZEIWOY" hidden="1">QKPI #REF!</definedName>
    <definedName name="BExXNM0KUDNACD2LKDTVFNNBFOF7" hidden="1">#REF!</definedName>
    <definedName name="BExXNMWXUWGQ5SRHAIDY46RM4WRJ" hidden="1">#REF!</definedName>
    <definedName name="BExXNPM16HZ4SH660AW4G77TT9YB" hidden="1">#REF!</definedName>
    <definedName name="BExXNRK4O7WA9VJQRLMZFNH8MBQP" localSheetId="3" hidden="1">QKPI #REF!</definedName>
    <definedName name="BExXNRK4O7WA9VJQRLMZFNH8MBQP" hidden="1">QKPI #REF!</definedName>
    <definedName name="BExXNVWOII6S6S6W7PT1VGAEUYGX" hidden="1">#REF!</definedName>
    <definedName name="BExXNX3TF76CT4JRVCNU31YRIUZY" localSheetId="3" hidden="1">QKPI #REF!</definedName>
    <definedName name="BExXNX3TF76CT4JRVCNU31YRIUZY" hidden="1">QKPI #REF!</definedName>
    <definedName name="BExXNXUP5DQL2528TYJWI28HX3H4" hidden="1">#REF!</definedName>
    <definedName name="BExXO278XQVMNGE0P3D4V01569SG" hidden="1">#REF!</definedName>
    <definedName name="BExXO2CKEIKBUC1CXQX5LJ4HLI95" localSheetId="3" hidden="1">QKPI #REF!</definedName>
    <definedName name="BExXO2CKEIKBUC1CXQX5LJ4HLI95" hidden="1">QKPI #REF!</definedName>
    <definedName name="BExXO3E7OPGBSXX6XN3BXZDOA182" hidden="1">#REF!</definedName>
    <definedName name="BExXO5HRAB323X87984GWIS2F04V" hidden="1">#REF!</definedName>
    <definedName name="BExXO5N7HLPANX4JOWGCWPJ7TB58" hidden="1">#REF!</definedName>
    <definedName name="BExXOCU6B2ZSOCQZPFVKFYJR6ZLF" localSheetId="3" hidden="1">Query #REF!</definedName>
    <definedName name="BExXOCU6B2ZSOCQZPFVKFYJR6ZLF" hidden="1">Query #REF!</definedName>
    <definedName name="BExXODFQ12U8CBWJZFWP89GIKVYT" hidden="1">#REF!</definedName>
    <definedName name="BExXOFZJ4PQ642INN674LBHGMMOI" hidden="1">#REF!</definedName>
    <definedName name="BExXOVKFOTLKCQCIPQJ239PBGIHT" hidden="1">#REF!</definedName>
    <definedName name="BExXP19GWMOVNS3RTEOE1EUK2X5W" hidden="1">#REF!</definedName>
    <definedName name="BExXP1EX99D7YU4KNU66Q6APE1LM" hidden="1">#REF!</definedName>
    <definedName name="BExXP5RAQRQ5AU0XLO8OVZ511QAB" hidden="1">#REF!</definedName>
    <definedName name="BExXP6CVSCHPROG41I1XJ6G0KJLP" hidden="1">#REF!</definedName>
    <definedName name="BExXPHQWT6LFKH5KUJ3XCA8H7T40" localSheetId="3" hidden="1">Query #REF!</definedName>
    <definedName name="BExXPHQWT6LFKH5KUJ3XCA8H7T40" hidden="1">Query #REF!</definedName>
    <definedName name="BExXPISR0MT6ESIL46JEW71NIWKD" hidden="1">#REF!</definedName>
    <definedName name="BExXPO1H164JQBOI6J246EIWTGJH" hidden="1">#REF!</definedName>
    <definedName name="BExXPTFPC3WZFWRAQ9CWYMQYO045" hidden="1">#REF!</definedName>
    <definedName name="BExXQ0MN41A9R2ENMK1TL09UWH1H" hidden="1">#REF!</definedName>
    <definedName name="BExXQ1TTALR1NUGSBZIL3R0NQTSW" hidden="1">#REF!</definedName>
    <definedName name="BExXQ9GZGVMZUFELWKO3JM5UW1A6" hidden="1">#REF!</definedName>
    <definedName name="BExXQA7VF61NYMVE5VX1HOOE2WS0" hidden="1">#REF!</definedName>
    <definedName name="BExXQAO4WCL08OJ99DFQXP838OBE" hidden="1">#REF!</definedName>
    <definedName name="BExXQOLTCKZYEFWM5CJ5KYWFGRWE" hidden="1">#REF!</definedName>
    <definedName name="BExXR5U40JCPT34SYH3V73BDYW7X" localSheetId="3" hidden="1">Query #REF!</definedName>
    <definedName name="BExXR5U40JCPT34SYH3V73BDYW7X" hidden="1">Query #REF!</definedName>
    <definedName name="BExXRAS8IJ6HFNH40KUS4W7K2Q0D" hidden="1">#REF!</definedName>
    <definedName name="BExXRDXFR4KDKPIW9XL4MY2V28TT" hidden="1">#REF!</definedName>
    <definedName name="BExXRSM4FJ7A0KIJDT5Y4GF37QHS" hidden="1">#REF!</definedName>
    <definedName name="BExXRWIDFCJXJDNLLNLVXW3RDU1N" hidden="1">#REF!</definedName>
    <definedName name="BExXS097APCMMTTYJNWI4AM99AZV" hidden="1">#REF!</definedName>
    <definedName name="BExXS98VITQ9PKRJQP4R3U5BK0WX" localSheetId="3" hidden="1">Query #REF!</definedName>
    <definedName name="BExXS98VITQ9PKRJQP4R3U5BK0WX" hidden="1">Query #REF!</definedName>
    <definedName name="BExXS9UFLU6BBR0120ATSQZKPT8J" hidden="1">#REF!</definedName>
    <definedName name="BExXSCUCK4H1839M3F1ZB0RZZ1EH" hidden="1">#REF!</definedName>
    <definedName name="BExXSQH8QBESHEI6WDRTQLDIQ1ML" localSheetId="3" hidden="1">_YA01 #REF!</definedName>
    <definedName name="BExXSQH8QBESHEI6WDRTQLDIQ1ML" hidden="1">_YA01 #REF!</definedName>
    <definedName name="BExXT0O2HJC6UPQEJB9SALZ2KDTE" hidden="1">#REF!</definedName>
    <definedName name="BExXT3IO1EEV9T6QUO9B6ZJCC2L3" hidden="1">#REF!</definedName>
    <definedName name="BExXTE5LCE0I53P09XGXHG8OAKZ0" hidden="1">#REF!</definedName>
    <definedName name="BExXTYU2WGD3LZVRS2AYJJIRYHL8" localSheetId="3" hidden="1">QKPI #REF!</definedName>
    <definedName name="BExXTYU2WGD3LZVRS2AYJJIRYHL8" hidden="1">QKPI #REF!</definedName>
    <definedName name="BExXTYZDN6XZXW5BELF279OPLWHP" hidden="1">#REF!</definedName>
    <definedName name="BExXU0C0HP5GAI7JPBNFHD3BQTTF" hidden="1">#REF!</definedName>
    <definedName name="BExXU2VNV6D0QHS80N4DDD3U4FC1" hidden="1">#REF!</definedName>
    <definedName name="BExXUTJXTM85R8OJY8WNV2WGRHBR" hidden="1">#REF!</definedName>
    <definedName name="BExXV2P3C2VAKSQT9LTEWG9TPA6W" hidden="1">#REF!</definedName>
    <definedName name="BExXV6W0TJUB2PJMIFFNEMC3VOJ6" hidden="1">#REF!</definedName>
    <definedName name="BExXVBU3BUPSNG3ABH9CXQCRU57R" hidden="1">#REF!</definedName>
    <definedName name="BExXVCVS0M28QTBG1MLAT6T554PJ" hidden="1">#REF!</definedName>
    <definedName name="BExXVJHCX10BMD9ZBAW5IUDOTSB2" hidden="1">#REF!</definedName>
    <definedName name="BExXW2YGRPRS11OB46I4ORSXGBNR" hidden="1">#REF!</definedName>
    <definedName name="BExXW6JYYMAWO6DIW5JSRN8L93PN" hidden="1">#REF!</definedName>
    <definedName name="BExXWCZUO0LE3KA2C3ZWD7JVEYAM" hidden="1">#REF!</definedName>
    <definedName name="BExXWFUF0ZQXG0QMROO5UZES8203" hidden="1">#REF!</definedName>
    <definedName name="BExXWN6WHOBTHQSCR3OGHL4DKNF4" hidden="1">#REF!</definedName>
    <definedName name="BExXWUOLGLHR6NX2OECLATT4KI45" hidden="1">#REF!</definedName>
    <definedName name="BExXX3DC3VR3JK07BSKAE44QAB16" localSheetId="3" hidden="1">_YA01 #REF!</definedName>
    <definedName name="BExXX3DC3VR3JK07BSKAE44QAB16" hidden="1">_YA01 #REF!</definedName>
    <definedName name="BExXX3YY8XLT1QKAM7F5N7Y2NKE2" hidden="1">#REF!</definedName>
    <definedName name="BExXX74A8WMP06LH6E2O11Z72MCA" hidden="1">#REF!</definedName>
    <definedName name="BExXXA46MA5R19U8NVQ6AKLX1GXL" hidden="1">#REF!</definedName>
    <definedName name="BExXXBWYA06AMBQ18VRC4AHB6EX1" hidden="1">#REF!</definedName>
    <definedName name="BExXXKLTRVBGMP4JZKUR7FH42OK6" hidden="1">#REF!</definedName>
    <definedName name="BExXXOCLES9851ZXDWRKNFW7K8RS" hidden="1">#REF!</definedName>
    <definedName name="BExXXQATVKD2H25TMK8VBDU4ATLE" localSheetId="3" hidden="1">Query #REF!</definedName>
    <definedName name="BExXXQATVKD2H25TMK8VBDU4ATLE" hidden="1">Query #REF!</definedName>
    <definedName name="BExXXRHZDDT9F1BYNHD9D672UDZF" hidden="1">#REF!</definedName>
    <definedName name="BExXXXN40H9EVXJ925BME126EL1S" hidden="1">#REF!</definedName>
    <definedName name="BExXXYORDNOVCCH7QVLC8YEQHN0Z" hidden="1">#REF!</definedName>
    <definedName name="BExXYK9MK81FNPGRLZYOMC3KO8BN" hidden="1">#REF!</definedName>
    <definedName name="BExXYUWQF8PCNDMLWW4IHYP49YQC" localSheetId="3" hidden="1">_YA01 #REF!</definedName>
    <definedName name="BExXYUWQF8PCNDMLWW4IHYP49YQC" hidden="1">_YA01 #REF!</definedName>
    <definedName name="BExXYZJX4AJ1DXIQ3DHEOB05IHZF" hidden="1">#REF!</definedName>
    <definedName name="BExXZEJE3LBKF5MCEY356ZARCJFH" hidden="1">#REF!</definedName>
    <definedName name="BExXZIFOI6U57Q5RGJ37YISMAOGQ" hidden="1">#REF!</definedName>
    <definedName name="BExXZQOGHKF8HR75F14JSG462C5M" hidden="1">#REF!</definedName>
    <definedName name="BExXZZINDN20D1WTH2NF47YNPQCC" hidden="1">#REF!</definedName>
    <definedName name="BExY027S9S3ZUZUYJANV4EC091KZ" hidden="1">#REF!</definedName>
    <definedName name="BExY0KSQEFKN4L5UWK2MRC9880FR" hidden="1">#REF!</definedName>
    <definedName name="BExY0O8QMGJ5W69UWG5ZZR6DKFK1" hidden="1">#REF!</definedName>
    <definedName name="BExY0SAI57KS0XRAAC7BXSZSFEP9" hidden="1">#REF!</definedName>
    <definedName name="BExY12XE222BGX659E6QT1HYAF3Z" hidden="1">#REF!</definedName>
    <definedName name="BExY14KUJ92ONPWAT17925YFL1BP" hidden="1">#REF!</definedName>
    <definedName name="BExY15BS6KD6YVZBDUCW3SS9FBE0" hidden="1">#REF!</definedName>
    <definedName name="BExY15XBNLMNA0CZE5XH998FQ61X" localSheetId="3" hidden="1">Query #REF!</definedName>
    <definedName name="BExY15XBNLMNA0CZE5XH998FQ61X" hidden="1">Query #REF!</definedName>
    <definedName name="BExY16TPBLDI55U7R1L3WMYHH2KT" hidden="1">#REF!</definedName>
    <definedName name="BExY180VWVUSGADIY1N9QQNTJJ15" localSheetId="3" hidden="1">Query #REF!</definedName>
    <definedName name="BExY180VWVUSGADIY1N9QQNTJJ15" hidden="1">Query #REF!</definedName>
    <definedName name="BExY1AF64561M5X4P4FJZCN94D5E" hidden="1">#REF!</definedName>
    <definedName name="BExY1FD4DUD4M9UETOXBQ7IQSCMT" hidden="1">#REF!</definedName>
    <definedName name="BExY1NGGAMAFS1HJBKFOC8RVNGXP" hidden="1">#REF!</definedName>
    <definedName name="BExY1TWJ38ZQUJV12HJB7G240N2P" hidden="1">#REF!</definedName>
    <definedName name="BExY1YEDC3ZXRTTVJE3TQKMG9YV2" hidden="1">#REF!</definedName>
    <definedName name="BExY20HV9BTZVS65T8HRC6YVPRTN" hidden="1">#REF!</definedName>
    <definedName name="BExY21UCQOW280KZW1L5WI5055SJ" localSheetId="3" hidden="1">Query #REF!</definedName>
    <definedName name="BExY21UCQOW280KZW1L5WI5055SJ" hidden="1">Query #REF!</definedName>
    <definedName name="BExY21ZT9ANLUJMF9AF7JBTAHU65" hidden="1">#REF!</definedName>
    <definedName name="BExY2AU1UTHP6AJMUOHQ2OD24SN7" hidden="1">#REF!</definedName>
    <definedName name="BExY2CS8S4GQLYUX7HZQDIMBDI50" hidden="1">#REF!</definedName>
    <definedName name="BExY2F12SQ6LZ32T4IRAWWT1QECB" hidden="1">#REF!</definedName>
    <definedName name="BExY2F13LJ6ZGHP59E9DAKGT2H57" hidden="1">#REF!</definedName>
    <definedName name="BExY3J1FT8GTXBUBBBIKJ17NILII" hidden="1">#REF!</definedName>
    <definedName name="BExY3TOEJN9W2AD0TGD0USEVWPJO" hidden="1">#REF!</definedName>
    <definedName name="BExY3XVKX99TSTF0YBMOSR8CSZS0" hidden="1">#REF!</definedName>
    <definedName name="BExY3ZDEELDPNUH2RRVE1PZ4H7LB" hidden="1">#REF!</definedName>
    <definedName name="BExY4LULC0R1GT1K550JWOGYKVWI" hidden="1">#REF!</definedName>
    <definedName name="BExY508HCXYUML88OQ10Y21G2CO0" hidden="1">#REF!</definedName>
    <definedName name="BExY52HJ2YXGWXE4CN2FCMKKTTUR" localSheetId="3" hidden="1">QKPI #REF!</definedName>
    <definedName name="BExY52HJ2YXGWXE4CN2FCMKKTTUR" hidden="1">QKPI #REF!</definedName>
    <definedName name="BExY5D4G3PUK2S9708YFZUWE8J0B" hidden="1">#REF!</definedName>
    <definedName name="BExY5G4BR9Y4B57IV7LZLUPIBZXX" hidden="1">#REF!</definedName>
    <definedName name="BExY5ITFY0W58XDXZP9EHY50PVNT" hidden="1">#REF!</definedName>
    <definedName name="BExY5KBEYH7B74O6WJQYVD1ZOZE4" hidden="1">#REF!</definedName>
    <definedName name="BExY5Q0F686O6U7U6FGY9H3SWJ4M" localSheetId="3" hidden="1">QCheck #REF!</definedName>
    <definedName name="BExY5Q0F686O6U7U6FGY9H3SWJ4M" hidden="1">QCheck #REF!</definedName>
    <definedName name="BExY69HQH5VAX7WUY30M9BBO8BLJ" hidden="1">#REF!</definedName>
    <definedName name="BExY6A3BK8ET8E6UA4AWDFQX8ZU0" hidden="1">#REF!</definedName>
    <definedName name="BExY6BAGNBUSPR5ZFFAJ93YNPQA2" hidden="1">#REF!</definedName>
    <definedName name="BExY6C6UOZ8UPUP22KKYJVG8TJIH" hidden="1">#REF!</definedName>
    <definedName name="BExY6CSFI0SDSVHR805NDKGL49XB" hidden="1">#REF!</definedName>
    <definedName name="BExZI8W5GWMNNPSSWKWQCWGU2NEI" hidden="1">#REF!</definedName>
    <definedName name="BExZIQ9YSA06LF8SZPWRI2QR9GUB" hidden="1">#REF!</definedName>
    <definedName name="BExZIZ9N4VP2OWPH0NET8KB315FL" hidden="1">#REF!</definedName>
    <definedName name="BExZJ8UXJZ143MM8IRON57E5QYW6" hidden="1">#REF!</definedName>
    <definedName name="BExZJFG9OZHBWCUWUD0ACSGE8PEB" hidden="1">#REF!</definedName>
    <definedName name="BExZJQUB5TNZQJK54KRDX0FU4LKZ" hidden="1">#REF!</definedName>
    <definedName name="BExZJTJE8VWVD19ZU3NVIOS9K8C0" hidden="1">#REF!</definedName>
    <definedName name="BExZJYHC72AC8D53T0P6YWJVM8M1" hidden="1">#REF!</definedName>
    <definedName name="BExZK2DNV3YU1FRY4XB4584PFEJX" hidden="1">#REF!</definedName>
    <definedName name="BExZK8Z00RFUMB863LWK45DAZ7TJ" hidden="1">#REF!</definedName>
    <definedName name="BExZKKT9OWOKK7QB7R8BMDATZ6DH" hidden="1">#REF!</definedName>
    <definedName name="BExZKNNP1BX4RD1GI2TPRCKGSZ2L" hidden="1">#REF!</definedName>
    <definedName name="BExZKR961ZJR6QHH5IK0S193POU4" hidden="1">#REF!</definedName>
    <definedName name="BExZL3E8EW8I9XUHR3GE94QISTY8" hidden="1">#REF!</definedName>
    <definedName name="BExZL3P0JTE174BCA1FMKBSW5YZU" hidden="1">#REF!</definedName>
    <definedName name="BExZL45494RK3TANL36LF2BHK7MU" localSheetId="3" hidden="1">_YA01 #REF!</definedName>
    <definedName name="BExZL45494RK3TANL36LF2BHK7MU" hidden="1">_YA01 #REF!</definedName>
    <definedName name="BExZL98JYI92ZG9GOTXSZHEOWHI6" localSheetId="3" hidden="1">QKPI #REF!</definedName>
    <definedName name="BExZL98JYI92ZG9GOTXSZHEOWHI6" hidden="1">QKPI #REF!</definedName>
    <definedName name="BExZLBMTR1JIIBF854H7ZTRT6VXY" hidden="1">#REF!</definedName>
    <definedName name="BExZLFOL0MAJQN8MV9A8UGV5KD2A" hidden="1">#REF!</definedName>
    <definedName name="BExZLH6DQFIDYN9J53TTVUJQKV1X" hidden="1">#REF!</definedName>
    <definedName name="BExZLXYL9RLA1V2047ZZ1S47UYGO" hidden="1">#REF!</definedName>
    <definedName name="BExZM2WKLVEUOE3LKBHZ2Z42SSFJ" hidden="1">#REF!</definedName>
    <definedName name="BExZMGJJLVWTD5H8DNGBNMETKLTZ" hidden="1">#REF!</definedName>
    <definedName name="BExZMU6L3XWEA999GI9ON362B6MN" hidden="1">#REF!</definedName>
    <definedName name="BExZN1OAY86S15F3LC4U66DHCSIG" hidden="1">#REF!</definedName>
    <definedName name="BExZNCB9E6LFI1PKGXT9B4XT3OKY" localSheetId="3" hidden="1">DP #REF!</definedName>
    <definedName name="BExZNCB9E6LFI1PKGXT9B4XT3OKY" hidden="1">DP #REF!</definedName>
    <definedName name="BExZNPY4I6KFE0LE3LWBF5QYDWNH" hidden="1">#REF!</definedName>
    <definedName name="BExZNQJOJ9WDFYPMOOLARI0ONX9E" localSheetId="3" hidden="1">Query #REF!</definedName>
    <definedName name="BExZNQJOJ9WDFYPMOOLARI0ONX9E" hidden="1">Query #REF!</definedName>
    <definedName name="BExZNSCFDC6RJQCKUPZQ4EBPPS74" hidden="1">#REF!</definedName>
    <definedName name="BExZO3A7FZDFI197VMXNMG75NPBB" hidden="1">#REF!</definedName>
    <definedName name="BExZO52XN7S9GTCIWR9ZB7JHXN52" hidden="1">#REF!</definedName>
    <definedName name="BExZO8ZCGTFS92QANX7TY671L34K" hidden="1">#REF!</definedName>
    <definedName name="BExZOBZ3K91Q21XAPYD69GVV3D50" hidden="1">#REF!</definedName>
    <definedName name="BExZOJRSV0GC5PEEAGYU79TS94RO" hidden="1">#REF!</definedName>
    <definedName name="BExZOMBEW9MO8D04D2EO9P55QGPR" hidden="1">#REF!</definedName>
    <definedName name="BExZOPB9VPR6EMXPRGXZQLTTHDPC" hidden="1">#REF!</definedName>
    <definedName name="BExZP2Y60EXWBV70U4MPN92GFXN5" hidden="1">#REF!</definedName>
    <definedName name="BExZP6JME8PL3KR7G3AG6UBRGAH0" hidden="1">#REF!</definedName>
    <definedName name="BExZP8HU5F1MTMZ66U5K5YFWCHM7" hidden="1">#REF!</definedName>
    <definedName name="BExZPIDQ4JP7GQUSGU26ZS72JBU8" localSheetId="3" hidden="1">_KF01 #REF!</definedName>
    <definedName name="BExZPIDQ4JP7GQUSGU26ZS72JBU8" hidden="1">_KF01 #REF!</definedName>
    <definedName name="BExZPITZWLYB9RBY64J1BKKOQTOJ" hidden="1">#REF!</definedName>
    <definedName name="BExZQ7EPTNT7EZ9OTF35OJQ6R8CC" hidden="1">#REF!</definedName>
    <definedName name="BExZQ7K1J6FR4OKE5NC10ORXIW41" hidden="1">#REF!</definedName>
    <definedName name="BExZQ9I9MQ9HB876KI15UF3QSI03" hidden="1">#REF!</definedName>
    <definedName name="BExZQC78SHXVWXJLPN4B4N7NQ5E0" hidden="1">#REF!</definedName>
    <definedName name="BExZQJJOE6K8TW51BDV0RNOM0UI5" hidden="1">#REF!</definedName>
    <definedName name="BExZQPE4UXMJDTMB31FDF5D6I19Q" hidden="1">#REF!</definedName>
    <definedName name="BExZQQ50A0PRH2JV69AO50VORT65" localSheetId="3" hidden="1">QKPI #REF!</definedName>
    <definedName name="BExZQQ50A0PRH2JV69AO50VORT65" hidden="1">QKPI #REF!</definedName>
    <definedName name="BExZQTAD5CX7W3SBCK9WI7B4BXZH" hidden="1">#REF!</definedName>
    <definedName name="BExZQYZEZSAANLY5LZZVG6WUWO49" hidden="1">#REF!</definedName>
    <definedName name="BExZR188BMZ1WWLTREG2ZUY9XMB0" hidden="1">#REF!</definedName>
    <definedName name="BExZR4ODUVWWSRBQKVB2U2YDPVJK" hidden="1">#REF!</definedName>
    <definedName name="BExZRKUV1F6QZFK8H9EIBTGTP7PE" hidden="1">#REF!</definedName>
    <definedName name="BExZRLGHCVHDKTHY2SBEBP0SBCIO" hidden="1">#REF!</definedName>
    <definedName name="BExZRW8VMGV3TZ2E3RSPQ4S1KMM6" hidden="1">#REF!</definedName>
    <definedName name="BExZS4C7Y6JCUY5XN5LWUNRZOXTD" hidden="1">#REF!</definedName>
    <definedName name="BExZS8J9PYL085HATSVMKU5GP36Y" hidden="1">#REF!</definedName>
    <definedName name="BExZS9VQPTTTGY0F9MOET2CVWXF8" hidden="1">#REF!</definedName>
    <definedName name="BExZSB2VMITV3R5L84EK2F8ZENC8" hidden="1">#REF!</definedName>
    <definedName name="BExZSF4MYNQHQR56DTPEDQBQJA5M" hidden="1">#REF!</definedName>
    <definedName name="BExZSG10HBHVY2KXL0FYBH6EALC3" hidden="1">#REF!</definedName>
    <definedName name="BExZSJBO1OTJZPVL35F2TRAH460W" hidden="1">#REF!</definedName>
    <definedName name="BExZSOPX0Y7PQEZER1DGJLHF52SS" hidden="1">#REF!</definedName>
    <definedName name="BExZT33TVBHQIZH3NC1ULZBJ7TJ1" hidden="1">#REF!</definedName>
    <definedName name="BExZT9EETZ6D552IEW6IDZCHO4ZY" hidden="1">#REF!</definedName>
    <definedName name="BExZTEXWHAQFEKQKXFMZHLCT6CBL" hidden="1">#REF!</definedName>
    <definedName name="BExZTFE1H4LVSW0JQLOUHB28M4LW" hidden="1">#REF!</definedName>
    <definedName name="BExZTIU6P2H2UWJBRJNQB6WF1BON" hidden="1">#REF!</definedName>
    <definedName name="BExZTPFKJQS3UX169371MLPP9258" hidden="1">#REF!</definedName>
    <definedName name="BExZU7PPVD6MEEJJZWYAI5G29DVF" hidden="1">#REF!</definedName>
    <definedName name="BExZUII58NAJ6LZ5M6I6TEQNGIJ0" hidden="1">#REF!</definedName>
    <definedName name="BExZUJ91RUHGFN7380UPWCV2E8ET" hidden="1">#REF!</definedName>
    <definedName name="BExZULY50130CCS8SHWCXGQ4OP1T" localSheetId="3" hidden="1">Query #REF!</definedName>
    <definedName name="BExZULY50130CCS8SHWCXGQ4OP1T" hidden="1">Query #REF!</definedName>
    <definedName name="BExZUQAIH43UOVWHQCW6R5WV1BRY" hidden="1">#REF!</definedName>
    <definedName name="BExZUQFZX7R7H5OX65DD3PW5TK4L" hidden="1">#REF!</definedName>
    <definedName name="BExZUVZIFWG7PU0YJUUHJ7GM2FG0" localSheetId="3" hidden="1">QKPI #REF!</definedName>
    <definedName name="BExZUVZIFWG7PU0YJUUHJ7GM2FG0" hidden="1">QKPI #REF!</definedName>
    <definedName name="BExZUXXQV6SBHZZF4PS9DOLSA3ND" localSheetId="3" hidden="1">Query #REF!</definedName>
    <definedName name="BExZUXXQV6SBHZZF4PS9DOLSA3ND" hidden="1">Query #REF!</definedName>
    <definedName name="BExZV3XIYGW6L6XLBPE0LGRXATID" hidden="1">#REF!</definedName>
    <definedName name="BExZV4DMNS9PHVVI0VZXA052FIBI" hidden="1">#REF!</definedName>
    <definedName name="BExZV5VKKRJQPQ04LBIIAUYQBXMJ" hidden="1">#REF!</definedName>
    <definedName name="BExZV6HBMBDECEXFAPIYLLGV0Z0Z" hidden="1">#REF!</definedName>
    <definedName name="BExZV6MN8UFZSI7UBO640QHDTXKJ" hidden="1">#REF!</definedName>
    <definedName name="BExZVHKE0Z4XULXXXGEO9ESWT8JF" hidden="1">#REF!</definedName>
    <definedName name="BExZVKV1QGSABXCGK0S45FDU29SY" hidden="1">#REF!</definedName>
    <definedName name="BExZVNPMZNTUAB3ZR4J6ANKOV4IA" localSheetId="3" hidden="1">DP #REF!</definedName>
    <definedName name="BExZVNPMZNTUAB3ZR4J6ANKOV4IA" hidden="1">DP #REF!</definedName>
    <definedName name="BExZW0WDBIGGMSC15KF9YH1LLWCX" hidden="1">#REF!</definedName>
    <definedName name="BExZWAS9CK7Y5IDHFV8URIVICKD0" hidden="1">#REF!</definedName>
    <definedName name="BExZWJ6KV5B7LGWNNM0MQWXEN96P" hidden="1">#REF!</definedName>
    <definedName name="BExZWO9U8DWXB5GVT74K0Z2WBT3A" hidden="1">#REF!</definedName>
    <definedName name="BExZWYGOHJ3CO8Q9AI0ZW2R1JLEX" hidden="1">#REF!</definedName>
    <definedName name="BExZX5CUCN8I9B6U2QLHWA8JLHSG" hidden="1">#REF!</definedName>
    <definedName name="BExZX7R5B7QNBCJ8ZVGTDC3UIK7G" hidden="1">#REF!</definedName>
    <definedName name="BExZX8YA1IAEY4TL26YUO6YOXD3M" hidden="1">#REF!</definedName>
    <definedName name="BExZX9JWGL59LQLZFKMJO2IMOLHX" hidden="1">#REF!</definedName>
    <definedName name="BExZXK707Z8HZ50W9LLFPRLWN5Q7" hidden="1">#REF!</definedName>
    <definedName name="BExZXNC7U0K00HRB4GN5998P63LG" hidden="1">#REF!</definedName>
    <definedName name="BExZXVQBRVCWZVHPEGXDCX22SNKV" hidden="1">#REF!</definedName>
    <definedName name="BExZY7PWWCWWOR4GYK9T3RBXVZ2B" hidden="1">#REF!</definedName>
    <definedName name="BExZYBM6LCOO9J208IJ1WO61COOV" hidden="1">#REF!</definedName>
    <definedName name="BExZYCD2N1ZWBFLYVO66Z93L6ELZ" localSheetId="3" hidden="1">Query #REF!</definedName>
    <definedName name="BExZYCD2N1ZWBFLYVO66Z93L6ELZ" hidden="1">Query #REF!</definedName>
    <definedName name="BExZYERDQBHZ4M9UKDM39DONL7H3" hidden="1">#REF!</definedName>
    <definedName name="BExZYFYIIJ73QOSQGGCNRXN2ZE45" hidden="1">#REF!</definedName>
    <definedName name="BExZYGES2WXTG85VWJ65LKTVD8N9" hidden="1">#REF!</definedName>
    <definedName name="BExZYYOZ5HB3IOLYVZOVQB74UN24" hidden="1">#REF!</definedName>
    <definedName name="BExZZ2QKEVBMVOGDR3YB0PAKRBQU" hidden="1">#REF!</definedName>
    <definedName name="BExZZ8FJ81TLK8P8XDORRAQ609ZU" localSheetId="3" hidden="1">QKPI #REF!</definedName>
    <definedName name="BExZZ8FJ81TLK8P8XDORRAQ609ZU" hidden="1">QKPI #REF!</definedName>
    <definedName name="BExZZAOIT1VAWQCTV5ISAFQ4HELD" hidden="1">#REF!</definedName>
    <definedName name="BExZZDZ2I9EXRSZ4NLDT0JL5QZOP" hidden="1">#REF!</definedName>
    <definedName name="BExZZF0XKNDRCQVO00G1YXDAGLVT" localSheetId="3" hidden="1">Query #REF!</definedName>
    <definedName name="BExZZF0XKNDRCQVO00G1YXDAGLVT" hidden="1">Query #REF!</definedName>
    <definedName name="BExZZFXARSCYRLVLXCBJFAVPMJEE" hidden="1">#REF!</definedName>
    <definedName name="BExZZI6ASKS55YROJLQO9XW9YGH0" hidden="1">#REF!</definedName>
    <definedName name="BExZZPO1DQYB7P3CCXSDK97SMYMJ" hidden="1">#REF!</definedName>
    <definedName name="BExZZUWSS00TJ419GWG8C3T6IWS8" localSheetId="3" hidden="1">Query #REF!</definedName>
    <definedName name="BExZZUWSS00TJ419GWG8C3T6IWS8" hidden="1">Query #REF!</definedName>
    <definedName name="BExZZYCSCZD8FPZ92WX70YAE0XOK" hidden="1">#REF!</definedName>
    <definedName name="bfnre" hidden="1">#REF!</definedName>
    <definedName name="BG_Del" hidden="1">15</definedName>
    <definedName name="BG_Ins" hidden="1">4</definedName>
    <definedName name="BG_Mod" hidden="1">6</definedName>
    <definedName name="bgr" hidden="1">#REF!</definedName>
    <definedName name="bill">#REF!</definedName>
    <definedName name="BilledAmount_ColumnNo">#REF!</definedName>
    <definedName name="BilledHours_ColumnNo">#REF!</definedName>
    <definedName name="BlackWhiteNote">#REF!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1" hidden="1">#REF!</definedName>
    <definedName name="BLPH1002" hidden="1">#REF!</definedName>
    <definedName name="BLPH1003" hidden="1">#REF!</definedName>
    <definedName name="BLPH11" hidden="1">#REF!</definedName>
    <definedName name="BLPH12" hidden="1">#REF!</definedName>
    <definedName name="BLPH13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20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8" hidden="1">#REF!</definedName>
    <definedName name="BLPH9" hidden="1">#REF!</definedName>
    <definedName name="BLUE" localSheetId="3" hidden="1">{#N/A,#N/A,FALSE,"Barranca"}</definedName>
    <definedName name="BLUE" hidden="1">{#N/A,#N/A,FALSE,"Barranca"}</definedName>
    <definedName name="BLUE1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NE_MESSAGES_HIDDEN" hidden="1">#REF!</definedName>
    <definedName name="bnm" localSheetId="3" hidden="1">{#N/A,#N/A,FALSE,"REPORT"}</definedName>
    <definedName name="bnm" hidden="1">{#N/A,#N/A,FALSE,"REPORT"}</definedName>
    <definedName name="boerse" localSheetId="3" hidden="1">{"standalone1",#N/A,FALSE,"DCFBase";"standalone2",#N/A,FALSE,"DCFBase"}</definedName>
    <definedName name="boerse" hidden="1">{"standalone1",#N/A,FALSE,"DCFBase";"standalone2",#N/A,FALSE,"DCFBase"}</definedName>
    <definedName name="boo">#REF!</definedName>
    <definedName name="BPS">#REF!</definedName>
    <definedName name="Brightline" localSheetId="3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localSheetId="3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localSheetId="3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EC">#REF!</definedName>
    <definedName name="BRUSAVendor">#REF!</definedName>
    <definedName name="BRVendor">#REF!</definedName>
    <definedName name="BRWREC">#REF!</definedName>
    <definedName name="BRWVendor">#REF!</definedName>
    <definedName name="BS_Accounts">#REF!</definedName>
    <definedName name="BU">#REF!</definedName>
    <definedName name="Bud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>#REF!</definedName>
    <definedName name="Budget_PrYear">#REF!</definedName>
    <definedName name="Budget_Year">#REF!</definedName>
    <definedName name="Budget03">#REF!</definedName>
    <definedName name="budget1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2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3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amt">#REF!</definedName>
    <definedName name="BudgetSumm" localSheetId="3" hidden="1">{#N/A,#N/A,FALSE,"Cashflow Analysis";#N/A,#N/A,FALSE,"Sensitivity Analysis";#N/A,#N/A,FALSE,"PV";#N/A,#N/A,FALSE,"Pro Forma"}</definedName>
    <definedName name="BudgetSumm" hidden="1">{#N/A,#N/A,FALSE,"Cashflow Analysis";#N/A,#N/A,FALSE,"Sensitivity Analysis";#N/A,#N/A,FALSE,"PV";#N/A,#N/A,FALSE,"Pro Forma"}</definedName>
    <definedName name="BudgetSumm.2" localSheetId="3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getXR">#REF!</definedName>
    <definedName name="BuName">#REF!</definedName>
    <definedName name="Button_4">"Takeover_Building_Set_Up_List"</definedName>
    <definedName name="Button_5">"Takeover_Building_Set_Up_List1"</definedName>
    <definedName name="bvwrg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" localSheetId="3" hidden="1">{"orixcsc",#N/A,FALSE,"ORIX CSC";"orixcsc2",#N/A,FALSE,"ORIX CSC"}</definedName>
    <definedName name="bxc" hidden="1">{"orixcsc",#N/A,FALSE,"ORIX CSC";"orixcsc2",#N/A,FALSE,"ORIX CSC"}</definedName>
    <definedName name="C_">#REF!</definedName>
    <definedName name="CAD">#REF!</definedName>
    <definedName name="CAD_EUR">#REF!</definedName>
    <definedName name="CAD_USD">#REF!</definedName>
    <definedName name="cade" localSheetId="3" hidden="1">{"FCB_ALL",#N/A,FALSE,"FCB"}</definedName>
    <definedName name="cade" hidden="1">{"FCB_ALL",#N/A,FALSE,"FCB"}</definedName>
    <definedName name="cads" localSheetId="3" hidden="1">{"FCB_ALL",#N/A,FALSE,"FCB"}</definedName>
    <definedName name="cads" hidden="1">{"FCB_ALL",#N/A,FALSE,"FCB"}</definedName>
    <definedName name="cadsf" localSheetId="3" hidden="1">{"FCB_ALL",#N/A,FALSE,"FCB"}</definedName>
    <definedName name="cadsf" hidden="1">{"FCB_ALL",#N/A,FALSE,"FCB"}</definedName>
    <definedName name="caega" localSheetId="3" hidden="1">{"FCB_ALL",#N/A,FALSE,"FCB"}</definedName>
    <definedName name="caega" hidden="1">{"FCB_ALL",#N/A,FALSE,"FCB"}</definedName>
    <definedName name="caer" localSheetId="3" hidden="1">{"FCB_ALL",#N/A,FALSE,"FCB"}</definedName>
    <definedName name="caer" hidden="1">{"FCB_ALL",#N/A,FALSE,"FCB"}</definedName>
    <definedName name="cagare" localSheetId="3" hidden="1">{"FCB_ALL",#N/A,FALSE,"FCB"}</definedName>
    <definedName name="cagare" hidden="1">{"FCB_ALL",#N/A,FALSE,"FCB"}</definedName>
    <definedName name="CalcOvertime">#REF!</definedName>
    <definedName name="calendar">#REF!</definedName>
    <definedName name="CalendarDates">#REF!</definedName>
    <definedName name="CalFactCY">#REF!</definedName>
    <definedName name="CalFactFY">#REF!</definedName>
    <definedName name="CalFactPY">#REF!</definedName>
    <definedName name="calle" localSheetId="3" hidden="1">{#N/A,#N/A,FALSE,"CreditStat";#N/A,#N/A,FALSE,"SPbrkup";#N/A,#N/A,FALSE,"MerSPsyn";#N/A,#N/A,FALSE,"MerSPwKCsyn";#N/A,#N/A,FALSE,"MerSPwKCsyn (2)";#N/A,#N/A,FALSE,"CreditStat (2)"}</definedName>
    <definedName name="calle" hidden="1">{#N/A,#N/A,FALSE,"CreditStat";#N/A,#N/A,FALSE,"SPbrkup";#N/A,#N/A,FALSE,"MerSPsyn";#N/A,#N/A,FALSE,"MerSPwKCsyn";#N/A,#N/A,FALSE,"MerSPwKCsyn (2)";#N/A,#N/A,FALSE,"CreditStat (2)"}</definedName>
    <definedName name="canada">#REF!</definedName>
    <definedName name="canada_europe">#REF!</definedName>
    <definedName name="Cap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localSheetId="3" hidden="1">{#N/A,#N/A,FALSE,"IPO";#N/A,#N/A,FALSE,"DCF";#N/A,#N/A,FALSE,"LBO";#N/A,#N/A,FALSE,"MULT_VAL";#N/A,#N/A,FALSE,"Status Quo";#N/A,#N/A,FALSE,"Recap"}</definedName>
    <definedName name="Capacity" hidden="1">{#N/A,#N/A,FALSE,"IPO";#N/A,#N/A,FALSE,"DCF";#N/A,#N/A,FALSE,"LBO";#N/A,#N/A,FALSE,"MULT_VAL";#N/A,#N/A,FALSE,"Status Quo";#N/A,#N/A,FALSE,"Recap"}</definedName>
    <definedName name="CapAct_Note_Act">#REF!</definedName>
    <definedName name="CapAct_Note_Pre">#REF!</definedName>
    <definedName name="CapAction_Note_ACt">#REF!</definedName>
    <definedName name="CapAction_Note_Pre">#REF!</definedName>
    <definedName name="capex">#REF!</definedName>
    <definedName name="capexdeplife">#REF!</definedName>
    <definedName name="capexlife">#REF!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_Ownewship">#REF!</definedName>
    <definedName name="CarAllowance">#REF!</definedName>
    <definedName name="carlos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sdfasf" localSheetId="3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casdfasf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CASE">#REF!</definedName>
    <definedName name="cash">#REF!</definedName>
    <definedName name="Cash_Disburse_Proof_1">#REF!</definedName>
    <definedName name="Cash_Disburse_Proof_2">#REF!</definedName>
    <definedName name="cash_int_rate">#REF!</definedName>
    <definedName name="Cash_Rev_Proof_2">#REF!</definedName>
    <definedName name="Cash_Summary">#REF!</definedName>
    <definedName name="CashOut">#REF!</definedName>
    <definedName name="CashToBS">#REF!</definedName>
    <definedName name="cavde" localSheetId="3" hidden="1">{"FCB_ALL",#N/A,FALSE,"FCB"}</definedName>
    <definedName name="cavde" hidden="1">{"FCB_ALL",#N/A,FALSE,"FCB"}</definedName>
    <definedName name="cawc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Chart_1" hidden="1">#REF!</definedName>
    <definedName name="cb_Chart_1_opts" hidden="1">"1, 5, 1, False, 2, True, False, , 0, False, False, 1, 1"</definedName>
    <definedName name="cb_Chart_2" hidden="1">#REF!</definedName>
    <definedName name="cb_Chart_2_opts" hidden="1">"1, 1, 1, False, 2, False, False, , 0, False, False, 1, 1"</definedName>
    <definedName name="cb_Chart_24" hidden="1">#REF!</definedName>
    <definedName name="cb_Chart_26" hidden="1">#REF!</definedName>
    <definedName name="cb_Chart_3" hidden="1">#REF!</definedName>
    <definedName name="cb_Chart_3_opts" hidden="1">"1, 1, 1, False, 2, False, False, , 0, False, False, 1, 1"</definedName>
    <definedName name="cb_Chart_5" hidden="1">#REF!</definedName>
    <definedName name="cb_Chart_6" hidden="1">#REF!</definedName>
    <definedName name="cb_Chart_7" hidden="1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28EFA7_opts" hidden="1">"1, 8, 1, False, 2, False, False, , 0, False, False, 1, 1"</definedName>
    <definedName name="cb_sChart134138B2_opts" hidden="1">"1, 1, 1, False, 2, True,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6E18E81_opts" hidden="1">"1, 9, 1, False, 2, False, False, , 0, False, True, 1, 1"</definedName>
    <definedName name="cb_sChart1796B31E_opts" hidden="1">"1, 8, 1, False, 2, False, False, , 0, False, False,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41E9A35_opts" hidden="1">"1, 9, 1, False, 2, False, False, , 0, False, True,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F019EA2_opts" hidden="1">"1, 8, 1, False, 2, False, False, , 0, False, False,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C2E95_opts" hidden="1">"1, 8, 1, False, 2, False, False, , 0, False, False, 1, 1"</definedName>
    <definedName name="cb_sChartF20F9EE_opts" hidden="1">"1, 9, 1, False, 2, False, False, , 0, False, False, 1, 1"</definedName>
    <definedName name="CBT">#REF!</definedName>
    <definedName name="CBWorkbookPriority" hidden="1">-1679205845</definedName>
    <definedName name="CBWorkbookPriority1" hidden="1">-1222926411</definedName>
    <definedName name="cc_add_depr">#REF!</definedName>
    <definedName name="cc_add_val">#REF!</definedName>
    <definedName name="cc_depr_exp">#REF!</definedName>
    <definedName name="cc_gain_loss_disp">#REF!</definedName>
    <definedName name="cc_open_depr">#REF!</definedName>
    <definedName name="cc_open_val">#REF!</definedName>
    <definedName name="ccc" localSheetId="3" hidden="1">{"Print Top",#N/A,FALSE,"Europe Model";"Print Bottom",#N/A,FALSE,"Europe Model"}</definedName>
    <definedName name="ccc" hidden="1">{"Print Top",#N/A,FALSE,"Europe Model";"Print Bottom",#N/A,FALSE,"Europe Model"}</definedName>
    <definedName name="cccc" localSheetId="3" hidden="1">{#N/A,#N/A,FALSE,"Assessment";#N/A,#N/A,FALSE,"Staffing";#N/A,#N/A,FALSE,"Hires";#N/A,#N/A,FALSE,"Assumptions"}</definedName>
    <definedName name="cccc" hidden="1">{#N/A,#N/A,FALSE,"Assessment";#N/A,#N/A,FALSE,"Staffing";#N/A,#N/A,FALSE,"Hires";#N/A,#N/A,FALSE,"Assumptions"}</definedName>
    <definedName name="ccccc" localSheetId="3" hidden="1">{"10yp key data",#N/A,FALSE,"Market Data"}</definedName>
    <definedName name="ccccc" hidden="1">{"10yp key data",#N/A,FALSE,"Market Data"}</definedName>
    <definedName name="CCDeb_Bil_Act">#REF!</definedName>
    <definedName name="CCDeb_Bil_Pre">#REF!</definedName>
    <definedName name="CCDeb_Note_Act">#REF!</definedName>
    <definedName name="CCDeb_Note_Pre">#REF!</definedName>
    <definedName name="CCOmps" localSheetId="3" hidden="1">{"page1",#N/A,TRUE,"PRICING";"page2",#N/A,TRUE,"PRICING"}</definedName>
    <definedName name="CCOmps" hidden="1">{"page1",#N/A,TRUE,"PRICING";"page2",#N/A,TRUE,"PRICING"}</definedName>
    <definedName name="CCoroneww" localSheetId="3" hidden="1">{#N/A,#N/A,FALSE,"LEASES"}</definedName>
    <definedName name="CCoroneww" hidden="1">{#N/A,#N/A,FALSE,"LEASES"}</definedName>
    <definedName name="CCorpNew" localSheetId="3" hidden="1">{#N/A,#N/A,FALSE,"LEASES"}</definedName>
    <definedName name="CCorpNew" hidden="1">{#N/A,#N/A,FALSE,"LEASES"}</definedName>
    <definedName name="ccorpnew1" localSheetId="3" hidden="1">{#N/A,#N/A,FALSE,"LEASES"}</definedName>
    <definedName name="ccorpnew1" hidden="1">{#N/A,#N/A,FALSE,"LEASES"}</definedName>
    <definedName name="CCorpNew2" localSheetId="3" hidden="1">{#N/A,#N/A,FALSE,"LEASES"}</definedName>
    <definedName name="CCorpNew2" hidden="1">{#N/A,#N/A,FALSE,"LEASES"}</definedName>
    <definedName name="CellDefaultRate">#REF!</definedName>
    <definedName name="Cellsdown">#REF!</definedName>
    <definedName name="central_rozdil" localSheetId="3" hidden="1">{#N/A,#N/A,FALSE,"Aging Summary";#N/A,#N/A,FALSE,"Ratio Analysis";#N/A,#N/A,FALSE,"Test 120 Day Accts";#N/A,#N/A,FALSE,"Tickmarks"}</definedName>
    <definedName name="central_rozdil" hidden="1">{#N/A,#N/A,FALSE,"Aging Summary";#N/A,#N/A,FALSE,"Ratio Analysis";#N/A,#N/A,FALSE,"Test 120 Day Accts";#N/A,#N/A,FALSE,"Tickmarks"}</definedName>
    <definedName name="Central_Support_Actual">#REF!</definedName>
    <definedName name="Central_Support_Budget">#REF!</definedName>
    <definedName name="CENTRALSUP_PERCENTAGE">#REF!</definedName>
    <definedName name="CertiportLLC">#REF!</definedName>
    <definedName name="CertiportSolutionsLLC">#REF!</definedName>
    <definedName name="cesar" localSheetId="3" hidden="1">{#N/A,#N/A,TRUE,"2432"}</definedName>
    <definedName name="cesar" hidden="1">{#N/A,#N/A,TRUE,"2432"}</definedName>
    <definedName name="CFFleet" localSheetId="3" hidden="1">{#N/A,#N/A,FALSE,"Cover";#N/A,#N/A,FALSE,"TOC";#N/A,#N/A,FALSE,"IS";#N/A,#N/A,FALSE,"Mo. IS";#N/A,#N/A,FALSE,"Cont By Div";#N/A,#N/A,FALSE,"BS";#N/A,#N/A,FALSE,"CF";#N/A,#N/A,FALSE,"Inventory"}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_inclusion">#REF!</definedName>
    <definedName name="cgaf" localSheetId="3" hidden="1">{"FCB_ALL",#N/A,FALSE,"FCB"}</definedName>
    <definedName name="cgaf" hidden="1">{"FCB_ALL",#N/A,FALSE,"FCB"}</definedName>
    <definedName name="cgafde" localSheetId="3" hidden="1">{"FCB_ALL",#N/A,FALSE,"FCB"}</definedName>
    <definedName name="cgafde" hidden="1">{"FCB_ALL",#N/A,FALSE,"FCB"}</definedName>
    <definedName name="CGI_accounting_period">#REF!</definedName>
    <definedName name="CGI_SERVICES_REVENUE">#REF!</definedName>
    <definedName name="ch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mnt1" localSheetId="3" hidden="1">{#N/A,#N/A,FALSE,"Aging Summary";#N/A,#N/A,FALSE,"Ratio Analysis";#N/A,#N/A,FALSE,"Test 120 Day Accts";#N/A,#N/A,FALSE,"Tickmarks"}</definedName>
    <definedName name="changemnt1" hidden="1">{#N/A,#N/A,FALSE,"Aging Summary";#N/A,#N/A,FALSE,"Ratio Analysis";#N/A,#N/A,FALSE,"Test 120 Day Accts";#N/A,#N/A,FALSE,"Tickmarks"}</definedName>
    <definedName name="ChangeRange" hidden="1">#N/A</definedName>
    <definedName name="ChangeRange2" hidden="1">#N/A</definedName>
    <definedName name="Chart" localSheetId="3" hidden="1">{#N/A,#N/A,FALSE,"Pharm";#N/A,#N/A,FALSE,"WWCM"}</definedName>
    <definedName name="Chart" hidden="1">{#N/A,#N/A,FALSE,"Pharm";#N/A,#N/A,FALSE,"WWCM"}</definedName>
    <definedName name="ChartCaptions">#REF!</definedName>
    <definedName name="ChartingArea">#REF!,#REF!</definedName>
    <definedName name="ChartingLabels">#REF!</definedName>
    <definedName name="ChartSubtitle" hidden="1">#REF!</definedName>
    <definedName name="ChartTitle" hidden="1">#REF!</definedName>
    <definedName name="check2" localSheetId="3" hidden="1">{#N/A,#N/A,FALSE,"Cashflow Analysis";#N/A,#N/A,FALSE,"Sensitivity Analysis";#N/A,#N/A,FALSE,"PV";#N/A,#N/A,FALSE,"Pro Forma"}</definedName>
    <definedName name="check2" hidden="1">{#N/A,#N/A,FALSE,"Cashflow Analysis";#N/A,#N/A,FALSE,"Sensitivity Analysis";#N/A,#N/A,FALSE,"PV";#N/A,#N/A,FALSE,"Pro Forma"}</definedName>
    <definedName name="cheryl" localSheetId="3" hidden="1">{#N/A,#N/A,FALSE,"Barranca"}</definedName>
    <definedName name="cheryl" hidden="1">{#N/A,#N/A,FALSE,"Barranca"}</definedName>
    <definedName name="CHG_TABLE">#REF!</definedName>
    <definedName name="chgeas" localSheetId="3" hidden="1">{"FCB_ALL",#N/A,FALSE,"FCB"}</definedName>
    <definedName name="chgeas" hidden="1">{"FCB_ALL",#N/A,FALSE,"FCB"}</definedName>
    <definedName name="chkIpoPrice">#REF!</definedName>
    <definedName name="Choices_Wrapper">#REF!</definedName>
    <definedName name="ChooseAssetType">#REF!</definedName>
    <definedName name="ChooseAttritionType">#REF!</definedName>
    <definedName name="ChooseAU">#REF!</definedName>
    <definedName name="ChooseBetaPeriod">#REF!</definedName>
    <definedName name="ChooseCanTaxClass">#REF!</definedName>
    <definedName name="ChooseCurrency">#REF!</definedName>
    <definedName name="ChooseCurrencyUnits">#REF!</definedName>
    <definedName name="ChooseDraft">#REF!</definedName>
    <definedName name="ChooseLiabType">#REF!</definedName>
    <definedName name="ChooseNum">#REF!</definedName>
    <definedName name="ChooseROCACalc">#REF!</definedName>
    <definedName name="ChooseTaxType">#REF!</definedName>
    <definedName name="ChooseTermValMethod">#REF!</definedName>
    <definedName name="ChooseTermValMethodTN">#REF!</definedName>
    <definedName name="ChooseUSCan">#REF!</definedName>
    <definedName name="ChooseWACCMethod">#REF!</definedName>
    <definedName name="ChooseWARA">#REF!</definedName>
    <definedName name="ChooseYear">#REF!</definedName>
    <definedName name="ChooseYN">#REF!</definedName>
    <definedName name="chosie" localSheetId="3" hidden="1">{#N/A,#N/A,FALSE,"Pharm";#N/A,#N/A,FALSE,"WWCM"}</definedName>
    <definedName name="chosie" hidden="1">{#N/A,#N/A,FALSE,"Pharm";#N/A,#N/A,FALSE,"WWCM"}</definedName>
    <definedName name="churn_reason">#REF!</definedName>
    <definedName name="CIQANR_1e206613e5474aa4978a9a692e184c08" hidden="1">#REF!</definedName>
    <definedName name="CIQANR_28d771e7e4fa43daa482af2436602fe7" hidden="1">#REF!</definedName>
    <definedName name="CIQANR_5df477e662a849b28f2f1527e306d6db" hidden="1">#REF!</definedName>
    <definedName name="CIQANR_79f77d861ed24a37b62017c631a87c10" hidden="1">#REF!</definedName>
    <definedName name="CIQANR_8f62b8d709a24efa854ae2068eaa62d0" hidden="1">#REF!</definedName>
    <definedName name="CIQWBGuid" hidden="1">"04991638-1b61-450a-b56c-a0f9b277925f"</definedName>
    <definedName name="CIQWBInfo" hidden="1">"{ ""CIQVersion"":""9.47.1108.4092"" }"</definedName>
    <definedName name="CIRC">#REF!</definedName>
    <definedName name="circlocation">#REF!</definedName>
    <definedName name="circtemp">#REF!</definedName>
    <definedName name="Circularity">#REF!</definedName>
    <definedName name="Classification">OFFSET(#REF!,0,0,COUNTA(#REF!)-2,1)</definedName>
    <definedName name="Client">#REF!</definedName>
    <definedName name="Client_accounting_period">#REF!</definedName>
    <definedName name="client1_note_act">#REF!</definedName>
    <definedName name="client1_note_pre">#REF!</definedName>
    <definedName name="client2">#REF!</definedName>
    <definedName name="Client2_note_act">#REF!</definedName>
    <definedName name="Client2_note_Pre">#REF!</definedName>
    <definedName name="ClientFullName">#REF!</definedName>
    <definedName name="ClientName">#REF!</definedName>
    <definedName name="ClientShortName">#REF!</definedName>
    <definedName name="ClientStatus">#REF!</definedName>
    <definedName name="CM">#REF!</definedName>
    <definedName name="cmp" localSheetId="3" hidden="1">{#N/A,#N/A,FALSE,"LEASES"}</definedName>
    <definedName name="cmp" hidden="1">{#N/A,#N/A,FALSE,"LEASES"}</definedName>
    <definedName name="cmw" localSheetId="3" hidden="1">{#N/A,#N/A,FALSE,"A&amp;E";#N/A,#N/A,FALSE,"HighTop";#N/A,#N/A,FALSE,"JG";#N/A,#N/A,FALSE,"RI";#N/A,#N/A,FALSE,"woHT";#N/A,#N/A,FALSE,"woHT&amp;JG"}</definedName>
    <definedName name="cmw" hidden="1">{#N/A,#N/A,FALSE,"A&amp;E";#N/A,#N/A,FALSE,"HighTop";#N/A,#N/A,FALSE,"JG";#N/A,#N/A,FALSE,"RI";#N/A,#N/A,FALSE,"woHT";#N/A,#N/A,FALSE,"woHT&amp;JG"}</definedName>
    <definedName name="CO_Name">#REF!</definedName>
    <definedName name="CODE">#REF!</definedName>
    <definedName name="CODESQ1">#REF!</definedName>
    <definedName name="CODESQ2">#REF!</definedName>
    <definedName name="CODESQ3">#REF!</definedName>
    <definedName name="CODESQ4">#REF!</definedName>
    <definedName name="COGstandard" localSheetId="3" hidden="1">{#N/A,#N/A,FALSE,"Pharm";#N/A,#N/A,FALSE,"WWCM"}</definedName>
    <definedName name="COGstandard" hidden="1">{#N/A,#N/A,FALSE,"Pharm";#N/A,#N/A,FALSE,"WWCM"}</definedName>
    <definedName name="COH">#REF!</definedName>
    <definedName name="ColumnTitle1">#REF!</definedName>
    <definedName name="Comb_1">#REF!</definedName>
    <definedName name="Comb_2">#REF!</definedName>
    <definedName name="Combined_Compensation">#REF!</definedName>
    <definedName name="CombName">#REF!</definedName>
    <definedName name="CombSharesOS">#REF!</definedName>
    <definedName name="comment" localSheetId="3" hidden="1">{#N/A,#N/A,FALSE,"OUT  AREC"}</definedName>
    <definedName name="comment" hidden="1">{#N/A,#N/A,FALSE,"OUT  AREC"}</definedName>
    <definedName name="Comment3" localSheetId="3" hidden="1">{#N/A,#N/A,FALSE,"OUT  AREC"}</definedName>
    <definedName name="Comment3" hidden="1">{#N/A,#N/A,FALSE,"OUT  AREC"}</definedName>
    <definedName name="Comment5" localSheetId="3" hidden="1">{#N/A,#N/A,FALSE,"OUT  AREC"}</definedName>
    <definedName name="Comment5" hidden="1">{#N/A,#N/A,FALSE,"OUT  AREC"}</definedName>
    <definedName name="Comment6" localSheetId="3" hidden="1">{#N/A,#N/A,FALSE,"OUT  AREC"}</definedName>
    <definedName name="Comment6" hidden="1">{#N/A,#N/A,FALSE,"OUT  AREC"}</definedName>
    <definedName name="Commentary" localSheetId="3" hidden="1">{#N/A,#N/A,FALSE,"OUT  AREC"}</definedName>
    <definedName name="Commentary" hidden="1">{#N/A,#N/A,FALSE,"OUT  AREC"}</definedName>
    <definedName name="Comments" localSheetId="3" hidden="1">{#N/A,#N/A,FALSE,"OUT  AREC"}</definedName>
    <definedName name="Comments" hidden="1">{#N/A,#N/A,FALSE,"OUT  AREC"}</definedName>
    <definedName name="Commission_Rate">#REF!</definedName>
    <definedName name="comp">#REF!</definedName>
    <definedName name="CompaniesList">#REF!</definedName>
    <definedName name="Company_Data">#REF!</definedName>
    <definedName name="Company_Name" hidden="1">#REF!</definedName>
    <definedName name="Company1">#REF!</definedName>
    <definedName name="Company2">#REF!</definedName>
    <definedName name="Company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ID">#REF!</definedName>
    <definedName name="CompanyName" hidden="1">#REF!</definedName>
    <definedName name="CompanyName1" hidden="1">#REF!</definedName>
    <definedName name="CompanyName2" hidden="1">#REF!</definedName>
    <definedName name="CompanyName3" hidden="1">#REF!</definedName>
    <definedName name="CompanyName4">#REF!</definedName>
    <definedName name="CompanyName5">#REF!</definedName>
    <definedName name="CompanyName6">#REF!</definedName>
    <definedName name="CompanyTicker1">#REF!</definedName>
    <definedName name="CompanyTicker2">#REF!</definedName>
    <definedName name="CompanyTicker3">#REF!</definedName>
    <definedName name="CompanyTicker4">#REF!</definedName>
    <definedName name="CompanyTicker5">#REF!</definedName>
    <definedName name="CompanyTicker6">#REF!</definedName>
    <definedName name="comparables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mparable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mparatEU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are" localSheetId="3" hidden="1">{#N/A,#N/A,TRUE,"COVER";#N/A,#N/A,TRUE,"BS";#N/A,#N/A,TRUE,"APR-01";#N/A,#N/A,TRUE,"CF"}</definedName>
    <definedName name="compare" hidden="1">{#N/A,#N/A,TRUE,"COVER";#N/A,#N/A,TRUE,"BS";#N/A,#N/A,TRUE,"APR-01";#N/A,#N/A,TRUE,"CF"}</definedName>
    <definedName name="Comparison">#REF!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CompRange1" localSheetId="3" hidden="1">OFFSET(CompRange1Main,9,0,COUNTA(CompRange1Main)-COUNTA(#REF!),1)</definedName>
    <definedName name="CompRange1" hidden="1">OFFSET(CompRange1Main,9,0,COUNTA(CompRange1Main)-COUNTA(#REF!),1)</definedName>
    <definedName name="CompRange1Main" hidden="1">#REF!</definedName>
    <definedName name="CompRange2" localSheetId="3" hidden="1">OFFSET(CompRange2Main,9,0,COUNTA(CompRange2Main)-COUNTA(#REF!),1)</definedName>
    <definedName name="CompRange2" hidden="1">OFFSET(CompRange2Main,9,0,COUNTA(CompRange2Main)-COUNTA(#REF!),1)</definedName>
    <definedName name="CompRange2Main" hidden="1">#REF!</definedName>
    <definedName name="CompRange3" localSheetId="3" hidden="1">OFFSET(CompRange3Main,9,0,COUNTA(CompRange3Main)-COUNTA(#REF!),1)</definedName>
    <definedName name="CompRange3" hidden="1">OFFSET(CompRange3Main,9,0,COUNTA(CompRange3Main)-COUNTA(#REF!),1)</definedName>
    <definedName name="CompRange3Main" hidden="1">#REF!</definedName>
    <definedName name="CompYear" hidden="1">#REF!</definedName>
    <definedName name="CONAME">#REF!</definedName>
    <definedName name="Conclusion_A">#REF!</definedName>
    <definedName name="Conclusion_B">#REF!</definedName>
    <definedName name="Conclusion_D">#REF!</definedName>
    <definedName name="Conclusion_E1">#REF!</definedName>
    <definedName name="Conclusion_E2">#REF!</definedName>
    <definedName name="Conclusion_E3">#REF!</definedName>
    <definedName name="Conclusion_G1">#REF!</definedName>
    <definedName name="Conclusion_G2">#REF!</definedName>
    <definedName name="Conclusion_G3">#REF!</definedName>
    <definedName name="Conclusion_H">#REF!</definedName>
    <definedName name="Confidentiality" hidden="1">#REF!</definedName>
    <definedName name="ConfInterval">#REF!</definedName>
    <definedName name="conflict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ideration">#REF!</definedName>
    <definedName name="ConsiderationDemons">#REF!</definedName>
    <definedName name="ConsiderationMore">#REF!</definedName>
    <definedName name="consumer" localSheetId="3" hidden="1">{"'Sheet1'!$A$5:$G$42"}</definedName>
    <definedName name="consumer" hidden="1">{"'Sheet1'!$A$5:$G$42"}</definedName>
    <definedName name="ContentsHelp" hidden="1">#N/A</definedName>
    <definedName name="ContentsTopics">#REF!</definedName>
    <definedName name="Contingency">#REF!</definedName>
    <definedName name="Contract">#REF!</definedName>
    <definedName name="Contract_Length">#REF!</definedName>
    <definedName name="Contract_Term">#REF!</definedName>
    <definedName name="contrib2" localSheetId="3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ventions">#REF!</definedName>
    <definedName name="Conversion">#REF!</definedName>
    <definedName name="Convert_Options">#REF!</definedName>
    <definedName name="ConvertSwitch">#REF!</definedName>
    <definedName name="ConvertToQuarter">#REF!</definedName>
    <definedName name="copin" localSheetId="3" hidden="1">{#N/A,#N/A,TRUE,"RESUMEN ECON.";#N/A,#N/A,TRUE,"Costos de R.H.";#N/A,#N/A,TRUE,"COSTO HW";#N/A,#N/A,TRUE,"CUADROS";#N/A,#N/A,TRUE,"SCADA´s";#N/A,#N/A,TRUE,"PRECIOS EQUIPOS"}</definedName>
    <definedName name="copin" hidden="1">{#N/A,#N/A,TRUE,"RESUMEN ECON.";#N/A,#N/A,TRUE,"Costos de R.H.";#N/A,#N/A,TRUE,"COSTO HW";#N/A,#N/A,TRUE,"CUADROS";#N/A,#N/A,TRUE,"SCADA´s";#N/A,#N/A,TRUE,"PRECIOS EQUIPOS"}</definedName>
    <definedName name="copon" localSheetId="3" hidden="1">{#N/A,#N/A,FALSE,"RESUMEN ECON.";#N/A,#N/A,FALSE,"Costos de R.H.";#N/A,#N/A,FALSE,"COSTO HW";#N/A,#N/A,FALSE,"CUADROS";#N/A,#N/A,FALSE,"SCADA´s";#N/A,#N/A,FALSE,"PRECIOS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PY" localSheetId="3" hidden="1">{#N/A,#N/A,FALSE,"Pharm";#N/A,#N/A,FALSE,"WWCM"}</definedName>
    <definedName name="COPY" hidden="1">{#N/A,#N/A,FALSE,"Pharm";#N/A,#N/A,FALSE,"WWCM"}</definedName>
    <definedName name="copy_area">#REF!</definedName>
    <definedName name="copy1" localSheetId="3" hidden="1">{#N/A,#N/A,FALSE,"Pharm";#N/A,#N/A,FALSE,"WWCM"}</definedName>
    <definedName name="copy1" hidden="1">{#N/A,#N/A,FALSE,"Pharm";#N/A,#N/A,FALSE,"WWCM"}</definedName>
    <definedName name="COPY2" localSheetId="3" hidden="1">{#N/A,#N/A,FALSE,"Pharm";#N/A,#N/A,FALSE,"WWCM"}</definedName>
    <definedName name="COPY2" hidden="1">{#N/A,#N/A,FALSE,"Pharm";#N/A,#N/A,FALSE,"WWCM"}</definedName>
    <definedName name="copy233" localSheetId="3" hidden="1">{#N/A,#N/A,FALSE,"Pharm";#N/A,#N/A,FALSE,"WWCM"}</definedName>
    <definedName name="copy233" hidden="1">{#N/A,#N/A,FALSE,"Pharm";#N/A,#N/A,FALSE,"WWCM"}</definedName>
    <definedName name="copy33" localSheetId="3" hidden="1">{#N/A,#N/A,FALSE,"Pharm";#N/A,#N/A,FALSE,"WWCM"}</definedName>
    <definedName name="copy33" hidden="1">{#N/A,#N/A,FALSE,"Pharm";#N/A,#N/A,FALSE,"WWCM"}</definedName>
    <definedName name="copy38" localSheetId="3" hidden="1">{#N/A,#N/A,FALSE,"Pharm";#N/A,#N/A,FALSE,"WWCM"}</definedName>
    <definedName name="copy38" hidden="1">{#N/A,#N/A,FALSE,"Pharm";#N/A,#N/A,FALSE,"WWCM"}</definedName>
    <definedName name="Cost_of_Rev_Manuf_Dist">#REF!</definedName>
    <definedName name="cost1">#REF!</definedName>
    <definedName name="Costes" localSheetId="3" hidden="1">{#N/A,#N/A,TRUE,"RESUMEN ECON.";#N/A,#N/A,TRUE,"Costos de R.H.";#N/A,#N/A,TRUE,"COSTO HW";#N/A,#N/A,TRUE,"CUADROS";#N/A,#N/A,TRUE,"SCADA´s";#N/A,#N/A,TRUE,"PRECIOS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oun" localSheetId="3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localSheetId="3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edMonths" localSheetId="3">{"One","Two","Three","Four","Five","Six","Seven","Eight","Nine","Ten","Eleven","Twelve"}</definedName>
    <definedName name="CountedMonths">{"One","Two","Three","Four","Five","Six","Seven","Eight","Nine","Ten","Eleven","Twelve"}</definedName>
    <definedName name="COUNTRY" localSheetId="3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pv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entioLLC">#REF!</definedName>
    <definedName name="credit1" localSheetId="3" hidden="1">{#N/A,#N/A,TRUE,"Overview";#N/A,#N/A,TRUE,"New Gen"}</definedName>
    <definedName name="credit1" hidden="1">{#N/A,#N/A,TRUE,"Overview";#N/A,#N/A,TRUE,"New Gen"}</definedName>
    <definedName name="Crete" localSheetId="3" hidden="1">{"Output1",#N/A,FALSE,"Output";"Ratios1",#N/A,FALSE,"Ratios"}</definedName>
    <definedName name="Crete" hidden="1">{"Output1",#N/A,FALSE,"Output";"Ratios1",#N/A,FALSE,"Ratios"}</definedName>
    <definedName name="crew_information">#REF!</definedName>
    <definedName name="crew_list">#REF!</definedName>
    <definedName name="Crew_Salary_Pricing">#REF!</definedName>
    <definedName name="Crewsheet_Date">#REF!</definedName>
    <definedName name="Crng_Landscape">#REF!</definedName>
    <definedName name="Crng_Normal">#REF!</definedName>
    <definedName name="Crng_Portrait">#REF!</definedName>
    <definedName name="Crng_WPane">#REF!</definedName>
    <definedName name="croissance2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roissance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S_spinoff">#REF!</definedName>
    <definedName name="CSD">#REF!</definedName>
    <definedName name="CSDays2">#REF!</definedName>
    <definedName name="CSG" localSheetId="3" hidden="1">{"cap_structure",#N/A,FALSE,"Graph-Mkt Cap";"price",#N/A,FALSE,"Graph-Price";"ebit",#N/A,FALSE,"Graph-EBITDA";"ebitda",#N/A,FALSE,"Graph-EBITDA"}</definedName>
    <definedName name="CSG" hidden="1">{"cap_structure",#N/A,FALSE,"Graph-Mkt Cap";"price",#N/A,FALSE,"Graph-Price";"ebit",#N/A,FALSE,"Graph-EBITDA";"ebitda",#N/A,FALSE,"Graph-EBITDA"}</definedName>
    <definedName name="CSRfR2">#REF!</definedName>
    <definedName name="Cube_PL">#REF!</definedName>
    <definedName name="Cube_PL_Group">#REF!</definedName>
    <definedName name="Cube_PL_Unit">#REF!</definedName>
    <definedName name="cur_date">#REF!</definedName>
    <definedName name="CurMonth">#REF!</definedName>
    <definedName name="curr">#REF!</definedName>
    <definedName name="Curr_Sel">#REF!</definedName>
    <definedName name="Currency">#REF!</definedName>
    <definedName name="CurrencyCell">#REF!</definedName>
    <definedName name="CurrencyOutput">#REF!</definedName>
    <definedName name="CurrencySymbol">#REF!</definedName>
    <definedName name="Current_Case">#REF!</definedName>
    <definedName name="Current_Case_Name">#REF!</definedName>
    <definedName name="Current_Period" hidden="1">#REF!</definedName>
    <definedName name="CurrentDate" localSheetId="3">INDIRECT("'"&amp;PscA&amp;"'!$D$1")</definedName>
    <definedName name="CurrentDate">INDIRECT("'"&amp;PscA&amp;"'!$D$1")</definedName>
    <definedName name="CurrentMonthCountWord" localSheetId="3">INDEX({"One","Two","Three","Four","Five","Six","Seven","Eight","Nine","Ten","Eleven","Twelve"},CurrentMonthCount)</definedName>
    <definedName name="CurrentMonthCountWord">INDEX({"One","Two","Three","Four","Five","Six","Seven","Eight","Nine","Ten","Eleven","Twelve"},CurrentMonthCount)</definedName>
    <definedName name="CurrMonth">#REF!</definedName>
    <definedName name="CurrYear" hidden="1">#REF!</definedName>
    <definedName name="cust01">#REF!</definedName>
    <definedName name="CustomIndexDate">#REF!</definedName>
    <definedName name="CustomIndexValue">#REF!</definedName>
    <definedName name="cvade" localSheetId="3" hidden="1">{"FCB_ALL",#N/A,FALSE,"FCB"}</definedName>
    <definedName name="cvade" hidden="1">{"FCB_ALL",#N/A,FALSE,"FCB"}</definedName>
    <definedName name="Cwvu.GREY_ALL." hidden="1">#REF!</definedName>
    <definedName name="Cwvy.GREY_ALL._dcf" hidden="1">#REF!</definedName>
    <definedName name="cxaa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b" localSheetId="3" hidden="1">{#N/A,#N/A,FALSE,"Contribution Analysis"}</definedName>
    <definedName name="cxb" hidden="1">{#N/A,#N/A,FALSE,"Contribution Analysis"}</definedName>
    <definedName name="cxgxgfgfs" localSheetId="3" hidden="1">{#N/A,#N/A,FALSE,"Cashflow Analysis";#N/A,#N/A,FALSE,"Sensitivity Analysis";#N/A,#N/A,FALSE,"PV";#N/A,#N/A,FALSE,"Pro Forma"}</definedName>
    <definedName name="cxgxgfgfs" hidden="1">{#N/A,#N/A,FALSE,"Cashflow Analysis";#N/A,#N/A,FALSE,"Sensitivity Analysis";#N/A,#N/A,FALSE,"PV";#N/A,#N/A,FALSE,"Pro Forma"}</definedName>
    <definedName name="cxgxgfgfs.2" localSheetId="3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Y">#REF!</definedName>
    <definedName name="d" hidden="1">#REF!</definedName>
    <definedName name="D_Rate">#REF!</definedName>
    <definedName name="DA_1785149032300001782" hidden="1">#REF!</definedName>
    <definedName name="DA_1785149032300001786" hidden="1">#REF!</definedName>
    <definedName name="DA_1785149032300001798" hidden="1">#REF!</definedName>
    <definedName name="DA_1785149032300001810" hidden="1">#REF!</definedName>
    <definedName name="DA_1785149032300001817" hidden="1">#REF!</definedName>
    <definedName name="DA_1785149032300001824" hidden="1">#REF!</definedName>
    <definedName name="DA_1785149032300001828" hidden="1">#REF!</definedName>
    <definedName name="DA_1785149032300001830" hidden="1">#REF!</definedName>
    <definedName name="DAD" localSheetId="3" hidden="1">{#N/A,#N/A,FALSE,"REPORT"}</definedName>
    <definedName name="DAD" hidden="1">{#N/A,#N/A,FALSE,"REPORT"}</definedName>
    <definedName name="DADF" localSheetId="3" hidden="1">{#N/A,#N/A,FALSE,"REPORT"}</definedName>
    <definedName name="DADF" hidden="1">{#N/A,#N/A,FALSE,"REPORT"}</definedName>
    <definedName name="daeklj" localSheetId="3" hidden="1">{"FCB_ALL",#N/A,FALSE,"FCB"}</definedName>
    <definedName name="daeklj" hidden="1">{"FCB_ALL",#N/A,FALSE,"FCB"}</definedName>
    <definedName name="daewkl" localSheetId="3" hidden="1">{"FCB_ALL",#N/A,FALSE,"FCB";"GREY_ALL",#N/A,FALSE,"GREY"}</definedName>
    <definedName name="daewkl" hidden="1">{"FCB_ALL",#N/A,FALSE,"FCB";"GREY_ALL",#N/A,FALSE,"GREY"}</definedName>
    <definedName name="daf" localSheetId="3" hidden="1">{#N/A,#N/A,FALSE,"1";#N/A,#N/A,FALSE,"2";#N/A,#N/A,FALSE,"16 - 17";#N/A,#N/A,FALSE,"18 - 19";#N/A,#N/A,FALSE,"26";#N/A,#N/A,FALSE,"27";#N/A,#N/A,FALSE,"28"}</definedName>
    <definedName name="daf" hidden="1">{#N/A,#N/A,FALSE,"1";#N/A,#N/A,FALSE,"2";#N/A,#N/A,FALSE,"16 - 17";#N/A,#N/A,FALSE,"18 - 19";#N/A,#N/A,FALSE,"26";#N/A,#N/A,FALSE,"27";#N/A,#N/A,FALSE,"28"}</definedName>
    <definedName name="DAFAD" localSheetId="3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kfkjafgkeaj" localSheetId="3" hidden="1">{#N/A,#N/A,FALSE,"Pharm";#N/A,#N/A,FALSE,"WWCM"}</definedName>
    <definedName name="dakfkjafgkeaj" hidden="1">{#N/A,#N/A,FALSE,"Pharm";#N/A,#N/A,FALSE,"WWCM"}</definedName>
    <definedName name="das" localSheetId="3" hidden="1">{"FCB_ALL",#N/A,FALSE,"FCB";"GREY_ALL",#N/A,FALSE,"GREY"}</definedName>
    <definedName name="das" hidden="1">{"FCB_ALL",#N/A,FALSE,"FCB";"GREY_ALL",#N/A,FALSE,"GREY"}</definedName>
    <definedName name="dasfdsa" localSheetId="3" hidden="1">{"SUM",#N/A,FALSE,"Details (2)"}</definedName>
    <definedName name="dasfdsa" hidden="1">{"SUM",#N/A,FALSE,"Details (2)"}</definedName>
    <definedName name="dasgfdag" localSheetId="3" hidden="1">{"FCB_ALL",#N/A,FALSE,"FCB"}</definedName>
    <definedName name="dasgfdag" hidden="1">{"FCB_ALL",#N/A,FALSE,"FCB"}</definedName>
    <definedName name="dasklej" localSheetId="3" hidden="1">{"FCB_ALL",#N/A,FALSE,"FCB"}</definedName>
    <definedName name="dasklej" hidden="1">{"FCB_ALL",#N/A,FALSE,"FCB"}</definedName>
    <definedName name="Data" localSheetId="3" hidden="1">{#N/A,#N/A,FALSE,"Sales"}</definedName>
    <definedName name="Data" hidden="1">{#N/A,#N/A,FALSE,"Sales"}</definedName>
    <definedName name="Data.Dump" hidden="1">OFFSET(#REF!,1,0)</definedName>
    <definedName name="DATA_01" hidden="1">#REF!</definedName>
    <definedName name="data1" localSheetId="3" hidden="1">{#N/A,#N/A,FALSE,"Sales"}</definedName>
    <definedName name="data1" hidden="1">{#N/A,#N/A,FALSE,"Sales"}</definedName>
    <definedName name="data2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data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Data2011">#REF!</definedName>
    <definedName name="DataAdjust">#REF!</definedName>
    <definedName name="DataBackupRatio">#REF!</definedName>
    <definedName name="_xlnm.Database">#REF!</definedName>
    <definedName name="DataRange">#REF!</definedName>
    <definedName name="DataSPChart">#REF!,#REF!</definedName>
    <definedName name="DATE">#REF!</definedName>
    <definedName name="Date_End_PROJECT">#REF!</definedName>
    <definedName name="Date_Start_PROJECT">#REF!</definedName>
    <definedName name="datedeval">#REF!</definedName>
    <definedName name="dateeval">#REF!</definedName>
    <definedName name="dateevaltele">#REF!</definedName>
    <definedName name="DateHeader">#REF!</definedName>
    <definedName name="DateRangeComp" localSheetId="3" hidden="1">OFFSET(DateRangeCompMain,9,0,COUNTA(DateRangeCompMain)-COUNTA(#REF!),1)</definedName>
    <definedName name="DateRangeComp" hidden="1">OFFSET(DateRangeCompMain,9,0,COUNTA(DateRangeCompMain)-COUNTA(#REF!),1)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y_max">#REF!</definedName>
    <definedName name="Days">#REF!</definedName>
    <definedName name="DAYS_ACT_Sal_Animator">#REF!</definedName>
    <definedName name="DAYS_ACT_Sal_Compositor">#REF!</definedName>
    <definedName name="DAYS_ACT_Sal_Editorial_Support">#REF!</definedName>
    <definedName name="DAYS_ACT_Sal_Flame">#REF!</definedName>
    <definedName name="DAYS_ACT_Sal_FX">#REF!</definedName>
    <definedName name="DAYS_ACT_Sal_Lighting">#REF!</definedName>
    <definedName name="DAYS_ACT_Sal_Modeller">#REF!</definedName>
    <definedName name="DAYS_ACT_Sal_Paint_Roto">#REF!</definedName>
    <definedName name="DAYS_ACT_Sal_Production">#REF!</definedName>
    <definedName name="DAYS_ACT_Sal_Rigger">#REF!</definedName>
    <definedName name="DAYS_ACT_Sal_Supervision">#REF!</definedName>
    <definedName name="DAYS_ACT_Sal_TD">#REF!</definedName>
    <definedName name="DAYS_ACT_Sal_Texture_DMP">#REF!</definedName>
    <definedName name="DAYS_ACT_Sal_Tracker">#REF!</definedName>
    <definedName name="DAYS_BUD_Sal_Animator">#REF!</definedName>
    <definedName name="DAYS_BUD_Sal_Compositor">#REF!</definedName>
    <definedName name="DAYS_BUD_Sal_Editorial_Support">#REF!</definedName>
    <definedName name="DAYS_BUD_Sal_Flame">#REF!</definedName>
    <definedName name="DAYS_BUD_Sal_FX">#REF!</definedName>
    <definedName name="DAYS_BUD_Sal_Lighting">#REF!</definedName>
    <definedName name="DAYS_BUD_Sal_Modeller">#REF!</definedName>
    <definedName name="DAYS_BUD_Sal_Paint_Roto">#REF!</definedName>
    <definedName name="DAYS_BUD_Sal_Production">#REF!</definedName>
    <definedName name="DAYS_BUD_Sal_Rigger">#REF!</definedName>
    <definedName name="DAYS_BUD_Sal_Supervision">#REF!</definedName>
    <definedName name="DAYS_BUD_Sal_TD">#REF!</definedName>
    <definedName name="DAYS_BUD_Sal_Texture_DMP">#REF!</definedName>
    <definedName name="DAYS_BUD_Sal_Tracker">#REF!</definedName>
    <definedName name="Days_in_Year">#REF!</definedName>
    <definedName name="DAYS_Month">#REF!</definedName>
    <definedName name="DaysPerMonth">#REF!</definedName>
    <definedName name="DCAP1">#REF!</definedName>
    <definedName name="DCAP2">#REF!</definedName>
    <definedName name="DCAP3">#REF!</definedName>
    <definedName name="DCAP4">#REF!</definedName>
    <definedName name="DCAP5">#REF!</definedName>
    <definedName name="DCAP6">#REF!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S">#REF!</definedName>
    <definedName name="DCFSMods">#REF!,#REF!,#REF!</definedName>
    <definedName name="dd" localSheetId="3" hidden="1">{#N/A,#N/A,FALSE,"Pharm";#N/A,#N/A,FALSE,"WWCM"}</definedName>
    <definedName name="dd" hidden="1">{#N/A,#N/A,FALSE,"Pharm";#N/A,#N/A,FALSE,"WWCM"}</definedName>
    <definedName name="ddd" hidden="1">#REF!</definedName>
    <definedName name="dddaz" localSheetId="3" hidden="1">{#N/A,#N/A,FALSE,"Pharm";#N/A,#N/A,FALSE,"WWCM"}</definedName>
    <definedName name="dddaz" hidden="1">{#N/A,#N/A,FALSE,"Pharm";#N/A,#N/A,FALSE,"WWCM"}</definedName>
    <definedName name="dddd">#REF!</definedName>
    <definedName name="ddddd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d" localSheetId="3" hidden="1">{#N/A,#N/A,FALSE,"Pharm";#N/A,#N/A,FALSE,"WWCM"}</definedName>
    <definedName name="dddddd" hidden="1">{#N/A,#N/A,FALSE,"Pharm";#N/A,#N/A,FALSE,"WWCM"}</definedName>
    <definedName name="ddddddd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ddddddd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ddddddddd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dddd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ddddddddd">#REF!</definedName>
    <definedName name="ddfff" localSheetId="3" hidden="1">{"standalone1",#N/A,FALSE,"DCFBase";"standalone2",#N/A,FALSE,"DCFBase"}</definedName>
    <definedName name="ddfff" hidden="1">{"standalone1",#N/A,FALSE,"DCFBase";"standalone2",#N/A,FALSE,"DCFBase"}</definedName>
    <definedName name="ddsaas" localSheetId="3" hidden="1">{#N/A,#N/A,FALSE,"CreditStat";#N/A,#N/A,FALSE,"SPbrkup";#N/A,#N/A,FALSE,"MerSPsyn";#N/A,#N/A,FALSE,"MerSPwKCsyn";#N/A,#N/A,FALSE,"MerSPwKCsyn (2)";#N/A,#N/A,FALSE,"CreditStat (2)"}</definedName>
    <definedName name="ddsaas" hidden="1">{#N/A,#N/A,FALSE,"CreditStat";#N/A,#N/A,FALSE,"SPbrkup";#N/A,#N/A,FALSE,"MerSPsyn";#N/A,#N/A,FALSE,"MerSPwKCsyn";#N/A,#N/A,FALSE,"MerSPwKCsyn (2)";#N/A,#N/A,FALSE,"CreditStat (2)"}</definedName>
    <definedName name="DE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t_1.0">#REF!</definedName>
    <definedName name="debt_1.1">#REF!</definedName>
    <definedName name="debt_1.10">#REF!</definedName>
    <definedName name="debt_1.11">#REF!</definedName>
    <definedName name="debt_1.12">#REF!</definedName>
    <definedName name="debt_1.13">#REF!</definedName>
    <definedName name="debt_1.14">#REF!</definedName>
    <definedName name="debt_1.2">#REF!</definedName>
    <definedName name="debt_1.3">#REF!</definedName>
    <definedName name="debt_1.4">#REF!</definedName>
    <definedName name="debt_1.5">#REF!</definedName>
    <definedName name="debt_1.6">#REF!</definedName>
    <definedName name="debt_1.7">#REF!</definedName>
    <definedName name="debt_1.8">#REF!</definedName>
    <definedName name="debt_1.9">#REF!</definedName>
    <definedName name="debt_2.0">#REF!</definedName>
    <definedName name="debt_2.1">#REF!</definedName>
    <definedName name="debt_3.0">#REF!</definedName>
    <definedName name="debt_3.1">#REF!</definedName>
    <definedName name="Debt_Like_Items">#REF!</definedName>
    <definedName name="debt_ratio">#REF!</definedName>
    <definedName name="dede" localSheetId="3" hidden="1">{#N/A,#N/A,FALSE,"Pharm";#N/A,#N/A,FALSE,"WWCM"}</definedName>
    <definedName name="dede" hidden="1">{#N/A,#N/A,FALSE,"Pharm";#N/A,#N/A,FALSE,"WWCM"}</definedName>
    <definedName name="DEDED" localSheetId="3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3" hidden="1">{#N/A,#N/A,FALSE,"Pharm";#N/A,#N/A,FALSE,"WWCM"}</definedName>
    <definedName name="DEDEDZE" hidden="1">{#N/A,#N/A,FALSE,"Pharm";#N/A,#N/A,FALSE,"WWCM"}</definedName>
    <definedName name="deds" localSheetId="3" hidden="1">{#N/A,#N/A,FALSE,"Layout GuV"}</definedName>
    <definedName name="deds" hidden="1">{#N/A,#N/A,FALSE,"Layout GuV"}</definedName>
    <definedName name="DEDZD" localSheetId="3" hidden="1">{#N/A,#N/A,FALSE,"Pharm";#N/A,#N/A,FALSE,"WWCM"}</definedName>
    <definedName name="DEDZD" hidden="1">{#N/A,#N/A,FALSE,"Pharm";#N/A,#N/A,FALSE,"WWCM"}</definedName>
    <definedName name="DEE" localSheetId="3" hidden="1">{#N/A,#N/A,FALSE,"Pharm";#N/A,#N/A,FALSE,"WWCM"}</definedName>
    <definedName name="DEE" hidden="1">{#N/A,#N/A,FALSE,"Pharm";#N/A,#N/A,FALSE,"WWCM"}</definedName>
    <definedName name="deleteme" localSheetId="3" hidden="1">{#N/A,#N/A,FALSE,"Output";#N/A,#N/A,FALSE,"Cover Sheet";#N/A,#N/A,FALSE,"Current Mkt. Projections"}</definedName>
    <definedName name="deleteme" hidden="1">{#N/A,#N/A,FALSE,"Output";#N/A,#N/A,FALSE,"Cover Sheet";#N/A,#N/A,FALSE,"Current Mkt. Projections"}</definedName>
    <definedName name="deleteme2" localSheetId="3" hidden="1">{#N/A,#N/A,FALSE,"Output";#N/A,#N/A,FALSE,"Cover Sheet";#N/A,#N/A,FALSE,"Current Mkt. Projections"}</definedName>
    <definedName name="deleteme2" hidden="1">{#N/A,#N/A,FALSE,"Output";#N/A,#N/A,FALSE,"Cover Sheet";#N/A,#N/A,FALSE,"Current Mkt. Projections"}</definedName>
    <definedName name="deleteme3" localSheetId="3" hidden="1">{#N/A,#N/A,FALSE,"Output";#N/A,#N/A,FALSE,"Cover Sheet";#N/A,#N/A,FALSE,"Current Mkt. Projections"}</definedName>
    <definedName name="deleteme3" hidden="1">{#N/A,#N/A,FALSE,"Output";#N/A,#N/A,FALSE,"Cover Sheet";#N/A,#N/A,FALSE,"Current Mkt. Projections"}</definedName>
    <definedName name="deleteme333" localSheetId="3" hidden="1">{#N/A,#N/A,FALSE,"Output";#N/A,#N/A,FALSE,"Cover Sheet";#N/A,#N/A,FALSE,"Current Mkt. Projections"}</definedName>
    <definedName name="deleteme333" hidden="1">{#N/A,#N/A,FALSE,"Output";#N/A,#N/A,FALSE,"Cover Sheet";#N/A,#N/A,FALSE,"Current Mkt. Projections"}</definedName>
    <definedName name="DeleteRange" hidden="1">#N/A</definedName>
    <definedName name="DeleteTable" hidden="1">#N/A</definedName>
    <definedName name="Deliverables_List">#REF!</definedName>
    <definedName name="dep" localSheetId="3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Department">#REF!</definedName>
    <definedName name="depr_period">#REF!</definedName>
    <definedName name="Depreciation_Amort">#REF!</definedName>
    <definedName name="DEPRECIATION_EXPENSES">#REF!</definedName>
    <definedName name="Depreciation_period">#REF!</definedName>
    <definedName name="Dept">#REF!</definedName>
    <definedName name="Desc_Bonus">#REF!</definedName>
    <definedName name="Description">#REF!</definedName>
    <definedName name="Description1">#REF!</definedName>
    <definedName name="Descriptions">#REF!</definedName>
    <definedName name="Dette_note_act">#REF!</definedName>
    <definedName name="Dette_Note_Pre">#REF!</definedName>
    <definedName name="Dette_Note_VerCT">#REF!</definedName>
    <definedName name="DevCap_note_Act">#REF!</definedName>
    <definedName name="DevCap_Note_Pre">#REF!</definedName>
    <definedName name="DEZLFEZKLHF" localSheetId="3" hidden="1">{#N/A,#N/A,FALSE,"Pharm";#N/A,#N/A,FALSE,"WWCM"}</definedName>
    <definedName name="DEZLFEZKLHF" hidden="1">{#N/A,#N/A,FALSE,"Pharm";#N/A,#N/A,FALSE,"WWCM"}</definedName>
    <definedName name="dfd" localSheetId="3" hidden="1">{"FCB_ALL",#N/A,FALSE,"FCB";"GREY_ALL",#N/A,FALSE,"GREY"}</definedName>
    <definedName name="dfd" hidden="1">{"FCB_ALL",#N/A,FALSE,"FCB";"GREY_ALL",#N/A,FALSE,"GREY"}</definedName>
    <definedName name="dfdas" localSheetId="3" hidden="1">{"FCB_ALL",#N/A,FALSE,"FCB";"GREY_ALL",#N/A,FALSE,"GREY"}</definedName>
    <definedName name="dfdas" hidden="1">{"FCB_ALL",#N/A,FALSE,"FCB";"GREY_ALL",#N/A,FALSE,"GREY"}</definedName>
    <definedName name="dfdas1" localSheetId="3" hidden="1">{"FCB_ALL",#N/A,FALSE,"FCB";"GREY_ALL",#N/A,FALSE,"GREY"}</definedName>
    <definedName name="dfdas1" hidden="1">{"FCB_ALL",#N/A,FALSE,"FCB";"GREY_ALL",#N/A,FALSE,"GREY"}</definedName>
    <definedName name="DFDD" localSheetId="3" hidden="1">{#N/A,#N/A,FALSE,"REPORT"}</definedName>
    <definedName name="DFDD" hidden="1">{#N/A,#N/A,FALSE,"REPORT"}</definedName>
    <definedName name="dfdfd" localSheetId="3" hidden="1">{"FCB_ALL",#N/A,FALSE,"FCB";"GREY_ALL",#N/A,FALSE,"GREY"}</definedName>
    <definedName name="dfdfd" hidden="1">{"FCB_ALL",#N/A,FALSE,"FCB";"GREY_ALL",#N/A,FALSE,"GREY"}</definedName>
    <definedName name="dfdfdd" localSheetId="3" hidden="1">{"FCB_ALL",#N/A,FALSE,"FCB";"GREY_ALL",#N/A,FALSE,"GREY"}</definedName>
    <definedName name="dfdfdd" hidden="1">{"FCB_ALL",#N/A,FALSE,"FCB";"GREY_ALL",#N/A,FALSE,"GREY"}</definedName>
    <definedName name="dfdfdfd" localSheetId="3" hidden="1">{"FCB_ALL",#N/A,FALSE,"FCB"}</definedName>
    <definedName name="dfdfdfd" hidden="1">{"FCB_ALL",#N/A,FALSE,"FCB"}</definedName>
    <definedName name="dfdfdfd1" localSheetId="3" hidden="1">{"FCB_ALL",#N/A,FALSE,"FCB"}</definedName>
    <definedName name="dfdfdfd1" hidden="1">{"FCB_ALL",#N/A,FALSE,"FCB"}</definedName>
    <definedName name="dfdsf" localSheetId="3" hidden="1">{"FCB_ALL",#N/A,FALSE,"FCB";"GREY_ALL",#N/A,FALSE,"GREY"}</definedName>
    <definedName name="dfdsf" hidden="1">{"FCB_ALL",#N/A,FALSE,"FCB";"GREY_ALL",#N/A,FALSE,"GREY"}</definedName>
    <definedName name="DFFCheckValue">#REF!</definedName>
    <definedName name="df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localSheetId="3" hidden="1">{#N/A,#N/A,FALSE,"Cashflow Analysis";#N/A,#N/A,FALSE,"Sensitivity Analysis";#N/A,#N/A,FALSE,"PV";#N/A,#N/A,FALSE,"Pro Forma"}</definedName>
    <definedName name="dfgd" hidden="1">{#N/A,#N/A,FALSE,"Cashflow Analysis";#N/A,#N/A,FALSE,"Sensitivity Analysis";#N/A,#N/A,FALSE,"PV";#N/A,#N/A,FALSE,"Pro Forma"}</definedName>
    <definedName name="dfgdfg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3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localSheetId="3" hidden="1">{"FCB_ALL",#N/A,FALSE,"FCB"}</definedName>
    <definedName name="dfgdgd" hidden="1">{"FCB_ALL",#N/A,FALSE,"FCB"}</definedName>
    <definedName name="dfgdxfv" localSheetId="3" hidden="1">{"FCB_ALL",#N/A,FALSE,"FCB"}</definedName>
    <definedName name="dfgdxfv" hidden="1">{"FCB_ALL",#N/A,FALSE,"FCB"}</definedName>
    <definedName name="dfgsdf" localSheetId="3" hidden="1">{"FCB_ALL",#N/A,FALSE,"FCB"}</definedName>
    <definedName name="dfgsdf" hidden="1">{"FCB_ALL",#N/A,FALSE,"FCB"}</definedName>
    <definedName name="dfhzfd" localSheetId="3" hidden="1">{"'Sheet1'!$A$5:$G$42"}</definedName>
    <definedName name="dfhzfd" hidden="1">{"'Sheet1'!$A$5:$G$42"}</definedName>
    <definedName name="dfr" localSheetId="3" hidden="1">{#N/A,#N/A,FALSE,"Pharm";#N/A,#N/A,FALSE,"WWCM"}</definedName>
    <definedName name="dfr" hidden="1">{#N/A,#N/A,FALSE,"Pharm";#N/A,#N/A,FALSE,"WWCM"}</definedName>
    <definedName name="dfs" localSheetId="3" hidden="1">{#N/A,#N/A,FALSE,"Cover";#N/A,#N/A,FALSE,"TOC";#N/A,#N/A,FALSE,"IS";#N/A,#N/A,FALSE,"Mo. IS";#N/A,#N/A,FALSE,"Cont By Div";#N/A,#N/A,FALSE,"BS";#N/A,#N/A,FALSE,"CF";#N/A,#N/A,FALSE,"Inventory"}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" localSheetId="3" hidden="1">{"mgmt forecast",#N/A,FALSE,"Mgmt Forecast";"dcf table",#N/A,FALSE,"Mgmt Forecast";"sensitivity",#N/A,FALSE,"Mgmt Forecast";"table inputs",#N/A,FALSE,"Mgmt Forecast";"calculations",#N/A,FALSE,"Mgmt Forecast"}</definedName>
    <definedName name="dfsd" hidden="1">{"mgmt forecast",#N/A,FALSE,"Mgmt Forecast";"dcf table",#N/A,FALSE,"Mgmt Forecast";"sensitivity",#N/A,FALSE,"Mgmt Forecast";"table inputs",#N/A,FALSE,"Mgmt Forecast";"calculations",#N/A,FALSE,"Mgmt Forecast"}</definedName>
    <definedName name="dfsfa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ds" localSheetId="3" hidden="1">{"mgmt forecast",#N/A,FALSE,"Mgmt Forecast";"dcf table",#N/A,FALSE,"Mgmt Forecast";"sensitivity",#N/A,FALSE,"Mgmt Forecast";"table inputs",#N/A,FALSE,"Mgmt Forecast";"calculations",#N/A,FALSE,"Mgmt Forecast"}</definedName>
    <definedName name="dfsfds" hidden="1">{"mgmt forecast",#N/A,FALSE,"Mgmt Forecast";"dcf table",#N/A,FALSE,"Mgmt Forecast";"sensitivity",#N/A,FALSE,"Mgmt Forecast";"table inputs",#N/A,FALSE,"Mgmt Forecast";"calculations",#N/A,FALSE,"Mgmt Forecast"}</definedName>
    <definedName name="dfsgsdfg" localSheetId="3" hidden="1">{#N/A,#N/A,FALSE,"Cover";#N/A,#N/A,FALSE,"TOC";#N/A,#N/A,FALSE,"IS";#N/A,#N/A,FALSE,"Mo. IS";#N/A,#N/A,FALSE,"Cont By Div";#N/A,#N/A,FALSE,"BS";#N/A,#N/A,FALSE,"CF";#N/A,#N/A,FALSE,"Inventory"}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" localSheetId="3" hidden="1">{"mgmt forecast",#N/A,FALSE,"Mgmt Forecast";"dcf table",#N/A,FALSE,"Mgmt Forecast";"sensitivity",#N/A,FALSE,"Mgmt Forecast";"table inputs",#N/A,FALSE,"Mgmt Forecast";"calculations",#N/A,FALSE,"Mgmt Forecast"}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h" localSheetId="3" hidden="1">{"summary",#N/A,FALSE,"3 yr average";"comps",#N/A,FALSE,"3 yr average"}</definedName>
    <definedName name="dgh" hidden="1">{"summary",#N/A,FALSE,"3 yr average";"comps",#N/A,FALSE,"3 yr average"}</definedName>
    <definedName name="dgsdg" localSheetId="3" hidden="1">{#N/A,#N/A,FALSE,"A&amp;E";#N/A,#N/A,FALSE,"HighTop";#N/A,#N/A,FALSE,"JG";#N/A,#N/A,FALSE,"RI";#N/A,#N/A,FALSE,"woHT";#N/A,#N/A,FALSE,"woHT&amp;JG"}</definedName>
    <definedName name="dgsdg" hidden="1">{#N/A,#N/A,FALSE,"A&amp;E";#N/A,#N/A,FALSE,"HighTop";#N/A,#N/A,FALSE,"JG";#N/A,#N/A,FALSE,"RI";#N/A,#N/A,FALSE,"woHT";#N/A,#N/A,FALSE,"woHT&amp;JG"}</definedName>
    <definedName name="dgtdf" localSheetId="3" hidden="1">{"FCB_ALL",#N/A,FALSE,"FCB"}</definedName>
    <definedName name="dgtdf" hidden="1">{"FCB_ALL",#N/A,FALSE,"FCB"}</definedName>
    <definedName name="DH">#REF!</definedName>
    <definedName name="dhdh" localSheetId="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G" localSheetId="3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rect_Production_Costs_Actual">#REF!</definedName>
    <definedName name="Direct_Production_Costs_Budget">#REF!</definedName>
    <definedName name="Direct_Production_Perc">#REF!</definedName>
    <definedName name="dis" localSheetId="3" hidden="1">{#N/A,#N/A,FALSE,"Cashflow Analysis";#N/A,#N/A,FALSE,"Sensitivity Analysis";#N/A,#N/A,FALSE,"PV";#N/A,#N/A,FALSE,"Pro Forma"}</definedName>
    <definedName name="dis" hidden="1">{#N/A,#N/A,FALSE,"Cashflow Analysis";#N/A,#N/A,FALSE,"Sensitivity Analysis";#N/A,#N/A,FALSE,"PV";#N/A,#N/A,FALSE,"Pro Forma"}</definedName>
    <definedName name="dis.2" localSheetId="3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losure">#REF!</definedName>
    <definedName name="DistributionsSwitch">#REF!</definedName>
    <definedName name="div">#REF!</definedName>
    <definedName name="Div_Evol_Act">#REF!</definedName>
    <definedName name="Div_Evol_Pre">#REF!</definedName>
    <definedName name="Div_Method">#REF!</definedName>
    <definedName name="Division">#REF!</definedName>
    <definedName name="division_sel">#REF!</definedName>
    <definedName name="dj" localSheetId="3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jdhjghdhj" localSheetId="3" hidden="1">{"Consolidated IS w Ratios",#N/A,FALSE,"Consolidated";"Consolidated CF",#N/A,FALSE,"Consolidated";"Consolidated DCF",#N/A,FALSE,"Consolidated"}</definedName>
    <definedName name="djdhjghdhj" hidden="1">{"Consolidated IS w Ratios",#N/A,FALSE,"Consolidated";"Consolidated CF",#N/A,FALSE,"Consolidated";"Consolidated DCF",#N/A,FALSE,"Consolidated"}</definedName>
    <definedName name="djksljd" localSheetId="3" hidden="1">{#N/A,#N/A,FALSE,"Other";#N/A,#N/A,FALSE,"Ace";#N/A,#N/A,FALSE,"Derm"}</definedName>
    <definedName name="djksljd" hidden="1">{#N/A,#N/A,FALSE,"Other";#N/A,#N/A,FALSE,"Ace";#N/A,#N/A,FALSE,"Derm"}</definedName>
    <definedName name="dkgahirghigf" localSheetId="3" hidden="1">{#N/A,#N/A,FALSE,"Pharm";#N/A,#N/A,FALSE,"WWCM"}</definedName>
    <definedName name="dkgahirghigf" hidden="1">{#N/A,#N/A,FALSE,"Pharm";#N/A,#N/A,FALSE,"WWCM"}</definedName>
    <definedName name="DL_OH_Calculation">#REF!</definedName>
    <definedName name="DLT_Note_Act">#REF!</definedName>
    <definedName name="DLT_Note_Pre">#REF!</definedName>
    <definedName name="DollarHeader">#REF!</definedName>
    <definedName name="DR" localSheetId="3" hidden="1">{#N/A,#N/A,FALSE,"Cover Support";#N/A,#N/A,FALSE,"BU P&amp;L Mar ESP";#N/A,#N/A,FALSE,"BU P&amp;L YTD ESP";#N/A,#N/A,FALSE,"Job Cost YTD2"}</definedName>
    <definedName name="DR" hidden="1">{#N/A,#N/A,FALSE,"Cover Support";#N/A,#N/A,FALSE,"BU P&amp;L Mar ESP";#N/A,#N/A,FALSE,"BU P&amp;L YTD ESP";#N/A,#N/A,FALSE,"Job Cost YTD2"}</definedName>
    <definedName name="draft">#REF!</definedName>
    <definedName name="DraftNote">#REF!</definedName>
    <definedName name="dreyer" localSheetId="3" hidden="1">{"FCB_ALL",#N/A,FALSE,"FCB"}</definedName>
    <definedName name="dreyer" hidden="1">{"FCB_ALL",#N/A,FALSE,"FCB"}</definedName>
    <definedName name="drgd" localSheetId="3" hidden="1">{"FCB_ALL",#N/A,FALSE,"FCB"}</definedName>
    <definedName name="drgd" hidden="1">{"FCB_ALL",#N/A,FALSE,"FCB"}</definedName>
    <definedName name="drtd" localSheetId="3" hidden="1">{"FCB_ALL",#N/A,FALSE,"FCB"}</definedName>
    <definedName name="drtd" hidden="1">{"FCB_ALL",#N/A,FALSE,"FCB"}</definedName>
    <definedName name="drtg" localSheetId="3" hidden="1">{"FCB_ALL",#N/A,FALSE,"FCB"}</definedName>
    <definedName name="drtg" hidden="1">{"FCB_ALL",#N/A,FALSE,"FCB"}</definedName>
    <definedName name="drtgdg" localSheetId="3" hidden="1">{"FCB_ALL",#N/A,FALSE,"FCB"}</definedName>
    <definedName name="drtgdg" hidden="1">{"FCB_ALL",#N/A,FALSE,"FCB"}</definedName>
    <definedName name="dsaf" localSheetId="3" hidden="1">{"Employee Efficiency",#N/A,FALSE,"Benchmarking"}</definedName>
    <definedName name="dsaf" hidden="1">{"Employee Efficiency",#N/A,FALSE,"Benchmarking"}</definedName>
    <definedName name="d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localSheetId="3" hidden="1">{"FCB_ALL",#N/A,FALSE,"FCB";"GREY_ALL",#N/A,FALSE,"GREY"}</definedName>
    <definedName name="dsaflkj" hidden="1">{"FCB_ALL",#N/A,FALSE,"FCB";"GREY_ALL",#N/A,FALSE,"GREY"}</definedName>
    <definedName name="dsaflkje" localSheetId="3" hidden="1">{"FCB_ALL",#N/A,FALSE,"FCB"}</definedName>
    <definedName name="dsaflkje" hidden="1">{"FCB_ALL",#N/A,FALSE,"FCB"}</definedName>
    <definedName name="dsafwlekj" localSheetId="3" hidden="1">{"FCB_ALL",#N/A,FALSE,"FCB";"GREY_ALL",#N/A,FALSE,"GREY"}</definedName>
    <definedName name="dsafwlekj" hidden="1">{"FCB_ALL",#N/A,FALSE,"FCB";"GREY_ALL",#N/A,FALSE,"GREY"}</definedName>
    <definedName name="dsajsdj" localSheetId="3" hidden="1">{"mgmt forecast",#N/A,FALSE,"Mgmt Forecast";"dcf table",#N/A,FALSE,"Mgmt Forecast";"sensitivity",#N/A,FALSE,"Mgmt Forecast";"table inputs",#N/A,FALSE,"Mgmt Forecast";"calculations",#N/A,FALSE,"Mgmt Forecast"}</definedName>
    <definedName name="dsajsdj" hidden="1">{"mgmt forecast",#N/A,FALSE,"Mgmt Forecast";"dcf table",#N/A,FALSE,"Mgmt Forecast";"sensitivity",#N/A,FALSE,"Mgmt Forecast";"table inputs",#N/A,FALSE,"Mgmt Forecast";"calculations",#N/A,FALSE,"Mgmt Forecast"}</definedName>
    <definedName name="dsd" localSheetId="3" hidden="1">{"orixcsc",#N/A,FALSE,"ORIX CSC";"orixcsc2",#N/A,FALSE,"ORIX CSC"}</definedName>
    <definedName name="dsd" hidden="1">{"orixcsc",#N/A,FALSE,"ORIX CSC";"orixcsc2",#N/A,FALSE,"ORIX CSC"}</definedName>
    <definedName name="dsddsa" localSheetId="3" hidden="1">{#N/A,#N/A,FALSE,"A&amp;E";#N/A,#N/A,FALSE,"HighTop";#N/A,#N/A,FALSE,"JG";#N/A,#N/A,FALSE,"RI";#N/A,#N/A,FALSE,"woHT";#N/A,#N/A,FALSE,"woHT&amp;JG"}</definedName>
    <definedName name="dsddsa" hidden="1">{#N/A,#N/A,FALSE,"A&amp;E";#N/A,#N/A,FALSE,"HighTop";#N/A,#N/A,FALSE,"JG";#N/A,#N/A,FALSE,"RI";#N/A,#N/A,FALSE,"woHT";#N/A,#N/A,FALSE,"woHT&amp;JG"}</definedName>
    <definedName name="dsea" localSheetId="3" hidden="1">{"FCB_ALL",#N/A,FALSE,"FCB"}</definedName>
    <definedName name="dsea" hidden="1">{"FCB_ALL",#N/A,FALSE,"FCB"}</definedName>
    <definedName name="dsfddsf" localSheetId="3" hidden="1">{"standalone1",#N/A,FALSE,"DCFBase";"standalone2",#N/A,FALSE,"DCFBase"}</definedName>
    <definedName name="dsfddsf" hidden="1">{"standalone1",#N/A,FALSE,"DCFBase";"standalone2",#N/A,FALSE,"DCFBase"}</definedName>
    <definedName name="dsfg" localSheetId="3" hidden="1">{"Eur Base Top",#N/A,FALSE,"Europe Base";"Eur Base Bottom",#N/A,FALSE,"Europe Base"}</definedName>
    <definedName name="dsfg" hidden="1">{"Eur Base Top",#N/A,FALSE,"Europe Base";"Eur Base Bottom",#N/A,FALSE,"Europe Base"}</definedName>
    <definedName name="dsfgr" localSheetId="3" hidden="1">{"FCB_ALL",#N/A,FALSE,"FCB"}</definedName>
    <definedName name="dsfgr" hidden="1">{"FCB_ALL",#N/A,FALSE,"FCB"}</definedName>
    <definedName name="dsfsd" localSheetId="3" hidden="1">{"Total",#N/A,FALSE,"Six Fields";"PDP",#N/A,FALSE,"Six Fields";"PNP",#N/A,FALSE,"Six Fields";"PUD",#N/A,FALSE,"Six Fields";"Prob",#N/A,FALSE,"Six Fields"}</definedName>
    <definedName name="dsfsd" hidden="1">{"Total",#N/A,FALSE,"Six Fields";"PDP",#N/A,FALSE,"Six Fields";"PNP",#N/A,FALSE,"Six Fields";"PUD",#N/A,FALSE,"Six Fields";"Prob",#N/A,FALSE,"Six Fields"}</definedName>
    <definedName name="dsfsfds" hidden="1">#REF!</definedName>
    <definedName name="dsfsffss" localSheetId="3" hidden="1">{#N/A,#N/A,FALSE,"Pharm";#N/A,#N/A,FALSE,"WWCM"}</definedName>
    <definedName name="dsfsffss" hidden="1">{#N/A,#N/A,FALSE,"Pharm";#N/A,#N/A,FALSE,"WWCM"}</definedName>
    <definedName name="dsgsfgsdfg" localSheetId="3" hidden="1">{"NA Is w Ratios",#N/A,FALSE,"North America";"PF CFlow NA",#N/A,FALSE,"North America";"NA DCF Matrix",#N/A,FALSE,"North America"}</definedName>
    <definedName name="dsgsfgsdfg" hidden="1">{"NA Is w Ratios",#N/A,FALSE,"North America";"PF CFlow NA",#N/A,FALSE,"North America";"NA DCF Matrix",#N/A,FALSE,"North America"}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sd" localSheetId="3" hidden="1">{#N/A,#N/A,FALSE,"CreditStat";#N/A,#N/A,FALSE,"SPbrkup";#N/A,#N/A,FALSE,"MerSPsyn";#N/A,#N/A,FALSE,"MerSPwKCsyn";#N/A,#N/A,FALSE,"MerSPwKCsyn (2)";#N/A,#N/A,FALSE,"CreditStat (2)"}</definedName>
    <definedName name="dssd" hidden="1">{#N/A,#N/A,FALSE,"CreditStat";#N/A,#N/A,FALSE,"SPbrkup";#N/A,#N/A,FALSE,"MerSPsyn";#N/A,#N/A,FALSE,"MerSPwKCsyn";#N/A,#N/A,FALSE,"MerSPwKCsyn (2)";#N/A,#N/A,FALSE,"CreditStat (2)"}</definedName>
    <definedName name="Dummy" localSheetId="3" hidden="1">{"Summary",#N/A,FALSE,"Summary"}</definedName>
    <definedName name="Dummy" hidden="1">{"Summary",#N/A,FALSE,"Summary"}</definedName>
    <definedName name="Dummy_1" localSheetId="3" hidden="1">{"Summary",#N/A,FALSE,"Summary"}</definedName>
    <definedName name="Dummy_1" hidden="1">{"Summary",#N/A,FALSE,"Summary"}</definedName>
    <definedName name="Dummy_1_1" localSheetId="3" hidden="1">{"Summary",#N/A,FALSE,"Summary"}</definedName>
    <definedName name="Dummy_1_1" hidden="1">{"Summary",#N/A,FALSE,"Summary"}</definedName>
    <definedName name="Dummy_1_2" localSheetId="3" hidden="1">{"Summary",#N/A,FALSE,"Summary"}</definedName>
    <definedName name="Dummy_1_2" hidden="1">{"Summary",#N/A,FALSE,"Summary"}</definedName>
    <definedName name="Dummy_1_3" localSheetId="3" hidden="1">{"Summary",#N/A,FALSE,"Summary"}</definedName>
    <definedName name="Dummy_1_3" hidden="1">{"Summary",#N/A,FALSE,"Summary"}</definedName>
    <definedName name="Dummy_1_4" localSheetId="3" hidden="1">{"Summary",#N/A,FALSE,"Summary"}</definedName>
    <definedName name="Dummy_1_4" hidden="1">{"Summary",#N/A,FALSE,"Summary"}</definedName>
    <definedName name="Dummy_2" localSheetId="3" hidden="1">{"Summary",#N/A,FALSE,"Summary"}</definedName>
    <definedName name="Dummy_2" hidden="1">{"Summary",#N/A,FALSE,"Summary"}</definedName>
    <definedName name="Dummy_3" localSheetId="3" hidden="1">{"Summary",#N/A,FALSE,"Summary"}</definedName>
    <definedName name="Dummy_3" hidden="1">{"Summary",#N/A,FALSE,"Summary"}</definedName>
    <definedName name="Dummy_4" localSheetId="3" hidden="1">{"Summary",#N/A,FALSE,"Summary"}</definedName>
    <definedName name="Dummy_4" hidden="1">{"Summary",#N/A,FALSE,"Summary"}</definedName>
    <definedName name="Dummy_5" localSheetId="3" hidden="1">{"Summary",#N/A,FALSE,"Summary"}</definedName>
    <definedName name="Dummy_5" hidden="1">{"Summary",#N/A,FALSE,"Summary"}</definedName>
    <definedName name="Dummy1" localSheetId="3" hidden="1">{"Summary",#N/A,FALSE,"Summary"}</definedName>
    <definedName name="Dummy1" hidden="1">{"Summary",#N/A,FALSE,"Summary"}</definedName>
    <definedName name="Dummy1_1" localSheetId="3" hidden="1">{"Summary",#N/A,FALSE,"Summary"}</definedName>
    <definedName name="Dummy1_1" hidden="1">{"Summary",#N/A,FALSE,"Summary"}</definedName>
    <definedName name="Dummy1_1_1" localSheetId="3" hidden="1">{"Summary",#N/A,FALSE,"Summary"}</definedName>
    <definedName name="Dummy1_1_1" hidden="1">{"Summary",#N/A,FALSE,"Summary"}</definedName>
    <definedName name="Dummy1_1_2" localSheetId="3" hidden="1">{"Summary",#N/A,FALSE,"Summary"}</definedName>
    <definedName name="Dummy1_1_2" hidden="1">{"Summary",#N/A,FALSE,"Summary"}</definedName>
    <definedName name="Dummy1_1_3" localSheetId="3" hidden="1">{"Summary",#N/A,FALSE,"Summary"}</definedName>
    <definedName name="Dummy1_1_3" hidden="1">{"Summary",#N/A,FALSE,"Summary"}</definedName>
    <definedName name="Dummy1_1_4" localSheetId="3" hidden="1">{"Summary",#N/A,FALSE,"Summary"}</definedName>
    <definedName name="Dummy1_1_4" hidden="1">{"Summary",#N/A,FALSE,"Summary"}</definedName>
    <definedName name="Dummy1_2" localSheetId="3" hidden="1">{"Summary",#N/A,FALSE,"Summary"}</definedName>
    <definedName name="Dummy1_2" hidden="1">{"Summary",#N/A,FALSE,"Summary"}</definedName>
    <definedName name="Dummy1_3" localSheetId="3" hidden="1">{"Summary",#N/A,FALSE,"Summary"}</definedName>
    <definedName name="Dummy1_3" hidden="1">{"Summary",#N/A,FALSE,"Summary"}</definedName>
    <definedName name="Dummy1_4" localSheetId="3" hidden="1">{"Summary",#N/A,FALSE,"Summary"}</definedName>
    <definedName name="Dummy1_4" hidden="1">{"Summary",#N/A,FALSE,"Summary"}</definedName>
    <definedName name="Dummy1_5" localSheetId="3" hidden="1">{"Summary",#N/A,FALSE,"Summary"}</definedName>
    <definedName name="Dummy1_5" hidden="1">{"Summary",#N/A,FALSE,"Summary"}</definedName>
    <definedName name="dwcwc" localSheetId="3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ihiu3hqw" localSheetId="3" hidden="1">{#N/A,#N/A,FALSE,"Cover";#N/A,#N/A,FALSE,"Main";#N/A,#N/A,FALSE,"Q4 (ex. Excel)";#N/A,#N/A,FALSE,"Summary (ex. Excel)";#N/A,#N/A,FALSE,"Guid";#N/A,#N/A,FALSE,"Monthly (ex. Excel)"}</definedName>
    <definedName name="dwihiu3hqw" hidden="1">{#N/A,#N/A,FALSE,"Cover";#N/A,#N/A,FALSE,"Main";#N/A,#N/A,FALSE,"Q4 (ex. Excel)";#N/A,#N/A,FALSE,"Summary (ex. Excel)";#N/A,#N/A,FALSE,"Guid";#N/A,#N/A,FALSE,"Monthly (ex. Excel)"}</definedName>
    <definedName name="DX182à">#REF!</definedName>
    <definedName name="DZ407_Resources">#REF!</definedName>
    <definedName name="E">#REF!</definedName>
    <definedName name="é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é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BITDA_Bridge">#REF!</definedName>
    <definedName name="EBT_Base">#REF!</definedName>
    <definedName name="ed" localSheetId="3" hidden="1">{#N/A,#N/A,FALSE,"FAB VENDORS";"BUD SUM",#N/A,FALSE,"BUD SUM WO TEX"}</definedName>
    <definedName name="ed" hidden="1">{#N/A,#N/A,FALSE,"FAB VENDORS";"BUD SUM",#N/A,FALSE,"BUD SUM WO TEX"}</definedName>
    <definedName name="ee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DivCount">#REF!</definedName>
    <definedName name="EEE" localSheetId="3" hidden="1">{#N/A,#N/A,FALSE,"Pharm";#N/A,#N/A,FALSE,"WWCM"}</definedName>
    <definedName name="EEE" hidden="1">{#N/A,#N/A,FALSE,"Pharm";#N/A,#N/A,FALSE,"WWCM"}</definedName>
    <definedName name="eeeee" localSheetId="3" hidden="1">{#N/A,#N/A,FALSE,"Pharm";#N/A,#N/A,FALSE,"WWCM"}</definedName>
    <definedName name="eeeee" hidden="1">{#N/A,#N/A,FALSE,"Pharm";#N/A,#N/A,FALSE,"WWCM"}</definedName>
    <definedName name="eeeeeeee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eee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eeeeee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eeeeeeeeee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eeeeeeeeeeeeeeee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eeeeeeeeeee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xpiry">#REF!</definedName>
    <definedName name="eerr" localSheetId="3" hidden="1">{"Alle Perioden",#N/A,FALSE,"Erf";"Alle Perioden",#N/A,FALSE,"Ang";"Alle Perioden",#N/A,FALSE,"BV";"Alle Perioden",#N/A,FALSE,"BE";"Alle Perioden",#N/A,FALSE,"Re";"Alle Perioden",#N/A,FALSE,"Vol"}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sf" localSheetId="3" hidden="1">{#N/A,#N/A,FALSE,"Aging Summary";#N/A,#N/A,FALSE,"Ratio Analysis";#N/A,#N/A,FALSE,"Test 120 Day Accts";#N/A,#N/A,FALSE,"Tickmarks"}</definedName>
    <definedName name="eesf" hidden="1">{#N/A,#N/A,FALSE,"Aging Summary";#N/A,#N/A,FALSE,"Ratio Analysis";#N/A,#N/A,FALSE,"Test 120 Day Accts";#N/A,#N/A,FALSE,"Tickmarks"}</definedName>
    <definedName name="eesf1" localSheetId="3" hidden="1">{#N/A,#N/A,FALSE,"Aging Summary";#N/A,#N/A,FALSE,"Ratio Analysis";#N/A,#N/A,FALSE,"Test 120 Day Accts";#N/A,#N/A,FALSE,"Tickmarks"}</definedName>
    <definedName name="eesf1" hidden="1">{#N/A,#N/A,FALSE,"Aging Summary";#N/A,#N/A,FALSE,"Ratio Analysis";#N/A,#N/A,FALSE,"Test 120 Day Accts";#N/A,#N/A,FALSE,"Tickmarks"}</definedName>
    <definedName name="EESpot">#REF!</definedName>
    <definedName name="eewe">#REF!</definedName>
    <definedName name="ef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localSheetId="3" hidden="1">{#N/A,#N/A,FALSE,"Output";#N/A,#N/A,FALSE,"Cover Sheet";#N/A,#N/A,FALSE,"Current Mkt. Projections"}</definedName>
    <definedName name="efin" hidden="1">{#N/A,#N/A,FALSE,"Output";#N/A,#N/A,FALSE,"Cover Sheet";#N/A,#N/A,FALSE,"Current Mkt. Projections"}</definedName>
    <definedName name="efn" localSheetId="3" hidden="1">{#N/A,#N/A,TRUE,"DCF Summary";#N/A,#N/A,TRUE,"Casema";#N/A,#N/A,TRUE,"UK";#N/A,#N/A,TRUE,"RCF";#N/A,#N/A,TRUE,"Intercable CZ";#N/A,#N/A,TRUE,"Interkabel P";#N/A,#N/A,TRUE,"LBO-Total";#N/A,#N/A,TRUE,"LBO-Casema"}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jkfgkjze" localSheetId="3" hidden="1">{#N/A,#N/A,FALSE,"Pharm";#N/A,#N/A,FALSE,"WWCM"}</definedName>
    <definedName name="ejkfgkjze" hidden="1">{#N/A,#N/A,FALSE,"Pharm";#N/A,#N/A,FALSE,"WWCM"}</definedName>
    <definedName name="EMEA">#REF!</definedName>
    <definedName name="emh_list" comment="EMH - List of EMH elements">#REF!</definedName>
    <definedName name="emh_summary" comment="EMH - All days summary">#REF!</definedName>
    <definedName name="emh_task" comment="EMH - Task list">#REF!</definedName>
    <definedName name="Employee">#REF!</definedName>
    <definedName name="End">#REF!</definedName>
    <definedName name="End_Bal">#REF!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ndingBalance" localSheetId="3">-FV(InterestRate/12,'Locations Data'!PaymentNumber,-'Locations Data'!MonthlyPayment,LoanAmount)</definedName>
    <definedName name="EndingBalance">-FV(InterestRate/12,PaymentNumber,-MonthlyPayment,LoanAmount)</definedName>
    <definedName name="EndSheet">#REF!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ng_Note_Act">#REF!</definedName>
    <definedName name="Enga_Note">#REF!</definedName>
    <definedName name="EntryDate">#REF!</definedName>
    <definedName name="EP" localSheetId="3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EP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EPC" localSheetId="3" hidden="1">{#N/A,#N/A,FALSE,"RESUMEN ECON.";#N/A,#N/A,FALSE,"Costos de R.H.";#N/A,#N/A,FALSE,"COSTO HW";#N/A,#N/A,FALSE,"CUADROS";#N/A,#N/A,FALSE,"SCADA´s";#N/A,#N/A,FALSE,"PRECIOS EQUIPOS"}</definedName>
    <definedName name="EPC" hidden="1">{#N/A,#N/A,FALSE,"RESUMEN ECON.";#N/A,#N/A,FALSE,"Costos de R.H.";#N/A,#N/A,FALSE,"COSTO HW";#N/A,#N/A,FALSE,"CUADROS";#N/A,#N/A,FALSE,"SCADA´s";#N/A,#N/A,FALSE,"PRECIOS EQUIPOS"}</definedName>
    <definedName name="Equip_DailyCost_Editorial">#REF!</definedName>
    <definedName name="Equip_DailyCost_Flame">#REF!</definedName>
    <definedName name="Equip_DailyCost_Houdini_Maya">#REF!</definedName>
    <definedName name="Equip_DailyCost_Paint">#REF!</definedName>
    <definedName name="Equip_DailyCost_Production">#REF!</definedName>
    <definedName name="Equip_DailyCost_Shake">#REF!</definedName>
    <definedName name="Equip_DailyCost_Support">#REF!</definedName>
    <definedName name="Equip_DailyCost_Tracking">#REF!</definedName>
    <definedName name="Equip_MonthlyCost_Infrastructure">#REF!</definedName>
    <definedName name="Equip_MonthlyCost_Render">#REF!</definedName>
    <definedName name="Equip_Workstations">#REF!</definedName>
    <definedName name="Equipment_Charges_Actual">#REF!</definedName>
    <definedName name="Equipment_Charges_Budget">#REF!</definedName>
    <definedName name="Equity_Rollfwd">#REF!</definedName>
    <definedName name="er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e" localSheetId="3" hidden="1">{"summary report",#N/A,FALSE,"SUMMARY REPORT";"salary model ytd",#N/A,FALSE,"SALARY MODEL - YTD";"salary model mtd",#N/A,FALSE,"SALARY MODEL - MTD";"detail 311",#N/A,FALSE,"311 ACTUAL"}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d" localSheetId="3" hidden="1">{#N/A,#N/A,FALSE,"Pharm";#N/A,#N/A,FALSE,"WWCM"}</definedName>
    <definedName name="erd" hidden="1">{#N/A,#N/A,FALSE,"Pharm";#N/A,#N/A,FALSE,"WWCM"}</definedName>
    <definedName name="erere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GEE">#REF!</definedName>
    <definedName name="erryeyetyuu" localSheetId="3" hidden="1">{#N/A,#N/A,FALSE,"Pharm";#N/A,#N/A,FALSE,"WWCM"}</definedName>
    <definedName name="erryeyetyuu" hidden="1">{#N/A,#N/A,FALSE,"Pharm";#N/A,#N/A,FALSE,"WWCM"}</definedName>
    <definedName name="ers" localSheetId="3" hidden="1">{"FCB_ALL",#N/A,FALSE,"FCB";"GREY_ALL",#N/A,FALSE,"GREY"}</definedName>
    <definedName name="ers" hidden="1">{"FCB_ALL",#N/A,FALSE,"FCB";"GREY_ALL",#N/A,FALSE,"GREY"}</definedName>
    <definedName name="ersdf" localSheetId="3" hidden="1">{"FCB_ALL",#N/A,FALSE,"FCB";"GREY_ALL",#N/A,FALSE,"GREY"}</definedName>
    <definedName name="ersdf" hidden="1">{"FCB_ALL",#N/A,FALSE,"FCB";"GREY_ALL",#N/A,FALSE,"GREY"}</definedName>
    <definedName name="erser" localSheetId="3" hidden="1">{"FCB_ALL",#N/A,FALSE,"FCB"}</definedName>
    <definedName name="erser" hidden="1">{"FCB_ALL",#N/A,FALSE,"FCB"}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s" localSheetId="3" hidden="1">{"FCB_ALL",#N/A,FALSE,"FCB"}</definedName>
    <definedName name="es" hidden="1">{"FCB_ALL",#N/A,FALSE,"FCB"}</definedName>
    <definedName name="Escalators">#REF!</definedName>
    <definedName name="esnrc100c1_values" localSheetId="3" hidden="1">{"FTSE100","COMPANIES",TRUE}</definedName>
    <definedName name="esnrc100c1_values" hidden="1">{"FTSE100","COMPANIES",TRUE}</definedName>
    <definedName name="esnrc33c1_values" localSheetId="3" hidden="1">{"EUMOT","COMPANIES",TRUE}</definedName>
    <definedName name="esnrc33c1_values" hidden="1">{"EUMOT","COMPANIES",TRUE}</definedName>
    <definedName name="esnrc56c1_values" localSheetId="3" hidden="1">{"ASCONGRP","COMPANIES",TRUE}</definedName>
    <definedName name="esnrc56c1_values" hidden="1">{"ASCONGRP","COMPANIES",TRUE}</definedName>
    <definedName name="esnrc63c1_values" localSheetId="3" hidden="1">{"EUUTIGRP","COMPANIES",TRUE}</definedName>
    <definedName name="esnrc63c1_values" hidden="1">{"EUUTIGRP","COMPANIES",TRUE}</definedName>
    <definedName name="esnrc91c1_values" localSheetId="3" hidden="1">{"EUUTI","COMPANIES",TRUE}</definedName>
    <definedName name="esnrc91c1_values" hidden="1">{"EUUTI","COMPANIES",TRUE}</definedName>
    <definedName name="esr" localSheetId="3" hidden="1">{"FCB_ALL",#N/A,FALSE,"FCB"}</definedName>
    <definedName name="esr" hidden="1">{"FCB_ALL",#N/A,FALSE,"FCB"}</definedName>
    <definedName name="esrs" localSheetId="3" hidden="1">{"FCB_ALL",#N/A,FALSE,"FCB"}</definedName>
    <definedName name="esrs" hidden="1">{"FCB_ALL",#N/A,FALSE,"FCB"}</definedName>
    <definedName name="ESSAI" localSheetId="3" hidden="1">{#N/A,#N/A,FALSE,"Pharm";#N/A,#N/A,FALSE,"WWCM"}</definedName>
    <definedName name="ESSAI" hidden="1">{#N/A,#N/A,FALSE,"Pharm";#N/A,#N/A,FALSE,"WWCM"}</definedName>
    <definedName name="EssOptions">"1100001000110100_01000"</definedName>
    <definedName name="EURFX">#REF!</definedName>
    <definedName name="europe">#REF!</definedName>
    <definedName name="EV">#REF!</definedName>
    <definedName name="ev.Calculation" hidden="1">-4105</definedName>
    <definedName name="ev.Initialized" hidden="1">FALSE</definedName>
    <definedName name="EV__CVPARAMS__" hidden="1">"Trend!$B$17:$C$38;"</definedName>
    <definedName name="EV__EVCOM_OPTIONS__" hidden="1">10</definedName>
    <definedName name="EV__LASTREFTIME__" hidden="1">41954.8688541667</definedName>
    <definedName name="EV__LASTREFTIME___1" hidden="1">41113.5890856481</definedName>
    <definedName name="EV__LASTREFTIME___2" hidden="1">41352.665625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_WBVERSION__" hidden="1">0</definedName>
    <definedName name="EVAL">#REF!</definedName>
    <definedName name="evaldate">#REF!</definedName>
    <definedName name="ewsör" localSheetId="3" hidden="1">{"standalone1",#N/A,FALSE,"DCFBase";"standalone2",#N/A,FALSE,"DCFBase"}</definedName>
    <definedName name="ewsör" hidden="1">{"standalone1",#N/A,FALSE,"DCFBase";"standalone2",#N/A,FALSE,"DCFBase"}</definedName>
    <definedName name="ewwe" localSheetId="3" hidden="1">{#N/A,#N/A,FALSE,"REPORT"}</definedName>
    <definedName name="ewwe" hidden="1">{#N/A,#N/A,FALSE,"REPORT"}</definedName>
    <definedName name="ExactAddinConnection" hidden="1">"001"</definedName>
    <definedName name="ExactAddinConnection.001" hidden="1">"eidc3;m001;alex;1"</definedName>
    <definedName name="ExactAddinConnection.002" hidden="1">"eidc3;m101;richa;1"</definedName>
    <definedName name="ExactAddinConnection.020" hidden="1">"BYLSQL;020;lclark;1"</definedName>
    <definedName name="ExactAddinConnection.040" hidden="1">"BYLSQL;040;lclark;1"</definedName>
    <definedName name="ExactAddinConnection.050" hidden="1">"TMN_EXACT;002;6124;1"</definedName>
    <definedName name="ExactAddinConnection.060" hidden="1">"BYLSQL;060;lclark;1"</definedName>
    <definedName name="ExactAddinConnection.065" hidden="1">"BYLSQL;065;lclark;1"</definedName>
    <definedName name="ExactAddinConnection.070" hidden="1">"Thor;070;lclark;1"</definedName>
    <definedName name="ExactAddinConnection.071" hidden="1">"thor;071;lclark;1"</definedName>
    <definedName name="ExactAddinConnection.100" hidden="1">"MACOLAES;100;mwood;0"</definedName>
    <definedName name="ExactAddinConnection.300" hidden="1">"MACOLAES;300;mwood;0"</definedName>
    <definedName name="ExactAddinConnection.700" hidden="1">"MACOLAES;700;mwood;0"</definedName>
    <definedName name="ExactAddinReports" hidden="1">2</definedName>
    <definedName name="Example2Inputs">#REF!</definedName>
    <definedName name="Example3Inputs">#REF!</definedName>
    <definedName name="exBillHours">#REF!</definedName>
    <definedName name="exCeiling">#REF!</definedName>
    <definedName name="excel_table">#REF!</definedName>
    <definedName name="excess_cash">#REF!</definedName>
    <definedName name="excess_cash_refin">#REF!</definedName>
    <definedName name="Exchange">#REF!</definedName>
    <definedName name="Exchange_Ratio">#REF!</definedName>
    <definedName name="ExchangeRate">#REF!</definedName>
    <definedName name="exCompFactor">#REF!</definedName>
    <definedName name="exContSalFactor">#REF!</definedName>
    <definedName name="exCountry">#REF!</definedName>
    <definedName name="Exécution">#REF!</definedName>
    <definedName name="Exercice">#REF!</definedName>
    <definedName name="ExerciceFinancier">#REF!&lt;#REF!</definedName>
    <definedName name="exExSalFactor">#REF!</definedName>
    <definedName name="exfxassetdeplife">#REF!</definedName>
    <definedName name="existingcapex">#REF!</definedName>
    <definedName name="Exit_Date">#REF!</definedName>
    <definedName name="Exit_Multiple">#REF!</definedName>
    <definedName name="ExitMultiple">#REF!</definedName>
    <definedName name="exNonExSalFactor">#REF!</definedName>
    <definedName name="exOvertimeFactor">#REF!</definedName>
    <definedName name="Expenses" localSheetId="3" hidden="1">{"SUM",#N/A,FALSE,"Details (2)"}</definedName>
    <definedName name="Expenses" hidden="1">{"SUM",#N/A,FALSE,"Details (2)"}</definedName>
    <definedName name="exSalCostTitles">#REF!,#REF!,#REF!</definedName>
    <definedName name="exSalTitles">#REF!,#REF!,#REF!</definedName>
    <definedName name="Extra_Pay">#REF!</definedName>
    <definedName name="_xlnm.Extract">#REF!</definedName>
    <definedName name="ExtraPayments">#REF!</definedName>
    <definedName name="F">#REF!</definedName>
    <definedName name="FA" localSheetId="3" hidden="1">{"Eur Base Top",#N/A,FALSE,"Europe Base";"Eur Base Bottom",#N/A,FALSE,"Europe Base"}</definedName>
    <definedName name="FA" hidden="1">{"Eur Base Top",#N/A,FALSE,"Europe Base";"Eur Base Bottom",#N/A,FALSE,"Europe Base"}</definedName>
    <definedName name="fa_add_depr">#REF!</definedName>
    <definedName name="fa_add_val">#REF!</definedName>
    <definedName name="fa_depr_exp">#REF!</definedName>
    <definedName name="fa_open_depr">#REF!</definedName>
    <definedName name="fa_open_val">#REF!</definedName>
    <definedName name="Facilities_Small">#REF!</definedName>
    <definedName name="fadsf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localSheetId="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asd" hidden="1">#REF!</definedName>
    <definedName name="fasdfasdfc" localSheetId="3" hidden="1">{"Print Top",#N/A,FALSE,"Europe Model";"Print Bottom",#N/A,FALSE,"Europe Model"}</definedName>
    <definedName name="fasdfasdfc" hidden="1">{"Print Top",#N/A,FALSE,"Europe Model";"Print Bottom",#N/A,FALSE,"Europe Model"}</definedName>
    <definedName name="fasdfs" localSheetId="3" hidden="1">{#N/A,#N/A,FALSE,"Aging Summary";#N/A,#N/A,FALSE,"Ratio Analysis";#N/A,#N/A,FALSE,"Test 120 Day Accts";#N/A,#N/A,FALSE,"Tickmarks"}</definedName>
    <definedName name="fasdfs" hidden="1">{#N/A,#N/A,FALSE,"Aging Summary";#N/A,#N/A,FALSE,"Ratio Analysis";#N/A,#N/A,FALSE,"Test 120 Day Accts";#N/A,#N/A,FALSE,"Tickmarks"}</definedName>
    <definedName name="Fcst_Year">#REF!</definedName>
    <definedName name="fd" localSheetId="3" hidden="1">{#N/A,#N/A,FALSE,"Sales"}</definedName>
    <definedName name="fd" hidden="1">{#N/A,#N/A,FALSE,"Sales"}</definedName>
    <definedName name="fdag" localSheetId="3" hidden="1">{#N/A,#N/A,TRUE,"2432"}</definedName>
    <definedName name="fdag" hidden="1">{#N/A,#N/A,TRUE,"2432"}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d" localSheetId="3" hidden="1">{#N/A,#N/A,FALSE,"CreditStat";#N/A,#N/A,FALSE,"SPbrkup";#N/A,#N/A,FALSE,"MerSPsyn";#N/A,#N/A,FALSE,"MerSPwKCsyn";#N/A,#N/A,FALSE,"MerSPwKCsyn (2)";#N/A,#N/A,FALSE,"CreditStat (2)"}</definedName>
    <definedName name="fddfd" hidden="1">{#N/A,#N/A,FALSE,"CreditStat";#N/A,#N/A,FALSE,"SPbrkup";#N/A,#N/A,FALSE,"MerSPsyn";#N/A,#N/A,FALSE,"MerSPwKCsyn";#N/A,#N/A,FALSE,"MerSPwKCsyn (2)";#N/A,#N/A,FALSE,"CreditStat (2)"}</definedName>
    <definedName name="FDFD" localSheetId="3" hidden="1">{#N/A,#N/A,FALSE,"Pharm";#N/A,#N/A,FALSE,"WWCM"}</definedName>
    <definedName name="FDFD" hidden="1">{#N/A,#N/A,FALSE,"Pharm";#N/A,#N/A,FALSE,"WWCM"}</definedName>
    <definedName name="fdfghdf" localSheetId="3" hidden="1">{"inputs raw data",#N/A,TRUE,"INPUT"}</definedName>
    <definedName name="fdfghdf" hidden="1">{"inputs raw data",#N/A,TRUE,"INPUT"}</definedName>
    <definedName name="fdg" localSheetId="3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dgad" localSheetId="3" hidden="1">{"inputs raw data",#N/A,TRUE,"INPUT"}</definedName>
    <definedName name="fdgad" hidden="1">{"inputs raw data",#N/A,TRUE,"INPUT"}</definedName>
    <definedName name="fdgfdg" localSheetId="3" hidden="1">{"FCB_ALL",#N/A,FALSE,"FCB";"GREY_ALL",#N/A,FALSE,"GREY"}</definedName>
    <definedName name="fdgfdg" hidden="1">{"FCB_ALL",#N/A,FALSE,"FCB";"GREY_ALL",#N/A,FALSE,"GREY"}</definedName>
    <definedName name="fdjgj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fdjgj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" localSheetId="3" hidden="1">{#N/A,#N/A,FALSE,"Pharm";#N/A,#N/A,FALSE,"WWCM"}</definedName>
    <definedName name="fds" hidden="1">{#N/A,#N/A,FALSE,"Pharm";#N/A,#N/A,FALSE,"WWCM"}</definedName>
    <definedName name="fdsafdas" localSheetId="3" hidden="1">{"Summary",#N/A,FALSE,"Details (2)"}</definedName>
    <definedName name="fdsafdas" hidden="1">{"Summary",#N/A,FALSE,"Details (2)"}</definedName>
    <definedName name="fdsag" localSheetId="3" hidden="1">{"FCB_ALL",#N/A,FALSE,"FCB"}</definedName>
    <definedName name="fdsag" hidden="1">{"FCB_ALL",#N/A,FALSE,"FCB"}</definedName>
    <definedName name="fdsakfjds" localSheetId="3" hidden="1">{"FCB_ALL",#N/A,FALSE,"FCB";"GREY_ALL",#N/A,FALSE,"GREY"}</definedName>
    <definedName name="fdsakfjds" hidden="1">{"FCB_ALL",#N/A,FALSE,"FCB";"GREY_ALL",#N/A,FALSE,"GREY"}</definedName>
    <definedName name="fdsg" localSheetId="3" hidden="1">{"FCB_ALL",#N/A,FALSE,"FCB"}</definedName>
    <definedName name="fdsg" hidden="1">{"FCB_ALL",#N/A,FALSE,"FCB"}</definedName>
    <definedName name="fdwfd" localSheetId="3" hidden="1">{"standalone1",#N/A,FALSE,"DCFBase";"standalone2",#N/A,FALSE,"DCFBase"}</definedName>
    <definedName name="fdwfd" hidden="1">{"standalone1",#N/A,FALSE,"DCFBase";"standalone2",#N/A,FALSE,"DCFBase"}</definedName>
    <definedName name="feb">#REF!</definedName>
    <definedName name="FEE">#REF!</definedName>
    <definedName name="fees">#REF!</definedName>
    <definedName name="ff" localSheetId="3" hidden="1">{#N/A,#N/A,FALSE,"Pharm";#N/A,#N/A,FALSE,"WWCM"}</definedName>
    <definedName name="ff" hidden="1">{#N/A,#N/A,FALSE,"Pharm";#N/A,#N/A,FALSE,"WWCM"}</definedName>
    <definedName name="fff" localSheetId="3" hidden="1">{#N/A,#N/A,FALSE,"Pharm";#N/A,#N/A,FALSE,"WWCM"}</definedName>
    <definedName name="fff" hidden="1">{#N/A,#N/A,FALSE,"Pharm";#N/A,#N/A,FALSE,"WWCM"}</definedName>
    <definedName name="ffffff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.2" localSheetId="3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3" hidden="1">{#N/A,#N/A,FALSE,"Pharm";#N/A,#N/A,FALSE,"WWCM"}</definedName>
    <definedName name="fffffff" hidden="1">{#N/A,#N/A,FALSE,"Pharm";#N/A,#N/A,FALSE,"WWCM"}</definedName>
    <definedName name="ffffffffff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" localSheetId="3" hidden="1">{"Страница 1",#N/A,FALSE,"Модель Интенсивника";"Страница 3",#N/A,FALSE,"Модель Интенсивника"}</definedName>
    <definedName name="fffffffffffffff" hidden="1">{"Страница 1",#N/A,FALSE,"Модель Интенсивника";"Страница 3",#N/A,FALSE,"Модель Интенсивника"}</definedName>
    <definedName name="ffffffffffffffff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ff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g" localSheetId="3" hidden="1">{#N/A,#N/A,FALSE,"REPORT"}</definedName>
    <definedName name="fg" hidden="1">{#N/A,#N/A,FALSE,"REPORT"}</definedName>
    <definedName name="fgfdg" localSheetId="3" hidden="1">{"FCB_ALL",#N/A,FALSE,"FCB";"GREY_ALL",#N/A,FALSE,"GREY"}</definedName>
    <definedName name="fgfdg" hidden="1">{"FCB_ALL",#N/A,FALSE,"FCB";"GREY_ALL",#N/A,FALSE,"GREY"}</definedName>
    <definedName name="fgfgf" localSheetId="3" hidden="1">{"subs",#N/A,FALSE,"database ";"proportional",#N/A,FALSE,"database "}</definedName>
    <definedName name="fgfgf" hidden="1">{"subs",#N/A,FALSE,"database ";"proportional",#N/A,FALSE,"database "}</definedName>
    <definedName name="fgh" localSheetId="3" hidden="1">{#N/A,#N/A,FALSE,"ORIX CSC"}</definedName>
    <definedName name="fgh" hidden="1">{#N/A,#N/A,FALSE,"ORIX CSC"}</definedName>
    <definedName name="fghfh" localSheetId="3" hidden="1">{#N/A,#N/A,FALSE,"TAXCALC";#N/A,#N/A,FALSE,"TAXCALC"}</definedName>
    <definedName name="fghfh" hidden="1">{#N/A,#N/A,FALSE,"TAXCALC";#N/A,#N/A,FALSE,"TAXCALC"}</definedName>
    <definedName name="fgkjkh" localSheetId="3" hidden="1">{#N/A,#N/A,FALSE,"REPORT"}</definedName>
    <definedName name="fgkjkh" hidden="1">{#N/A,#N/A,FALSE,"REPORT"}</definedName>
    <definedName name="fgsdgdf" localSheetId="3" hidden="1">{#N/A,#N/A,FALSE,"Aging Summary";#N/A,#N/A,FALSE,"Ratio Analysis";#N/A,#N/A,FALSE,"Test 120 Day Accts";#N/A,#N/A,FALSE,"Tickmarks"}</definedName>
    <definedName name="fgsdgdf" hidden="1">{#N/A,#N/A,FALSE,"Aging Summary";#N/A,#N/A,FALSE,"Ratio Analysis";#N/A,#N/A,FALSE,"Test 120 Day Accts";#N/A,#N/A,FALSE,"Tickmarks"}</definedName>
    <definedName name="fhg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gh" localSheetId="3" hidden="1">{"glc1",#N/A,FALSE,"GLC";"glc2",#N/A,FALSE,"GLC";"glc3",#N/A,FALSE,"GLC";"glc4",#N/A,FALSE,"GLC";"glc5",#N/A,FALSE,"GLC"}</definedName>
    <definedName name="fhjgh" hidden="1">{"glc1",#N/A,FALSE,"GLC";"glc2",#N/A,FALSE,"GLC";"glc3",#N/A,FALSE,"GLC";"glc4",#N/A,FALSE,"GLC";"glc5",#N/A,FALSE,"GLC"}</definedName>
    <definedName name="ficha" localSheetId="3" hidden="1">{#N/A,#N/A,FALSE,"RESUMEN ECON.";#N/A,#N/A,FALSE,"Costos de R.H.";#N/A,#N/A,FALSE,"COSTO HW";#N/A,#N/A,FALSE,"CUADROS";#N/A,#N/A,FALSE,"SCADA´s";#N/A,#N/A,FALSE,"PRECIOS EQUIPOS"}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#REF!</definedName>
    <definedName name="Final_Summary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S" hidden="1">#REF!</definedName>
    <definedName name="finance" localSheetId="3" hidden="1">{"standalone1",#N/A,FALSE,"DCFBase";"standalone2",#N/A,FALSE,"DCFBase"}</definedName>
    <definedName name="finance" hidden="1">{"standalone1",#N/A,FALSE,"DCFBase";"standalone2",#N/A,FALSE,"DCFBase"}</definedName>
    <definedName name="financeq1">#REF!</definedName>
    <definedName name="financeq2">#REF!</definedName>
    <definedName name="financeq3">#REF!</definedName>
    <definedName name="financeq4">#REF!</definedName>
    <definedName name="Financial_Trends">#REF!</definedName>
    <definedName name="financials" localSheetId="3" hidden="1">{"PAGE1",#N/A,FALSE,"BID (3)";"PAGE2",#N/A,FALSE,"BID (3)"}</definedName>
    <definedName name="financials" hidden="1">{"PAGE1",#N/A,FALSE,"BID (3)";"PAGE2",#N/A,FALSE,"BID (3)"}</definedName>
    <definedName name="financing1">#REF!</definedName>
    <definedName name="financing1_rate">#REF!</definedName>
    <definedName name="financing2">#REF!</definedName>
    <definedName name="financing2_rate">#REF!</definedName>
    <definedName name="FinancingFees">#REF!</definedName>
    <definedName name="finans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finans" hidden="1">{#N/A,#N/A,FALSE,"Antony Financials";#N/A,#N/A,FALSE,"Cowboy Financials";#N/A,#N/A,FALSE,"Combined";#N/A,#N/A,FALSE,"Valuematrix";#N/A,#N/A,FALSE,"DCFAntony";#N/A,#N/A,FALSE,"DCFCowboy";#N/A,#N/A,FALSE,"DCFCombined"}</definedName>
    <definedName name="fine" localSheetId="3" hidden="1">{"standalone1",#N/A,FALSE,"DCFBase";"standalone2",#N/A,FALSE,"DCFBase"}</definedName>
    <definedName name="fine" hidden="1">{"standalone1",#N/A,FALSE,"DCFBase";"standalone2",#N/A,FALSE,"DCFBase"}</definedName>
    <definedName name="Firm">#REF!</definedName>
    <definedName name="FirstDate">#REF!</definedName>
    <definedName name="FirstPlotDate" hidden="1">#REF!</definedName>
    <definedName name="FiscalPeriod">#REF!</definedName>
    <definedName name="FiscalYear">#REF!</definedName>
    <definedName name="Fixed_Ohead_percentage">#REF!</definedName>
    <definedName name="Fixed_Overhead_Contribution_Actual">#REF!</definedName>
    <definedName name="Fixed_Overhead_Contribution_Budget">#REF!</definedName>
    <definedName name="FJEZK" localSheetId="3" hidden="1">{#N/A,#N/A,FALSE,"Pharm";#N/A,#N/A,FALSE,"WWCM"}</definedName>
    <definedName name="FJEZK" hidden="1">{#N/A,#N/A,FALSE,"Pharm";#N/A,#N/A,FALSE,"WWCM"}</definedName>
    <definedName name="Flag">OFFSET(#REF!,0,0,COUNTA(#REF!)-1,1)</definedName>
    <definedName name="FlagDepr">#REF!</definedName>
    <definedName name="FlagDraft">#REF!</definedName>
    <definedName name="Flipyear">#REF!</definedName>
    <definedName name="fm" localSheetId="3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cus">#REF!</definedName>
    <definedName name="Folio">#REF!</definedName>
    <definedName name="Footnote1" hidden="1">#REF!</definedName>
    <definedName name="Footnote2" hidden="1">#REF!</definedName>
    <definedName name="Footnote3" hidden="1">#REF!</definedName>
    <definedName name="Footnote4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castPeriod" hidden="1">#REF!</definedName>
    <definedName name="FormatString">#REF!</definedName>
    <definedName name="FormatTable">#REF!</definedName>
    <definedName name="FormulaChecker.Colour.19" hidden="1">13434879</definedName>
    <definedName name="FormulaChecker.Colour.41" hidden="1">16737843</definedName>
    <definedName name="FormulaChecker.Colour.48" hidden="1">9868950</definedName>
    <definedName name="Four_Bil_Act">#REF!</definedName>
    <definedName name="Four_Bil_Pre">#REF!</definedName>
    <definedName name="Four_Note_Act">#REF!</definedName>
    <definedName name="Four_Note_Pre">#REF!</definedName>
    <definedName name="Four1_Note_Act">#REF!</definedName>
    <definedName name="Four1_Note_Pre">#REF!</definedName>
    <definedName name="FreezeCell">#REF!</definedName>
    <definedName name="Fremont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qName">#REF!</definedName>
    <definedName name="Frequency">#REF!</definedName>
    <definedName name="fresfg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localSheetId="3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ERFE" localSheetId="3" hidden="1">{#N/A,#N/A,FALSE,"Pharm";#N/A,#N/A,FALSE,"WWCM"}</definedName>
    <definedName name="FRFERFE" hidden="1">{#N/A,#N/A,FALSE,"Pharm";#N/A,#N/A,FALSE,"WWCM"}</definedName>
    <definedName name="Fringe_benefit_rate">#REF!</definedName>
    <definedName name="fsdafdsa" localSheetId="3" hidden="1">{"SUM",#N/A,FALSE,"Details (2)"}</definedName>
    <definedName name="fsdafdsa" hidden="1">{"SUM",#N/A,FALSE,"Details (2)"}</definedName>
    <definedName name="FSDF" localSheetId="3" hidden="1">{"IS FE with Ratios",#N/A,FALSE,"Far East";"PF CF Far East",#N/A,FALSE,"Far East";"DCF Far East Matrix",#N/A,FALSE,"Far East"}</definedName>
    <definedName name="FSDF" hidden="1">{"IS FE with Ratios",#N/A,FALSE,"Far East";"PF CF Far East",#N/A,FALSE,"Far East";"DCF Far East Matrix",#N/A,FALSE,"Far East"}</definedName>
    <definedName name="fsdfsd" localSheetId="3" hidden="1">{#N/A,#N/A,FALSE,"Aging Summary";#N/A,#N/A,FALSE,"Ratio Analysis";#N/A,#N/A,FALSE,"Test 120 Day Accts";#N/A,#N/A,FALSE,"Tickmarks"}</definedName>
    <definedName name="fsdfsd" hidden="1">{#N/A,#N/A,FALSE,"Aging Summary";#N/A,#N/A,FALSE,"Ratio Analysis";#N/A,#N/A,FALSE,"Test 120 Day Accts";#N/A,#N/A,FALSE,"Tickmarks"}</definedName>
    <definedName name="fsdsfafd" localSheetId="3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fsd" localSheetId="3" hidden="1">{#N/A,#N/A,TRUE,"RESUMEN ECON.";#N/A,#N/A,TRUE,"Costos de R.H.";#N/A,#N/A,TRUE,"COSTO HW";#N/A,#N/A,TRUE,"CUADROS";#N/A,#N/A,TRUE,"SCADA´s";#N/A,#N/A,TRUE,"PRECIOS EQUIPOS"}</definedName>
    <definedName name="fsfsd" hidden="1">{#N/A,#N/A,TRUE,"RESUMEN ECON.";#N/A,#N/A,TRUE,"Costos de R.H.";#N/A,#N/A,TRUE,"COSTO HW";#N/A,#N/A,TRUE,"CUADROS";#N/A,#N/A,TRUE,"SCADA´s";#N/A,#N/A,TRUE,"PRECIOS EQUIPOS"}</definedName>
    <definedName name="fsgdr" localSheetId="3" hidden="1">{"FCB_ALL",#N/A,FALSE,"FCB"}</definedName>
    <definedName name="fsgdr" hidden="1">{"FCB_ALL",#N/A,FALSE,"FCB"}</definedName>
    <definedName name="FSGrouped">#REF!</definedName>
    <definedName name="fsr" localSheetId="3" hidden="1">{"FCB_ALL",#N/A,FALSE,"FCB"}</definedName>
    <definedName name="fsr" hidden="1">{"FCB_ALL",#N/A,FALSE,"FCB"}</definedName>
    <definedName name="fsv" localSheetId="3" hidden="1">{"FCB_ALL",#N/A,FALSE,"FCB";"GREY_ALL",#N/A,FALSE,"GREY"}</definedName>
    <definedName name="fsv" hidden="1">{"FCB_ALL",#N/A,FALSE,"FCB";"GREY_ALL",#N/A,FALSE,"GREY"}</definedName>
    <definedName name="ftebasic">#REF!</definedName>
    <definedName name="FTQ">#REF!</definedName>
    <definedName name="ftyf" localSheetId="3" hidden="1">{"FCB_ALL",#N/A,FALSE,"FCB";"GREY_ALL",#N/A,FALSE,"GREY"}</definedName>
    <definedName name="ftyf" hidden="1">{"FCB_ALL",#N/A,FALSE,"FCB";"GREY_ALL",#N/A,FALSE,"GREY"}</definedName>
    <definedName name="Fuckoff" localSheetId="3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ll_Burden_Rate">#REF!</definedName>
    <definedName name="Full_International_File">#REF!</definedName>
    <definedName name="Full_Print">#REF!</definedName>
    <definedName name="FunctionList">#REF!</definedName>
    <definedName name="functions">#REF!</definedName>
    <definedName name="fundIV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_to_BDC1">#REF!</definedName>
    <definedName name="Funds_to_BDC1.1">#REF!</definedName>
    <definedName name="Funds_to_BDC2">#REF!</definedName>
    <definedName name="Funds_to_BDC2.2">#REF!</definedName>
    <definedName name="FUTURE">#REF!</definedName>
    <definedName name="FVG" localSheetId="3" hidden="1">{#N/A,#N/A,FALSE,"Pharm";#N/A,#N/A,FALSE,"WWCM"}</definedName>
    <definedName name="FVG" hidden="1">{#N/A,#N/A,FALSE,"Pharm";#N/A,#N/A,FALSE,"WWCM"}</definedName>
    <definedName name="FX">#REF!</definedName>
    <definedName name="FX_ACQ">#REF!</definedName>
    <definedName name="FX_AVG">#REF!</definedName>
    <definedName name="fx_cdn">#REF!</definedName>
    <definedName name="fx_euro">#REF!</definedName>
    <definedName name="FX_FIN">#REF!</definedName>
    <definedName name="fx_mxn">#REF!</definedName>
    <definedName name="fxapril">#REF!</definedName>
    <definedName name="fxaugust">#REF!</definedName>
    <definedName name="fxdecember">#REF!</definedName>
    <definedName name="fxeighteen">#REF!</definedName>
    <definedName name="fxfebruary">#REF!</definedName>
    <definedName name="FXGBP">#REF!</definedName>
    <definedName name="fxjanuary">#REF!</definedName>
    <definedName name="fxjuly">#REF!</definedName>
    <definedName name="fxjune">#REF!</definedName>
    <definedName name="fxmarch">#REF!</definedName>
    <definedName name="fxmay">#REF!</definedName>
    <definedName name="fxq">#REF!</definedName>
    <definedName name="fxseptember">#REF!</definedName>
    <definedName name="fxseventeen">#REF!</definedName>
    <definedName name="fxsixteen">#REF!</definedName>
    <definedName name="fxytd">#REF!</definedName>
    <definedName name="fy">#REF!</definedName>
    <definedName name="FYE">#REF!</definedName>
    <definedName name="g" localSheetId="3" hidden="1">{#N/A,#N/A,FALSE,"Pharm";#N/A,#N/A,FALSE,"WWCM"}</definedName>
    <definedName name="g" hidden="1">{#N/A,#N/A,FALSE,"Pharm";#N/A,#N/A,FALSE,"WWCM"}</definedName>
    <definedName name="g_oz_conversion">#REF!</definedName>
    <definedName name="gadew" localSheetId="3" hidden="1">{"FCB_ALL",#N/A,FALSE,"FCB"}</definedName>
    <definedName name="gadew" hidden="1">{"FCB_ALL",#N/A,FALSE,"FCB"}</definedName>
    <definedName name="gadfsh" localSheetId="3" hidden="1">{"FCB_ALL",#N/A,FALSE,"FCB"}</definedName>
    <definedName name="gadfsh" hidden="1">{"FCB_ALL",#N/A,FALSE,"FCB"}</definedName>
    <definedName name="gadhfdsh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gadhfdsh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gads" localSheetId="3" hidden="1">{"FCB_ALL",#N/A,FALSE,"FCB"}</definedName>
    <definedName name="gads" hidden="1">{"FCB_ALL",#N/A,FALSE,"FCB"}</definedName>
    <definedName name="gadse" localSheetId="3" hidden="1">{"FCB_ALL",#N/A,FALSE,"FCB"}</definedName>
    <definedName name="gadse" hidden="1">{"FCB_ALL",#N/A,FALSE,"FCB"}</definedName>
    <definedName name="gar" hidden="1">#REF!</definedName>
    <definedName name="Garantia" hidden="1">#REF!</definedName>
    <definedName name="gate" localSheetId="3" hidden="1">{"mgmt forecast",#N/A,FALSE,"Mgmt Forecast";"dcf table",#N/A,FALSE,"Mgmt Forecast";"sensitivity",#N/A,FALSE,"Mgmt Forecast";"table inputs",#N/A,FALSE,"Mgmt Forecast";"calculations",#N/A,FALSE,"Mgmt Forecast"}</definedName>
    <definedName name="gate" hidden="1">{"mgmt forecast",#N/A,FALSE,"Mgmt Forecast";"dcf table",#N/A,FALSE,"Mgmt Forecast";"sensitivity",#N/A,FALSE,"Mgmt Forecast";"table inputs",#N/A,FALSE,"Mgmt Forecast";"calculations",#N/A,FALSE,"Mgmt Forecast"}</definedName>
    <definedName name="Gatewayforecast" localSheetId="3" hidden="1">{"SUM",#N/A,FALSE,"Details (2)"}</definedName>
    <definedName name="Gatewayforecast" hidden="1">{"SUM",#N/A,FALSE,"Details (2)"}</definedName>
    <definedName name="gawea" localSheetId="3" hidden="1">{"FCB_ALL",#N/A,FALSE,"FCB"}</definedName>
    <definedName name="gawea" hidden="1">{"FCB_ALL",#N/A,FALSE,"FCB"}</definedName>
    <definedName name="gawen" localSheetId="3" hidden="1">{"FCB_ALL",#N/A,FALSE,"FCB"}</definedName>
    <definedName name="gawen" hidden="1">{"FCB_ALL",#N/A,FALSE,"FCB"}</definedName>
    <definedName name="gbfb" localSheetId="3" hidden="1">{"NA Top",#N/A,FALSE,"NA-ULV";"NA Bottom",#N/A,FALSE,"NA-ULV"}</definedName>
    <definedName name="gbfb" hidden="1">{"NA Top",#N/A,FALSE,"NA-ULV";"NA Bottom",#N/A,FALSE,"NA-ULV"}</definedName>
    <definedName name="GBP_CAD">#REF!</definedName>
    <definedName name="gd" localSheetId="3" hidden="1">{#N/A,#N/A,FALSE,"CreditStat";#N/A,#N/A,FALSE,"SPbrkup";#N/A,#N/A,FALSE,"MerSPsyn";#N/A,#N/A,FALSE,"MerSPwKCsyn";#N/A,#N/A,FALSE,"MerSPwKCsyn (2)";#N/A,#N/A,FALSE,"CreditStat (2)"}</definedName>
    <definedName name="gd" hidden="1">{#N/A,#N/A,FALSE,"CreditStat";#N/A,#N/A,FALSE,"SPbrkup";#N/A,#N/A,FALSE,"MerSPsyn";#N/A,#N/A,FALSE,"MerSPwKCsyn";#N/A,#N/A,FALSE,"MerSPwKCsyn (2)";#N/A,#N/A,FALSE,"CreditStat (2)"}</definedName>
    <definedName name="gdag" localSheetId="3" hidden="1">{#N/A,#N/A,TRUE,"2432"}</definedName>
    <definedName name="gdag" hidden="1">{#N/A,#N/A,TRUE,"2432"}</definedName>
    <definedName name="gdfgdf" localSheetId="3" hidden="1">{#N/A,#N/A,FALSE,"Pharm";#N/A,#N/A,FALSE,"WWCM"}</definedName>
    <definedName name="gdfgdf" hidden="1">{#N/A,#N/A,FALSE,"Pharm";#N/A,#N/A,FALSE,"WWCM"}</definedName>
    <definedName name="gdfs" localSheetId="3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gfdsf" localSheetId="3" hidden="1">{"Eur Base Top",#N/A,FALSE,"Europe Base";"Eur Base Bottom",#N/A,FALSE,"Europe Base"}</definedName>
    <definedName name="gdgfdsf" hidden="1">{"Eur Base Top",#N/A,FALSE,"Europe Base";"Eur Base Bottom",#N/A,FALSE,"Europe Base"}</definedName>
    <definedName name="ge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geg" localSheetId="3" hidden="1">{#N/A,#N/A,FALSE,"Cashflow Analysis";#N/A,#N/A,FALSE,"Sensitivity Analysis";#N/A,#N/A,FALSE,"PV";#N/A,#N/A,FALSE,"Pro Forma"}</definedName>
    <definedName name="gegeg" hidden="1">{#N/A,#N/A,FALSE,"Cashflow Analysis";#N/A,#N/A,FALSE,"Sensitivity Analysis";#N/A,#N/A,FALSE,"PV";#N/A,#N/A,FALSE,"Pro Forma"}</definedName>
    <definedName name="gegeg.2" localSheetId="3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tHours">#REF!</definedName>
    <definedName name="GetQuotes">#REF!</definedName>
    <definedName name="GetWorkHours">#REF!</definedName>
    <definedName name="gf" localSheetId="3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gfasd" localSheetId="3" hidden="1">{"FCB_ALL",#N/A,FALSE,"FCB"}</definedName>
    <definedName name="gfasd" hidden="1">{"FCB_ALL",#N/A,FALSE,"FCB"}</definedName>
    <definedName name="gfdjhjh" localSheetId="3" hidden="1">{#N/A,#N/A,FALSE,"Pharm";#N/A,#N/A,FALSE,"WWCM"}</definedName>
    <definedName name="gfdjhjh" hidden="1">{#N/A,#N/A,FALSE,"Pharm";#N/A,#N/A,FALSE,"WWCM"}</definedName>
    <definedName name="gfg" localSheetId="3" hidden="1">{#N/A,#N/A,TRUE,"2432"}</definedName>
    <definedName name="gfg" hidden="1">{#N/A,#N/A,TRUE,"2432"}</definedName>
    <definedName name="gfgfgf" localSheetId="3" hidden="1">{#N/A,#N/A,FALSE,"A&amp;E";#N/A,#N/A,FALSE,"HighTop";#N/A,#N/A,FALSE,"JG";#N/A,#N/A,FALSE,"RI";#N/A,#N/A,FALSE,"woHT";#N/A,#N/A,FALSE,"woHT&amp;JG"}</definedName>
    <definedName name="gfgfgf" hidden="1">{#N/A,#N/A,FALSE,"A&amp;E";#N/A,#N/A,FALSE,"HighTop";#N/A,#N/A,FALSE,"JG";#N/A,#N/A,FALSE,"RI";#N/A,#N/A,FALSE,"woHT";#N/A,#N/A,FALSE,"woHT&amp;JG"}</definedName>
    <definedName name="gfh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gfh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gfhs" localSheetId="3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fsdn" localSheetId="3" hidden="1">{"FCB_ALL",#N/A,FALSE,"FCB";"GREY_ALL",#N/A,FALSE,"GREY"}</definedName>
    <definedName name="gfsdn" hidden="1">{"FCB_ALL",#N/A,FALSE,"FCB";"GREY_ALL",#N/A,FALSE,"GREY"}</definedName>
    <definedName name="gg" localSheetId="3" hidden="1">{#N/A,#N/A,FALSE,"TAXCALC";#N/A,#N/A,FALSE,"TAXCALC"}</definedName>
    <definedName name="gg" hidden="1">{#N/A,#N/A,FALSE,"TAXCALC";#N/A,#N/A,FALSE,"TAXCALC"}</definedName>
    <definedName name="gg.2" localSheetId="3" hidden="1">{#N/A,#N/A,FALSE,"Cashflow Analysis";#N/A,#N/A,FALSE,"Sensitivity Analysis";#N/A,#N/A,FALSE,"PV";#N/A,#N/A,FALSE,"Pro Forma"}</definedName>
    <definedName name="gg.2" hidden="1">{#N/A,#N/A,FALSE,"Cashflow Analysis";#N/A,#N/A,FALSE,"Sensitivity Analysis";#N/A,#N/A,FALSE,"PV";#N/A,#N/A,FALSE,"Pro Forma"}</definedName>
    <definedName name="ggg" localSheetId="3" hidden="1">{"JG FE Top",#N/A,FALSE,"JG FE $";"JG FE Bottom",#N/A,FALSE,"JG FE $"}</definedName>
    <definedName name="ggg" hidden="1">{"JG FE Top",#N/A,FALSE,"JG FE $";"JG FE Bottom",#N/A,FALSE,"JG FE $"}</definedName>
    <definedName name="ggggg" localSheetId="3" hidden="1">{"budget992000_customers",#N/A,FALSE,"Celtel alternative 6"}</definedName>
    <definedName name="ggggg" hidden="1">{"budget992000_customers",#N/A,FALSE,"Celtel alternative 6"}</definedName>
    <definedName name="ggggggg" localSheetId="3" hidden="1">{"budget992000 profit and loss",#N/A,FALSE,"Celtel alternative 6"}</definedName>
    <definedName name="ggggggg" hidden="1">{"budget992000 profit and loss",#N/A,FALSE,"Celtel alternative 6"}</definedName>
    <definedName name="gh" localSheetId="3" hidden="1">{#N/A,#N/A,FALSE,"TAXCALC";#N/A,#N/A,FALSE,"TAXCALC"}</definedName>
    <definedName name="gh" hidden="1">{#N/A,#N/A,FALSE,"TAXCALC";#N/A,#N/A,FALSE,"TAXCALC"}</definedName>
    <definedName name="ghjggjh" localSheetId="3" hidden="1">{#N/A,#N/A,FALSE,"Pharm";#N/A,#N/A,FALSE,"WWCM"}</definedName>
    <definedName name="ghjggjh" hidden="1">{#N/A,#N/A,FALSE,"Pharm";#N/A,#N/A,FALSE,"WWCM"}</definedName>
    <definedName name="ghnfkghnfgh" localSheetId="3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ghnfkghnfgh" hidden="1">{#N/A,#N/A,FALSE,"Cover";#N/A,#N/A,FALSE,"Main";#N/A,#N/A,FALSE,"Guid";#N/A,#N/A,FALSE,"Summary";#N/A,#N/A,FALSE,"Monthly";#N/A,#N/A,FALSE,"Bridge Q3";#N/A,#N/A,FALSE,"Q3";#N/A,#N/A,FALSE,"Bridge-global";#N/A,#N/A,FALSE,"Bridge"}</definedName>
    <definedName name="gjgjg" localSheetId="3" hidden="1">{"IS FE with Ratios",#N/A,FALSE,"Far East";"PF CF Far East",#N/A,FALSE,"Far East";"DCF Far East Matrix",#N/A,FALSE,"Far East"}</definedName>
    <definedName name="gjgjg" hidden="1">{"IS FE with Ratios",#N/A,FALSE,"Far East";"PF CF Far East",#N/A,FALSE,"Far East";"DCF Far East Matrix",#N/A,FALSE,"Far East"}</definedName>
    <definedName name="gkn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localSheetId="3" hidden="1">{#N/A,#N/A,FALSE,"Pharm";#N/A,#N/A,FALSE,"WWCM"}</definedName>
    <definedName name="Global1" hidden="1">{#N/A,#N/A,FALSE,"Pharm";#N/A,#N/A,FALSE,"WWCM"}</definedName>
    <definedName name="GM103Furniture1">#REF!,#REF!,#REF!</definedName>
    <definedName name="GM103XL">#REF!,#REF!,#REF!</definedName>
    <definedName name="gnr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localSheetId="3" hidden="1">{#N/A,#N/A,FALSE,"Barranca"}</definedName>
    <definedName name="go" hidden="1">{#N/A,#N/A,FALSE,"Barranca"}</definedName>
    <definedName name="Goodwill_Amortization_Years">#REF!</definedName>
    <definedName name="goto" localSheetId="3" hidden="1">{#N/A,#N/A,FALSE,"PRO FORMA FINANCIALS"}</definedName>
    <definedName name="goto" hidden="1">{#N/A,#N/A,FALSE,"PRO FORMA FINANCIALS"}</definedName>
    <definedName name="gpcash">#REF!</definedName>
    <definedName name="gpholdcoti">#REF!</definedName>
    <definedName name="gpincloss">#REF!</definedName>
    <definedName name="graph" localSheetId="3" hidden="1">{#N/A,#N/A,FALSE,"REPORT"}</definedName>
    <definedName name="graph" hidden="1">{#N/A,#N/A,FALSE,"REPORT"}</definedName>
    <definedName name="GraphCurrent" hidden="1">#REF!</definedName>
    <definedName name="Graphe1a" hidden="1">#REF!</definedName>
    <definedName name="Graphe1b" hidden="1">#REF!</definedName>
    <definedName name="GraphPage" hidden="1">#REF!</definedName>
    <definedName name="Gridlines" hidden="1">#REF!</definedName>
    <definedName name="Gross_Profit_Monthly">#REF!</definedName>
    <definedName name="Gross_Profit_Quarterly">#REF!</definedName>
    <definedName name="GrossNet">#REF!</definedName>
    <definedName name="Group">#REF!</definedName>
    <definedName name="Grouping">#REF!</definedName>
    <definedName name="gsdfgdsfg" localSheetId="3" hidden="1">{"IS w Ratios",#N/A,FALSE,"Europe";"PF CF Europe",#N/A,FALSE,"Europe";"DCF Eur Matrix",#N/A,FALSE,"Europe"}</definedName>
    <definedName name="gsdfgdsfg" hidden="1">{"IS w Ratios",#N/A,FALSE,"Europe";"PF CF Europe",#N/A,FALSE,"Europe";"DCF Eur Matrix",#N/A,FALSE,"Europe"}</definedName>
    <definedName name="gsdgfs" localSheetId="3" hidden="1">{"Far East Top",#N/A,FALSE,"FE Model";"Far East Bottom",#N/A,FALSE,"FE Model"}</definedName>
    <definedName name="gsdgfs" hidden="1">{"Far East Top",#N/A,FALSE,"FE Model";"Far East Bottom",#N/A,FALSE,"FE Model"}</definedName>
    <definedName name="gtr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t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trwegrwegw" localSheetId="3" hidden="1">{"Summary",#N/A,FALSE,"Details (2)"}</definedName>
    <definedName name="gtrwegrwegw" hidden="1">{"Summary",#N/A,FALSE,"Details (2)"}</definedName>
    <definedName name="gty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localSheetId="3" hidden="1">{#N/A,#N/A,FALSE,"REPORT"}</definedName>
    <definedName name="h" hidden="1">{#N/A,#N/A,FALSE,"REPORT"}</definedName>
    <definedName name="Half_Year">#REF!</definedName>
    <definedName name="halfyearfactor_low">#REF!</definedName>
    <definedName name="happy" localSheetId="3" hidden="1">{#N/A,#N/A,FALSE,"3mos";#N/A,#N/A,FALSE,"dedicated"}</definedName>
    <definedName name="happy" hidden="1">{#N/A,#N/A,FALSE,"3mos";#N/A,#N/A,FALSE,"dedicated"}</definedName>
    <definedName name="Hardware_amort">#REF!</definedName>
    <definedName name="Hardware_Type_List">#REF!</definedName>
    <definedName name="haydee" localSheetId="3" hidden="1">{#N/A,#N/A,TRUE,"2432"}</definedName>
    <definedName name="haydee" hidden="1">{#N/A,#N/A,TRUE,"2432"}</definedName>
    <definedName name="HC_ACT_Sal_Animator">#REF!</definedName>
    <definedName name="HC_ACT_Sal_Compositor">#REF!</definedName>
    <definedName name="HC_ACT_Sal_Editorial_Support">#REF!</definedName>
    <definedName name="HC_ACT_Sal_Flame">#REF!</definedName>
    <definedName name="HC_ACT_Sal_FX">#REF!</definedName>
    <definedName name="HC_ACT_Sal_Lighting">#REF!</definedName>
    <definedName name="HC_ACT_Sal_Modeller">#REF!</definedName>
    <definedName name="HC_ACT_Sal_Paint_Roto">#REF!</definedName>
    <definedName name="HC_ACT_Sal_Production">#REF!</definedName>
    <definedName name="HC_ACT_Sal_Rigger">#REF!</definedName>
    <definedName name="HC_ACT_Sal_Supervision">#REF!</definedName>
    <definedName name="HC_ACT_Sal_TD">#REF!</definedName>
    <definedName name="HC_ACT_Sal_Texture_DMP">#REF!</definedName>
    <definedName name="HC_ACT_Sal_Tracker">#REF!</definedName>
    <definedName name="HC_BUD_Sal_Animator">#REF!</definedName>
    <definedName name="HC_BUD_Sal_Compositor">#REF!</definedName>
    <definedName name="HC_BUD_Sal_Editorial_Support">#REF!</definedName>
    <definedName name="HC_BUD_Sal_Flame">#REF!</definedName>
    <definedName name="HC_BUD_Sal_FX">#REF!</definedName>
    <definedName name="HC_BUD_Sal_Lighting">#REF!</definedName>
    <definedName name="HC_BUD_Sal_Modeller">#REF!</definedName>
    <definedName name="HC_BUD_Sal_Paint_Roto">#REF!</definedName>
    <definedName name="HC_BUD_Sal_Production">#REF!</definedName>
    <definedName name="HC_BUD_Sal_Rigger">#REF!</definedName>
    <definedName name="HC_BUD_Sal_Supervision">#REF!</definedName>
    <definedName name="HC_BUD_Sal_TD">#REF!</definedName>
    <definedName name="HC_BUD_Sal_Texture_DMP">#REF!</definedName>
    <definedName name="HC_BUD_Sal_Tracker">#REF!</definedName>
    <definedName name="HC_Month">#REF!</definedName>
    <definedName name="HD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f" localSheetId="3" hidden="1">{"mgmt forecast",#N/A,FALSE,"Mgmt Forecast";"dcf table",#N/A,FALSE,"Mgmt Forecast";"sensitivity",#N/A,FALSE,"Mgmt Forecast";"table inputs",#N/A,FALSE,"Mgmt Forecast";"calculations",#N/A,FALSE,"Mgmt Forecast"}</definedName>
    <definedName name="hdf" hidden="1">{"mgmt forecast",#N/A,FALSE,"Mgmt Forecast";"dcf table",#N/A,FALSE,"Mgmt Forecast";"sensitivity",#N/A,FALSE,"Mgmt Forecast";"table inputs",#N/A,FALSE,"Mgmt Forecast";"calculations",#N/A,FALSE,"Mgmt Forecast"}</definedName>
    <definedName name="Headcount">#REF!</definedName>
    <definedName name="Headcount_Function">#REF!</definedName>
    <definedName name="header">#REF!</definedName>
    <definedName name="header_mth">#REF!</definedName>
    <definedName name="header_prevmth">#REF!</definedName>
    <definedName name="Header_Row">ROW(#REF!)</definedName>
    <definedName name="header_yr">#REF!</definedName>
    <definedName name="HeaderRow">ROW(#REF!)</definedName>
    <definedName name="HeaderSpot">#REF!</definedName>
    <definedName name="HEI" localSheetId="3" hidden="1">{"AQUIRORDCF",#N/A,FALSE,"Merger consequences";"Acquirorassns",#N/A,FALSE,"Merger consequences"}</definedName>
    <definedName name="HEI" hidden="1">{"AQUIRORDCF",#N/A,FALSE,"Merger consequences";"Acquirorassns",#N/A,FALSE,"Merger consequences"}</definedName>
    <definedName name="hello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hello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Hello1" hidden="1">#REF!</definedName>
    <definedName name="Help" localSheetId="3" hidden="1">{#N/A,#N/A,FALSE,"Barranca"}</definedName>
    <definedName name="Help" hidden="1">{#N/A,#N/A,FALSE,"Barranca"}</definedName>
    <definedName name="help1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p" localSheetId="3" hidden="1">{#N/A,#N/A,FALSE,"LEASES"}</definedName>
    <definedName name="hep" hidden="1">{#N/A,#N/A,FALSE,"LEASES"}</definedName>
    <definedName name="hey" localSheetId="3" hidden="1">{#N/A,#N/A,FALSE,"3mos";#N/A,#N/A,FALSE,"dedicated"}</definedName>
    <definedName name="hey" hidden="1">{#N/A,#N/A,FALSE,"3mos";#N/A,#N/A,FALSE,"dedicated"}</definedName>
    <definedName name="hfd" localSheetId="3" hidden="1">{"FCB_ALL",#N/A,FALSE,"FCB";"GREY_ALL",#N/A,FALSE,"GREY"}</definedName>
    <definedName name="hfd" hidden="1">{"FCB_ALL",#N/A,FALSE,"FCB";"GREY_ALL",#N/A,FALSE,"GREY"}</definedName>
    <definedName name="hfds" localSheetId="3" hidden="1">{"IS w Ratios",#N/A,FALSE,"Europe";"PF CF Europe",#N/A,FALSE,"Europe";"DCF Eur Matrix",#N/A,FALSE,"Europe"}</definedName>
    <definedName name="hfds" hidden="1">{"IS w Ratios",#N/A,FALSE,"Europe";"PF CF Europe",#N/A,FALSE,"Europe";"DCF Eur Matrix",#N/A,FALSE,"Europe"}</definedName>
    <definedName name="HFinGraph" localSheetId="3" hidden="1">{#N/A,#N/A,FALSE,"Pharm";#N/A,#N/A,FALSE,"WWCM"}</definedName>
    <definedName name="HFinGraph" hidden="1">{#N/A,#N/A,FALSE,"Pharm";#N/A,#N/A,FALSE,"WWCM"}</definedName>
    <definedName name="HFJ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HFJ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hfydf" localSheetId="3" hidden="1">{"FCB_ALL",#N/A,FALSE,"FCB"}</definedName>
    <definedName name="hfydf" hidden="1">{"FCB_ALL",#N/A,FALSE,"FCB"}</definedName>
    <definedName name="hg" localSheetId="3" hidden="1">{"JG FE Top",#N/A,FALSE,"JG FE $";"JG FE Bottom",#N/A,FALSE,"JG FE $"}</definedName>
    <definedName name="hg" hidden="1">{"JG FE Top",#N/A,FALSE,"JG FE $";"JG FE Bottom",#N/A,FALSE,"JG FE $"}</definedName>
    <definedName name="hgfhdfg" localSheetId="3" hidden="1">{"NA Top",#N/A,FALSE,"NA Model";"NA Bottom",#N/A,FALSE,"NA Model"}</definedName>
    <definedName name="hgfhdfg" hidden="1">{"NA Top",#N/A,FALSE,"NA Model";"NA Bottom",#N/A,FALSE,"NA Model"}</definedName>
    <definedName name="hgsrt" localSheetId="3" hidden="1">{"FCB_ALL",#N/A,FALSE,"FCB";"GREY_ALL",#N/A,FALSE,"GREY"}</definedName>
    <definedName name="hgsrt" hidden="1">{"FCB_ALL",#N/A,FALSE,"FCB";"GREY_ALL",#N/A,FALSE,"GREY"}</definedName>
    <definedName name="hh" localSheetId="3" hidden="1">{#N/A,#N/A,FALSE,"TAXCALC";#N/A,#N/A,FALSE,"TAXCALC"}</definedName>
    <definedName name="hh" hidden="1">{#N/A,#N/A,FALSE,"TAXCALC";#N/A,#N/A,FALSE,"TAXCALC"}</definedName>
    <definedName name="hhh" localSheetId="3" hidden="1">{"JG FE Top",#N/A,FALSE,"JG FE ¥";"JG FE Bottom",#N/A,FALSE,"JG FE ¥"}</definedName>
    <definedName name="hhh" hidden="1">{"JG FE Top",#N/A,FALSE,"JG FE ¥";"JG FE Bottom",#N/A,FALSE,"JG FE ¥"}</definedName>
    <definedName name="hhhh" localSheetId="3" hidden="1">{"SUM",#N/A,FALSE,"Details (2)"}</definedName>
    <definedName name="hhhh" hidden="1">{"SUM",#N/A,FALSE,"Details (2)"}</definedName>
    <definedName name="hhhhhh" localSheetId="3" hidden="1">QKPI #REF!</definedName>
    <definedName name="hhhhhh" hidden="1">QKPI #REF!</definedName>
    <definedName name="hi">#REF!</definedName>
    <definedName name="Hibh" localSheetId="3" hidden="1">{#N/A,#N/A,FALSE,"Pharm";#N/A,#N/A,FALSE,"WWCM"}</definedName>
    <definedName name="Hibh" hidden="1">{#N/A,#N/A,FALSE,"Pharm";#N/A,#N/A,FALSE,"WWCM"}</definedName>
    <definedName name="High" localSheetId="3" hidden="1">{#N/A,#N/A,FALSE,"Pharm";#N/A,#N/A,FALSE,"WWCM"}</definedName>
    <definedName name="High" hidden="1">{#N/A,#N/A,FALSE,"Pharm";#N/A,#N/A,FALSE,"WWCM"}</definedName>
    <definedName name="Highly_Comp_Employees">#REF!</definedName>
    <definedName name="HighPrice">#REF!</definedName>
    <definedName name="HistoCell">#REF!</definedName>
    <definedName name="HistoComplement">#REF!</definedName>
    <definedName name="HistoricData">#REF!</definedName>
    <definedName name="HistoType">#REF!</definedName>
    <definedName name="hj" localSheetId="3" hidden="1">{#N/A,#N/A,FALSE,"TAXCALC";#N/A,#N/A,FALSE,"TAXCALC"}</definedName>
    <definedName name="hj" hidden="1">{#N/A,#N/A,FALSE,"TAXCALC";#N/A,#N/A,FALSE,"TAXCALC"}</definedName>
    <definedName name="hjf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jffukfuk" localSheetId="3" hidden="1">{#N/A,#N/A,FALSE,"Pharm";#N/A,#N/A,FALSE,"WWCM"}</definedName>
    <definedName name="hjhjffukfuk" hidden="1">{#N/A,#N/A,FALSE,"Pharm";#N/A,#N/A,FALSE,"WWCM"}</definedName>
    <definedName name="hjhjfkfukywrte" localSheetId="3" hidden="1">{#N/A,#N/A,FALSE,"Pharm";#N/A,#N/A,FALSE,"WWCM"}</definedName>
    <definedName name="hjhjfkfukywrte" hidden="1">{#N/A,#N/A,FALSE,"Pharm";#N/A,#N/A,FALSE,"WWCM"}</definedName>
    <definedName name="hjhkjkl" localSheetId="3" hidden="1">{#N/A,#N/A,FALSE,"Pharm";#N/A,#N/A,FALSE,"WWCM"}</definedName>
    <definedName name="hjhkjkl" hidden="1">{#N/A,#N/A,FALSE,"Pharm";#N/A,#N/A,FALSE,"WWCM"}</definedName>
    <definedName name="hjjjkk" localSheetId="3" hidden="1">{#N/A,#N/A,FALSE,"REPORT"}</definedName>
    <definedName name="hjjjkk" hidden="1">{#N/A,#N/A,FALSE,"REPORT"}</definedName>
    <definedName name="hjjkk" localSheetId="3" hidden="1">{#N/A,#N/A,FALSE,"Pharm";#N/A,#N/A,FALSE,"WWCM"}</definedName>
    <definedName name="hjjkk" hidden="1">{#N/A,#N/A,FALSE,"Pharm";#N/A,#N/A,FALSE,"WWCM"}</definedName>
    <definedName name="hjkk" localSheetId="3" hidden="1">{#N/A,#N/A,FALSE,"Pharm";#N/A,#N/A,FALSE,"WWCM"}</definedName>
    <definedName name="hjkk" hidden="1">{#N/A,#N/A,FALSE,"Pharm";#N/A,#N/A,FALSE,"WWCM"}</definedName>
    <definedName name="hjyny" localSheetId="3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kjlhjkh" localSheetId="3" hidden="1">{"print 1",#N/A,FALSE,"PrimeCo PCS";"print 2",#N/A,FALSE,"PrimeCo PCS";"valuation",#N/A,FALSE,"PrimeCo PCS"}</definedName>
    <definedName name="hkjlhjkh" hidden="1">{"print 1",#N/A,FALSE,"PrimeCo PCS";"print 2",#N/A,FALSE,"PrimeCo PCS";"valuation",#N/A,FALSE,"PrimeCo PCS"}</definedName>
    <definedName name="HKSH" localSheetId="3" hidden="1">{#N/A,#N/A,FALSE,"REPORT"}</definedName>
    <definedName name="HKSH" hidden="1">{#N/A,#N/A,FALSE,"REPORT"}</definedName>
    <definedName name="HL_1">#REF!</definedName>
    <definedName name="HL_14">#REF!</definedName>
    <definedName name="HL_15">#REF!</definedName>
    <definedName name="HL_16">#REF!</definedName>
    <definedName name="HL_17">#REF!</definedName>
    <definedName name="HL_18">#REF!</definedName>
    <definedName name="HL_19">#REF!</definedName>
    <definedName name="HL_20">#REF!</definedName>
    <definedName name="HL_21">#REF!</definedName>
    <definedName name="HL_22">#REF!</definedName>
    <definedName name="HL_23">#REF!</definedName>
    <definedName name="HL_24">#REF!</definedName>
    <definedName name="HL_25">#REF!</definedName>
    <definedName name="HL_26">#REF!</definedName>
    <definedName name="HL_27">#REF!</definedName>
    <definedName name="HL_28">#REF!</definedName>
    <definedName name="HL_29">#REF!</definedName>
    <definedName name="HL_3">#REF!</definedName>
    <definedName name="HL_30">#REF!</definedName>
    <definedName name="HL_31">#REF!</definedName>
    <definedName name="HL_32">#REF!</definedName>
    <definedName name="HL_33">#REF!</definedName>
    <definedName name="HL_34">#REF!</definedName>
    <definedName name="HL_35">#REF!</definedName>
    <definedName name="HL_36">#REF!</definedName>
    <definedName name="HL_38">#REF!</definedName>
    <definedName name="HL_39">#REF!</definedName>
    <definedName name="HL_4">#REF!</definedName>
    <definedName name="HL_40">#REF!</definedName>
    <definedName name="HL_5">#REF!</definedName>
    <definedName name="HL_6">#REF!</definedName>
    <definedName name="HL_7">#REF!</definedName>
    <definedName name="HL_8">#REF!</definedName>
    <definedName name="HM">#REF!</definedName>
    <definedName name="HMG" localSheetId="3" hidden="1">{#N/A,#N/A,FALSE,"REPORT"}</definedName>
    <definedName name="HMG" hidden="1">{#N/A,#N/A,FALSE,"REPORT"}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od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#REF!</definedName>
    <definedName name="HOMFE" localSheetId="3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riz">#REF!</definedName>
    <definedName name="Horizontal">#REF!</definedName>
    <definedName name="HOUREC">#REF!</definedName>
    <definedName name="HourlyRateIncreaseFactor">#REF!</definedName>
    <definedName name="HoursPaid_ColumnNo">#REF!</definedName>
    <definedName name="houy" localSheetId="3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2" localSheetId="3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Q" localSheetId="3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">#REF!</definedName>
    <definedName name="hsfg" localSheetId="3" hidden="1">{"JG FE Top",#N/A,FALSE,"JG FE $";"JG FE Bottom",#N/A,FALSE,"JG FE $"}</definedName>
    <definedName name="hsfg" hidden="1">{"JG FE Top",#N/A,FALSE,"JG FE $";"JG FE Bottom",#N/A,FALSE,"JG FE $"}</definedName>
    <definedName name="hsghgjhf" localSheetId="3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hsghgjhf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hshs" localSheetId="3" hidden="1">{#N/A,#N/A,FALSE,"A&amp;E";#N/A,#N/A,FALSE,"HighTop";#N/A,#N/A,FALSE,"JG";#N/A,#N/A,FALSE,"RI";#N/A,#N/A,FALSE,"woHT";#N/A,#N/A,FALSE,"woHT&amp;JG"}</definedName>
    <definedName name="hshs" hidden="1">{#N/A,#N/A,FALSE,"A&amp;E";#N/A,#N/A,FALSE,"HighTop";#N/A,#N/A,FALSE,"JG";#N/A,#N/A,FALSE,"RI";#N/A,#N/A,FALSE,"woHT";#N/A,#N/A,FALSE,"woHT&amp;JG"}</definedName>
    <definedName name="HTML_CodePage" hidden="1">1252</definedName>
    <definedName name="HTML_Control" localSheetId="3" hidden="1">{"'A'!$CL$1:$DB$170"}</definedName>
    <definedName name="HTML_Control" hidden="1">{"'A'!$CL$1:$DB$170"}</definedName>
    <definedName name="HTML_Control_1" localSheetId="3" hidden="1">{"'Sheet1'!$A$1:$N$48"}</definedName>
    <definedName name="HTML_Control_1" hidden="1">{"'Sheet1'!$A$1:$N$48"}</definedName>
    <definedName name="HTML_Control_2" localSheetId="3" hidden="1">{"'Sheet1'!$A$1:$N$48"}</definedName>
    <definedName name="HTML_Control_2" hidden="1">{"'Sheet1'!$A$1:$N$48"}</definedName>
    <definedName name="HTML_Control_BS" localSheetId="3" hidden="1">{"'Sheet1'!$A$1:$L$21"}</definedName>
    <definedName name="HTML_Control_BS" hidden="1">{"'Sheet1'!$A$1:$L$21"}</definedName>
    <definedName name="HTML_Description" hidden="1">""</definedName>
    <definedName name="HTML_Email" hidden="1">""</definedName>
    <definedName name="HTML_Header" hidden="1">"Local Currency to US Dollar"</definedName>
    <definedName name="HTML_LastUpdate" hidden="1">"2/23/98"</definedName>
    <definedName name="HTML_LineAfter" hidden="1">FALSE</definedName>
    <definedName name="HTML_LineBefore" hidden="1">FALSE</definedName>
    <definedName name="HTML_Name" hidden="1">"†††††††††††"</definedName>
    <definedName name="HTML_OBDlg2" hidden="1">TRUE</definedName>
    <definedName name="HTML_OBDlg4" hidden="1">TRUE</definedName>
    <definedName name="HTML_OS" hidden="1">0</definedName>
    <definedName name="HTML_PathFile" hidden="1">"S:\shared\finrpt\fx\rates\mar98l.htm"</definedName>
    <definedName name="HTML_Title" hidden="1">"Local Currency to US Dollar"</definedName>
    <definedName name="HTML1_1" hidden="1">"'[Financials V2.01 Sub Sales Excite 4.xls]Income Statement'!$B$1:$AA$38"</definedName>
    <definedName name="HTML1_10" hidden="1">""</definedName>
    <definedName name="HTML1_11" hidden="1">1</definedName>
    <definedName name="HTML1_12" hidden="1">"C:\My Documents\Financials_01.htm"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"Financials V.1.0.2"</definedName>
    <definedName name="HTML1_4" hidden="1">"Income Statement"</definedName>
    <definedName name="HTML1_5" hidden="1">""</definedName>
    <definedName name="HTML1_6" hidden="1">-4146</definedName>
    <definedName name="HTML1_7" hidden="1">-4146</definedName>
    <definedName name="HTML1_8" hidden="1">"8/22/98"</definedName>
    <definedName name="HTML1_9" hidden="1">"Bill Nguyen"</definedName>
    <definedName name="HTML2_1" hidden="1">"'[Financials V2.01 Sub Sales Excite 4.xls]Income Statement'!$B$10:$AA$38"</definedName>
    <definedName name="HTML2_10" hidden="1">""</definedName>
    <definedName name="HTML2_11" hidden="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"Financials"</definedName>
    <definedName name="HTML2_4" hidden="1">"Income Statement"</definedName>
    <definedName name="HTML2_5" hidden="1">""</definedName>
    <definedName name="HTML2_6" hidden="1">-4146</definedName>
    <definedName name="HTML2_7" hidden="1">1</definedName>
    <definedName name="HTML2_8" hidden="1">"8/22/98"</definedName>
    <definedName name="HTML2_9" hidden="1">"Bill Nguyen"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localSheetId="3" hidden="1">{"'Edit'!$A$1:$V$2277"}</definedName>
    <definedName name="HTMLControl" hidden="1">{"'Edit'!$A$1:$V$2277"}</definedName>
    <definedName name="HTMLCount" hidden="1">2</definedName>
    <definedName name="htyuityuiotio" localSheetId="3" hidden="1">{#N/A,#N/A,FALSE,"REPORT"}</definedName>
    <definedName name="htyuityuiotio" hidden="1">{#N/A,#N/A,FALSE,"REPORT"}</definedName>
    <definedName name="hvdebttest">#REF!</definedName>
    <definedName name="HY_Debt">#REF!</definedName>
    <definedName name="hydrocarbons">#REF!</definedName>
    <definedName name="Hypertention" localSheetId="3" hidden="1">{#N/A,#N/A,FALSE,"Pharm";#N/A,#N/A,FALSE,"WWCM"}</definedName>
    <definedName name="Hypertention" hidden="1">{#N/A,#N/A,FALSE,"Pharm";#N/A,#N/A,FALSE,"WWCM"}</definedName>
    <definedName name="hypo" localSheetId="3" hidden="1">{#N/A,#N/A,FALSE,"Pharm";#N/A,#N/A,FALSE,"WWCM"}</definedName>
    <definedName name="hypo" hidden="1">{#N/A,#N/A,FALSE,"Pharm";#N/A,#N/A,FALSE,"WWCM"}</definedName>
    <definedName name="HYPOTHÈSES">#REF!</definedName>
    <definedName name="I">#REF!</definedName>
    <definedName name="ibhis_interfaces">#REF!</definedName>
    <definedName name="IC3_bonus">#REF!</definedName>
    <definedName name="ICOV1">#REF!</definedName>
    <definedName name="ICOV2">#REF!</definedName>
    <definedName name="ICOV3">#REF!</definedName>
    <definedName name="ICOV4">#REF!</definedName>
    <definedName name="ICOV5">#REF!</definedName>
    <definedName name="ICOV6">#REF!</definedName>
    <definedName name="ICThree">#REF!</definedName>
    <definedName name="iffy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i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ii" localSheetId="3" hidden="1">{"IS w Ratios",#N/A,FALSE,"Europe";"PF CF Europe",#N/A,FALSE,"Europe";"DCF Eur Matrix",#N/A,FALSE,"Europe"}</definedName>
    <definedName name="iii" hidden="1">{"IS w Ratios",#N/A,FALSE,"Europe";"PF CF Europe",#N/A,FALSE,"Europe";"DCF Eur Matrix",#N/A,FALSE,"Europe"}</definedName>
    <definedName name="ijn" localSheetId="3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magyn" localSheetId="3" hidden="1">{#N/A,#N/A,FALSE,"Projections";#N/A,#N/A,FALSE,"Multiples Valuation";#N/A,#N/A,FALSE,"LBO";#N/A,#N/A,FALSE,"Multiples_Sensitivity";#N/A,#N/A,FALSE,"Summary"}</definedName>
    <definedName name="Imagyn" hidden="1">{#N/A,#N/A,FALSE,"Projections";#N/A,#N/A,FALSE,"Multiples Valuation";#N/A,#N/A,FALSE,"LBO";#N/A,#N/A,FALSE,"Multiples_Sensitivity";#N/A,#N/A,FALSE,"Summary"}</definedName>
    <definedName name="Immo_Not_Act">#REF!</definedName>
    <definedName name="Immo_Not_Pre">#REF!</definedName>
    <definedName name="Immo_Note_Act">#REF!</definedName>
    <definedName name="Immo_Note_amort">#REF!</definedName>
    <definedName name="Immo_Note_cout">#REF!</definedName>
    <definedName name="Immo_Note_Pre">#REF!</definedName>
    <definedName name="ImmoCout_Note_Act">#REF!</definedName>
    <definedName name="ImmoCout_Note_Pre">#REF!</definedName>
    <definedName name="in">#REF!</definedName>
    <definedName name="inclexclcorpcosts">#REF!</definedName>
    <definedName name="include">#REF!</definedName>
    <definedName name="Include_SubRC">#REF!</definedName>
    <definedName name="IncludeInPFM">FALSE</definedName>
    <definedName name="IncomeStatementDates">#REF!</definedName>
    <definedName name="Increase">#REF!</definedName>
    <definedName name="IncrementCell">#REF!</definedName>
    <definedName name="inde">#REF!</definedName>
    <definedName name="index">#REF!</definedName>
    <definedName name="IndType" hidden="1">#REF!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foRes_Note_act">#REF!</definedName>
    <definedName name="InfoRes_note_pre">#REF!</definedName>
    <definedName name="InLineRng">#REF!</definedName>
    <definedName name="Inmovilizado2" localSheetId="3" hidden="1">{#N/A,#N/A,FALSE,"CNS_ADJ";"Balance Consolidado",#N/A,FALSE,"BCEC_CNS";#N/A,#N/A,FALSE,"USGAAP_ADJ"}</definedName>
    <definedName name="Inmovilizado2" hidden="1">{#N/A,#N/A,FALSE,"CNS_ADJ";"Balance Consolidado",#N/A,FALSE,"BCEC_CNS";#N/A,#N/A,FALSE,"USGAAP_ADJ"}</definedName>
    <definedName name="Input">#REF!,#REF!</definedName>
    <definedName name="INPUT_TABLE">#REF!</definedName>
    <definedName name="Insurance">#REF!</definedName>
    <definedName name="Insurance_Types">#REF!</definedName>
    <definedName name="Int">#REF!</definedName>
    <definedName name="IntDLT_Note_Act">#REF!</definedName>
    <definedName name="IntDLT_Note_Pre">#REF!</definedName>
    <definedName name="Integr_Type">#REF!</definedName>
    <definedName name="interest">#REF!</definedName>
    <definedName name="Interest_rate">#REF!</definedName>
    <definedName name="InterestAmt" localSheetId="3">-IPMT(InterestRate/12,'Locations Data'!PaymentNumber,NumberOfPayments,LoanAmount)</definedName>
    <definedName name="InterestAmt">-IPMT(InterestRate/12,PaymentNumber,NumberOfPayments,LoanAmount)</definedName>
    <definedName name="InterestRate">#REF!</definedName>
    <definedName name="IntroPrintArea" hidden="1">#REF!</definedName>
    <definedName name="Inv_paid_up_front">#REF!</definedName>
    <definedName name="Inv_Reserve_Rollfwd">#REF!</definedName>
    <definedName name="Inv_Usage_Summary">#REF!</definedName>
    <definedName name="Inventory_Prod_Line">#REF!</definedName>
    <definedName name="Inventory_Summary">#REF!</definedName>
    <definedName name="iokjhj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okjhj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P" localSheetId="3" hidden="1">{#N/A,#N/A,FALSE,"Pharm";#N/A,#N/A,FALSE,"WWCM"}</definedName>
    <definedName name="IP" hidden="1">{#N/A,#N/A,FALSE,"Pharm";#N/A,#N/A,FALSE,"WWCM"}</definedName>
    <definedName name="IQ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O_EST" hidden="1">"c267"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"001"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REUT" hidden="1">"c3837"</definedName>
    <definedName name="IQ_FFO_EST_THOM" hidden="1">"c3999"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ARKTCAP" hidden="1">"c258"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42785.7969791667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_REUT" hidden="1">"c3638"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_LEASES_NON_ACCRUAL_FFIEC" hidden="1">"c13757"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CURRENT_BOOKMARK" hidden="1">0</definedName>
    <definedName name="IQR06PL_CcyAnalysisB108" hidden="1">#REF!</definedName>
    <definedName name="IQRA10" hidden="1">"$A$11:$A$262"</definedName>
    <definedName name="IQRA12" hidden="1">"$A$13:$A$273"</definedName>
    <definedName name="IQRA2" hidden="1">"$A$3:$A$1306"</definedName>
    <definedName name="IQRA279" hidden="1">"$A$280:$A$540"</definedName>
    <definedName name="IQRA3" hidden="1">"$A$4:$A$1307"</definedName>
    <definedName name="IQRAC12" hidden="1">"$AC$13:$AC$273"</definedName>
    <definedName name="IQRAC279" hidden="1">"$AC$280:$AC$540"</definedName>
    <definedName name="IQRAF12" hidden="1">"$AF$13:$AF$72"</definedName>
    <definedName name="IQRAF17" hidden="1">"$AF$18:$AF$269"</definedName>
    <definedName name="IQRAF279" hidden="1">"$AF$280:$AF$339"</definedName>
    <definedName name="IQRAgenciesU14" hidden="1">#REF!</definedName>
    <definedName name="IQRAJ12" hidden="1">"$AJ$13:$AJ$273"</definedName>
    <definedName name="IQRAJ279" hidden="1">"$AJ$280:$AJ$540"</definedName>
    <definedName name="IQRAM12" hidden="1">"$AM$13:$AM$72"</definedName>
    <definedName name="IQRAM279" hidden="1">"$AM$280:$AM$339"</definedName>
    <definedName name="IQRAQ12" hidden="1">"$AQ$13"</definedName>
    <definedName name="IQRAQ279" hidden="1">"$AQ$280:$AQ$540"</definedName>
    <definedName name="IQRAT12" hidden="1">"$AT$13"</definedName>
    <definedName name="IQRAT279" hidden="1">"$AT$280:$AT$339"</definedName>
    <definedName name="IQRAX12" hidden="1">"$AX$13"</definedName>
    <definedName name="IQRAX279" hidden="1">"$AX$280:$AX$540"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" hidden="1">"$B$4:$B$1262"</definedName>
    <definedName name="IQRB32" hidden="1">"$B$33:$B$37"</definedName>
    <definedName name="IQRB33" hidden="1">"$B$34:$B$38"</definedName>
    <definedName name="IQRB34" hidden="1">"$B$35:$B$39"</definedName>
    <definedName name="IQRBA12" hidden="1">"$BA$13"</definedName>
    <definedName name="IQRBA279" hidden="1">"$BA$280:$BA$339"</definedName>
    <definedName name="IQRBB40" hidden="1">"$BB$41:$BB$45"</definedName>
    <definedName name="IQRBE12" hidden="1">"$BE$13"</definedName>
    <definedName name="IQRBE279" hidden="1">"$BE$280:$BE$540"</definedName>
    <definedName name="IQRBH12" hidden="1">"$BH$13"</definedName>
    <definedName name="IQRBH279" hidden="1">"$BH$280:$BH$339"</definedName>
    <definedName name="IQRBL12" hidden="1">"$BL$13"</definedName>
    <definedName name="IQRBL279" hidden="1">"$BL$280:$BL$540"</definedName>
    <definedName name="IQRBO12" hidden="1">"$BO$13"</definedName>
    <definedName name="IQRBO279" hidden="1">"$BO$280:$BO$339"</definedName>
    <definedName name="IQRBS11" hidden="1">"$BS$12:$BS$272"</definedName>
    <definedName name="IQRBS12" hidden="1">"$BS$13"</definedName>
    <definedName name="IQRBS279" hidden="1">"$BS$280:$BS$540"</definedName>
    <definedName name="IQRBV12" hidden="1">"$BV$13"</definedName>
    <definedName name="IQRBV279" hidden="1">"$BV$280:$BV$339"</definedName>
    <definedName name="IQRBZ12" hidden="1">"$BZ$13"</definedName>
    <definedName name="IQRBZ279" hidden="1">"$BZ$280:$BZ$540"</definedName>
    <definedName name="IQRC12" hidden="1">"$C$13"</definedName>
    <definedName name="IQRC15" hidden="1">"$C$16:$C$20"</definedName>
    <definedName name="IQRC16" hidden="1">"$C$17:$C$36"</definedName>
    <definedName name="IQRC2" hidden="1">"$C$3:$C$1306"</definedName>
    <definedName name="IQRC24" hidden="1">"$C$25:$C$29"</definedName>
    <definedName name="IQRC3" hidden="1">"$C$4:$C$23"</definedName>
    <definedName name="IQRC7" hidden="1">"$C$8:$C$12"</definedName>
    <definedName name="IQRCC12" hidden="1">"$CC$13"</definedName>
    <definedName name="IQRCC279" hidden="1">"$CC$280:$CC$339"</definedName>
    <definedName name="IQRCG12" hidden="1">"$CG$13"</definedName>
    <definedName name="IQRCG279" hidden="1">"$CG$280:$CG$540"</definedName>
    <definedName name="IQRCJ12" hidden="1">"$CJ$13"</definedName>
    <definedName name="IQRCJ279" hidden="1">"$CJ$280:$CJ$339"</definedName>
    <definedName name="IQRCN12" hidden="1">"$CN$13"</definedName>
    <definedName name="IQRCN279" hidden="1">"$CN$280:$CN$540"</definedName>
    <definedName name="IQRCompaniesH12" hidden="1">#REF!</definedName>
    <definedName name="IQRCompaniesH13" hidden="1">#REF!</definedName>
    <definedName name="IQRCompaniesH14" hidden="1">#REF!</definedName>
    <definedName name="IQRCompaniesH15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H20" hidden="1">#REF!</definedName>
    <definedName name="IQRCompaniesH21" hidden="1">#REF!</definedName>
    <definedName name="IQRCompaniesH22" hidden="1">#REF!</definedName>
    <definedName name="IQRCompaniesH23" hidden="1">#REF!</definedName>
    <definedName name="IQRCompaniesH24" hidden="1">#REF!</definedName>
    <definedName name="IQRCompaniesH25" hidden="1">#REF!</definedName>
    <definedName name="IQRCompaniesH26" hidden="1">#REF!</definedName>
    <definedName name="IQRCompaniesH27" hidden="1">#REF!</definedName>
    <definedName name="IQRCompaniesH28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N12" hidden="1">#REF!</definedName>
    <definedName name="IQRCompaniesN13" hidden="1">#REF!</definedName>
    <definedName name="IQRCompaniesN14" hidden="1">#REF!</definedName>
    <definedName name="IQRCompaniesN15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aniesN20" hidden="1">#REF!</definedName>
    <definedName name="IQRCompaniesN21" hidden="1">#REF!</definedName>
    <definedName name="IQRCompaniesN22" hidden="1">#REF!</definedName>
    <definedName name="IQRCompaniesN23" hidden="1">#REF!</definedName>
    <definedName name="IQRCompaniesN24" hidden="1">#REF!</definedName>
    <definedName name="IQRCompaniesN25" hidden="1">#REF!</definedName>
    <definedName name="IQRCompaniesN26" hidden="1">#REF!</definedName>
    <definedName name="IQRCompaniesN27" hidden="1">#REF!</definedName>
    <definedName name="IQRCompaniesN28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Q12" hidden="1">"$CQ$13"</definedName>
    <definedName name="IQRCQ279" hidden="1">"$CQ$280:$CQ$339"</definedName>
    <definedName name="IQRCU12" hidden="1">"$CU$13"</definedName>
    <definedName name="IQRCU279" hidden="1">"$CU$280:$CU$540"</definedName>
    <definedName name="IQRCX12" hidden="1">"$CX$13"</definedName>
    <definedName name="IQRCX279" hidden="1">"$CX$280:$CX$339"</definedName>
    <definedName name="IQRD12" hidden="1">"$D$13:$D$72"</definedName>
    <definedName name="IQRD15" hidden="1">"$D$16:$D$17"</definedName>
    <definedName name="IQRD16" hidden="1">"$D$17:$D$36"</definedName>
    <definedName name="IQRD279" hidden="1">"$D$280:$D$339"</definedName>
    <definedName name="IQRD3" hidden="1">"$D$4:$D$23"</definedName>
    <definedName name="IQRD6" hidden="1">"$D$7:$D$11"</definedName>
    <definedName name="IQRD7" hidden="1">"$D$8:$D$12"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E18" hidden="1">"$F$18:$Y$18"</definedName>
    <definedName name="IQRE19" hidden="1">"$F$19"</definedName>
    <definedName name="IQRE20" hidden="1">"$F$20"</definedName>
    <definedName name="IQRE30" hidden="1">"$F$30:$L$30"</definedName>
    <definedName name="IQRE31" hidden="1">"$F$31:$S$31"</definedName>
    <definedName name="IQRE32" hidden="1">"$F$32:$J$32"</definedName>
    <definedName name="IQRE41" hidden="1">"$F$41"</definedName>
    <definedName name="IQRE42" hidden="1">"$F$42"</definedName>
    <definedName name="IQRE43" hidden="1">"$F$43"</definedName>
    <definedName name="IQRE44" hidden="1">"$F$44"</definedName>
    <definedName name="IQRE45" hidden="1">"$F$45"</definedName>
    <definedName name="IQRE46" hidden="1">"$F$46"</definedName>
    <definedName name="IQRE47" hidden="1">"$F$47"</definedName>
    <definedName name="IQRE48" hidden="1">"$F$48"</definedName>
    <definedName name="IQRE49" hidden="1">"$F$49"</definedName>
    <definedName name="IQRE50" hidden="1">"$F$50"</definedName>
    <definedName name="IQRE51" hidden="1">"$F$51"</definedName>
    <definedName name="IQRE52" hidden="1">"$F$52"</definedName>
    <definedName name="IQRE57" hidden="1">"$F$57:$R$57"</definedName>
    <definedName name="IQRE58" hidden="1">"$F$58:$K$58"</definedName>
    <definedName name="IQRE59" hidden="1">"$F$59:$I$59"</definedName>
    <definedName name="IQRE6" hidden="1">"$E$7:$E$11"</definedName>
    <definedName name="IQRE60" hidden="1">"$F$60:$I$60"</definedName>
    <definedName name="IQRE61" hidden="1">"$F$61:$R$61"</definedName>
    <definedName name="IQRE62" hidden="1">"$F$62"</definedName>
    <definedName name="IQRE7" hidden="1">"$E$8:$E$10"</definedName>
    <definedName name="IQRF16" hidden="1">"$F$17:$F$59"</definedName>
    <definedName name="IQRF3" hidden="1">"$F$4:$F$46"</definedName>
    <definedName name="IQRF7" hidden="1">"$F$8:$F$12"</definedName>
    <definedName name="IQRF8" hidden="1">"$F$9:$F$11"</definedName>
    <definedName name="IQRFinancialB17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G12" hidden="1">"$H$12:$L$12"</definedName>
    <definedName name="IQRG16" hidden="1">"$G$17:$G$59"</definedName>
    <definedName name="IQRG3" hidden="1">"$G$4:$G$46"</definedName>
    <definedName name="IQRG7" hidden="1">"$G$8:$G$12"</definedName>
    <definedName name="IQRG8" hidden="1">"$G$9:$G$13"</definedName>
    <definedName name="IQRH100" hidden="1">"$I$100"</definedName>
    <definedName name="IQRH101" hidden="1">"$I$101"</definedName>
    <definedName name="IQRH102" hidden="1">"$I$102"</definedName>
    <definedName name="IQRH103" hidden="1">"$I$103"</definedName>
    <definedName name="IQRH104" hidden="1">"$I$104"</definedName>
    <definedName name="IQRH105" hidden="1">"$I$105"</definedName>
    <definedName name="IQRH106" hidden="1">"$I$106"</definedName>
    <definedName name="IQRH107" hidden="1">"$I$107"</definedName>
    <definedName name="IQRH108" hidden="1">"$I$108"</definedName>
    <definedName name="IQRH109" hidden="1">"$I$109"</definedName>
    <definedName name="IQRH110" hidden="1">"$I$110"</definedName>
    <definedName name="IQRH111" hidden="1">"$I$111"</definedName>
    <definedName name="IQRH112" hidden="1">"$I$112"</definedName>
    <definedName name="IQRH113" hidden="1">"$I$113"</definedName>
    <definedName name="IQRH114" hidden="1">"$I$114"</definedName>
    <definedName name="IQRH115" hidden="1">"$I$115"</definedName>
    <definedName name="IQRH116" hidden="1">"$I$116"</definedName>
    <definedName name="IQRH117" hidden="1">"$I$117"</definedName>
    <definedName name="IQRH118" hidden="1">"$I$118"</definedName>
    <definedName name="IQRH119" hidden="1">"$I$119"</definedName>
    <definedName name="IQRH12" hidden="1">"$I$12:$M$12"</definedName>
    <definedName name="IQRH120" hidden="1">"$I$120"</definedName>
    <definedName name="IQRH121" hidden="1">"$I$121"</definedName>
    <definedName name="IQRH122" hidden="1">"$I$122"</definedName>
    <definedName name="IQRH123" hidden="1">"$I$123"</definedName>
    <definedName name="IQRH124" hidden="1">"$I$124"</definedName>
    <definedName name="IQRH125" hidden="1">"$I$125"</definedName>
    <definedName name="IQRH126" hidden="1">"$I$126"</definedName>
    <definedName name="IQRH127" hidden="1">"$I$127"</definedName>
    <definedName name="IQRH128" hidden="1">"$I$128"</definedName>
    <definedName name="IQRH129" hidden="1">"$I$129"</definedName>
    <definedName name="IQRH13" hidden="1">"$I$13"</definedName>
    <definedName name="IQRH130" hidden="1">"$I$130"</definedName>
    <definedName name="IQRH131" hidden="1">"$I$131"</definedName>
    <definedName name="IQRH132" hidden="1">"$I$132"</definedName>
    <definedName name="IQRH133" hidden="1">"$I$133"</definedName>
    <definedName name="IQRH134" hidden="1">"$I$134"</definedName>
    <definedName name="IQRH135" hidden="1">"$I$135"</definedName>
    <definedName name="IQRH136" hidden="1">"$I$136"</definedName>
    <definedName name="IQRH137" hidden="1">"$I$137"</definedName>
    <definedName name="IQRH138" hidden="1">"$I$138"</definedName>
    <definedName name="IQRH139" hidden="1">"$I$139"</definedName>
    <definedName name="IQRH14" hidden="1">"$I$14"</definedName>
    <definedName name="IQRH140" hidden="1">"$I$140"</definedName>
    <definedName name="IQRH141" hidden="1">"$I$141"</definedName>
    <definedName name="IQRH142" hidden="1">"$I$142"</definedName>
    <definedName name="IQRH143" hidden="1">"$I$143"</definedName>
    <definedName name="IQRH144" hidden="1">"$I$144"</definedName>
    <definedName name="IQRH145" hidden="1">"$I$145"</definedName>
    <definedName name="IQRH146" hidden="1">"$I$146"</definedName>
    <definedName name="IQRH147" hidden="1">"$I$147"</definedName>
    <definedName name="IQRH148" hidden="1">"$I$148"</definedName>
    <definedName name="IQRH149" hidden="1">"$I$149"</definedName>
    <definedName name="IQRH15" hidden="1">"$I$15:$M$15"</definedName>
    <definedName name="IQRH150" hidden="1">"$I$150"</definedName>
    <definedName name="IQRH151" hidden="1">"$I$151"</definedName>
    <definedName name="IQRH152" hidden="1">"$I$152"</definedName>
    <definedName name="IQRH153" hidden="1">"$I$153"</definedName>
    <definedName name="IQRH154" hidden="1">"$I$154"</definedName>
    <definedName name="IQRH155" hidden="1">"$I$155"</definedName>
    <definedName name="IQRH156" hidden="1">"$I$156"</definedName>
    <definedName name="IQRH157" hidden="1">"$I$157"</definedName>
    <definedName name="IQRH158" hidden="1">"$I$158"</definedName>
    <definedName name="IQRH159" hidden="1">"$I$159"</definedName>
    <definedName name="IQRH16" hidden="1">"$I$16:$J$16"</definedName>
    <definedName name="IQRH160" hidden="1">"$I$160"</definedName>
    <definedName name="IQRH161" hidden="1">"$I$161"</definedName>
    <definedName name="IQRH162" hidden="1">"$I$162"</definedName>
    <definedName name="IQRH163" hidden="1">"$I$163"</definedName>
    <definedName name="IQRH164" hidden="1">"$I$164"</definedName>
    <definedName name="IQRH165" hidden="1">"$I$165"</definedName>
    <definedName name="IQRH166" hidden="1">"$I$166"</definedName>
    <definedName name="IQRH167" hidden="1">"$I$167"</definedName>
    <definedName name="IQRH168" hidden="1">"$I$168"</definedName>
    <definedName name="IQRH169" hidden="1">"$I$169"</definedName>
    <definedName name="IQRH17" hidden="1">"$I$17"</definedName>
    <definedName name="IQRH170" hidden="1">"$I$170"</definedName>
    <definedName name="IQRH171" hidden="1">"$I$171"</definedName>
    <definedName name="IQRH172" hidden="1">"$I$172"</definedName>
    <definedName name="IQRH173" hidden="1">"$I$173"</definedName>
    <definedName name="IQRH174" hidden="1">"$I$174"</definedName>
    <definedName name="IQRH175" hidden="1">"$I$175"</definedName>
    <definedName name="IQRH176" hidden="1">"$I$176"</definedName>
    <definedName name="IQRH177" hidden="1">"$I$177"</definedName>
    <definedName name="IQRH178" hidden="1">"$I$178"</definedName>
    <definedName name="IQRH179" hidden="1">"$I$179"</definedName>
    <definedName name="IQRH18" hidden="1">"$I$18"</definedName>
    <definedName name="IQRH180" hidden="1">"$I$180"</definedName>
    <definedName name="IQRH181" hidden="1">"$I$181"</definedName>
    <definedName name="IQRH182" hidden="1">"$I$182"</definedName>
    <definedName name="IQRH183" hidden="1">"$I$183"</definedName>
    <definedName name="IQRH184" hidden="1">"$I$184"</definedName>
    <definedName name="IQRH185" hidden="1">"$I$185"</definedName>
    <definedName name="IQRH186" hidden="1">"$I$186"</definedName>
    <definedName name="IQRH187" hidden="1">"$I$187"</definedName>
    <definedName name="IQRH188" hidden="1">"$I$188"</definedName>
    <definedName name="IQRH189" hidden="1">"$I$189"</definedName>
    <definedName name="IQRH19" hidden="1">"$I$19:$J$19"</definedName>
    <definedName name="IQRH190" hidden="1">"$I$190"</definedName>
    <definedName name="IQRH191" hidden="1">"$I$191"</definedName>
    <definedName name="IQRH192" hidden="1">"$I$192"</definedName>
    <definedName name="IQRH193" hidden="1">"$I$193"</definedName>
    <definedName name="IQRH194" hidden="1">"$I$194"</definedName>
    <definedName name="IQRH195" hidden="1">"$I$195"</definedName>
    <definedName name="IQRH196" hidden="1">"$I$196"</definedName>
    <definedName name="IQRH197" hidden="1">"$I$197"</definedName>
    <definedName name="IQRH198" hidden="1">"$I$198"</definedName>
    <definedName name="IQRH199" hidden="1">"$I$199"</definedName>
    <definedName name="IQRH20" hidden="1">"$I$20"</definedName>
    <definedName name="IQRH200" hidden="1">"$I$200"</definedName>
    <definedName name="IQRH201" hidden="1">"$I$201"</definedName>
    <definedName name="IQRH202" hidden="1">"$I$202"</definedName>
    <definedName name="IQRH203" hidden="1">"$I$203"</definedName>
    <definedName name="IQRH204" hidden="1">"$I$204"</definedName>
    <definedName name="IQRH205" hidden="1">"$I$205"</definedName>
    <definedName name="IQRH206" hidden="1">"$I$206"</definedName>
    <definedName name="IQRH207" hidden="1">"$I$207"</definedName>
    <definedName name="IQRH208" hidden="1">"$I$208"</definedName>
    <definedName name="IQRH209" hidden="1">"$I$209"</definedName>
    <definedName name="IQRH21" hidden="1">"$I$21:$M$21"</definedName>
    <definedName name="IQRH210" hidden="1">"$I$210"</definedName>
    <definedName name="IQRH211" hidden="1">"$I$211"</definedName>
    <definedName name="IQRH212" hidden="1">"$I$212"</definedName>
    <definedName name="IQRH213" hidden="1">"$I$213"</definedName>
    <definedName name="IQRH214" hidden="1">"$I$214"</definedName>
    <definedName name="IQRH215" hidden="1">"$I$215"</definedName>
    <definedName name="IQRH216" hidden="1">"$I$216"</definedName>
    <definedName name="IQRH217" hidden="1">"$I$217"</definedName>
    <definedName name="IQRH218" hidden="1">"$I$218"</definedName>
    <definedName name="IQRH219" hidden="1">"$I$219"</definedName>
    <definedName name="IQRH22" hidden="1">"$I$22:$J$22"</definedName>
    <definedName name="IQRH220" hidden="1">"$I$220"</definedName>
    <definedName name="IQRH221" hidden="1">"$I$221"</definedName>
    <definedName name="IQRH222" hidden="1">"$I$222"</definedName>
    <definedName name="IQRH223" hidden="1">"$I$223"</definedName>
    <definedName name="IQRH224" hidden="1">"$I$224"</definedName>
    <definedName name="IQRH225" hidden="1">"$I$225"</definedName>
    <definedName name="IQRH226" hidden="1">"$I$226"</definedName>
    <definedName name="IQRH227" hidden="1">"$I$227"</definedName>
    <definedName name="IQRH228" hidden="1">"$I$228"</definedName>
    <definedName name="IQRH229" hidden="1">"$I$229"</definedName>
    <definedName name="IQRH23" hidden="1">"$I$23"</definedName>
    <definedName name="IQRH230" hidden="1">"$I$230"</definedName>
    <definedName name="IQRH231" hidden="1">"$I$231"</definedName>
    <definedName name="IQRH232" hidden="1">"$I$232"</definedName>
    <definedName name="IQRH233" hidden="1">"$I$233"</definedName>
    <definedName name="IQRH234" hidden="1">"$I$234"</definedName>
    <definedName name="IQRH235" hidden="1">"$I$235"</definedName>
    <definedName name="IQRH236" hidden="1">"$I$236"</definedName>
    <definedName name="IQRH237" hidden="1">"$I$237"</definedName>
    <definedName name="IQRH238" hidden="1">"$I$238"</definedName>
    <definedName name="IQRH239" hidden="1">"$I$239"</definedName>
    <definedName name="IQRH24" hidden="1">"$I$24:$M$24"</definedName>
    <definedName name="IQRH240" hidden="1">"$I$240"</definedName>
    <definedName name="IQRH241" hidden="1">"$I$241"</definedName>
    <definedName name="IQRH242" hidden="1">"$I$242"</definedName>
    <definedName name="IQRH243" hidden="1">"$I$243"</definedName>
    <definedName name="IQRH244" hidden="1">"$I$244"</definedName>
    <definedName name="IQRH245" hidden="1">"$I$245"</definedName>
    <definedName name="IQRH246" hidden="1">"$I$246"</definedName>
    <definedName name="IQRH247" hidden="1">"$I$247"</definedName>
    <definedName name="IQRH248" hidden="1">"$I$248"</definedName>
    <definedName name="IQRH249" hidden="1">"$I$249"</definedName>
    <definedName name="IQRH25" hidden="1">"$I$25:$M$25"</definedName>
    <definedName name="IQRH250" hidden="1">"$I$250"</definedName>
    <definedName name="IQRH251" hidden="1">"$I$251"</definedName>
    <definedName name="IQRH252" hidden="1">"$I$252"</definedName>
    <definedName name="IQRH253" hidden="1">"$I$253"</definedName>
    <definedName name="IQRH254" hidden="1">"$I$254"</definedName>
    <definedName name="IQRH255" hidden="1">"$I$255"</definedName>
    <definedName name="IQRH256" hidden="1">"$I$256"</definedName>
    <definedName name="IQRH257" hidden="1">"$I$257"</definedName>
    <definedName name="IQRH258" hidden="1">"$I$258"</definedName>
    <definedName name="IQRH259" hidden="1">"$I$259"</definedName>
    <definedName name="IQRH26" hidden="1">"$I$26:$M$26"</definedName>
    <definedName name="IQRH260" hidden="1">"$I$260"</definedName>
    <definedName name="IQRH261" hidden="1">"$I$261"</definedName>
    <definedName name="IQRH262" hidden="1">"$I$262"</definedName>
    <definedName name="IQRH263" hidden="1">"$I$263"</definedName>
    <definedName name="IQRH264" hidden="1">"$I$264"</definedName>
    <definedName name="IQRH265" hidden="1">"$I$265"</definedName>
    <definedName name="IQRH266" hidden="1">"$I$266"</definedName>
    <definedName name="IQRH267" hidden="1">"$I$267"</definedName>
    <definedName name="IQRH268" hidden="1">"$I$268"</definedName>
    <definedName name="IQRH269" hidden="1">"$I$269"</definedName>
    <definedName name="IQRH27" hidden="1">"$I$27:$M$27"</definedName>
    <definedName name="IQRH270" hidden="1">"$I$270"</definedName>
    <definedName name="IQRH271" hidden="1">"$I$271"</definedName>
    <definedName name="IQRH272" hidden="1">"$I$272"</definedName>
    <definedName name="IQRH273" hidden="1">"$I$273"</definedName>
    <definedName name="IQRH274" hidden="1">"$I$274"</definedName>
    <definedName name="IQRH275" hidden="1">"$I$275"</definedName>
    <definedName name="IQRH276" hidden="1">"$I$276"</definedName>
    <definedName name="IQRH277" hidden="1">"$I$277"</definedName>
    <definedName name="IQRH278" hidden="1">"$I$278"</definedName>
    <definedName name="IQRH279" hidden="1">"$I$279"</definedName>
    <definedName name="IQRH28" hidden="1">"$I$28"</definedName>
    <definedName name="IQRH280" hidden="1">"$I$280"</definedName>
    <definedName name="IQRH281" hidden="1">"$I$281"</definedName>
    <definedName name="IQRH282" hidden="1">"$I$282"</definedName>
    <definedName name="IQRH283" hidden="1">"$I$283"</definedName>
    <definedName name="IQRH284" hidden="1">"$I$284"</definedName>
    <definedName name="IQRH285" hidden="1">"$I$285"</definedName>
    <definedName name="IQRH286" hidden="1">"$I$286"</definedName>
    <definedName name="IQRH287" hidden="1">"$I$287"</definedName>
    <definedName name="IQRH288" hidden="1">"$I$288"</definedName>
    <definedName name="IQRH289" hidden="1">"$I$289"</definedName>
    <definedName name="IQRH29" hidden="1">"$I$29"</definedName>
    <definedName name="IQRH290" hidden="1">"$I$290"</definedName>
    <definedName name="IQRH291" hidden="1">"$I$291"</definedName>
    <definedName name="IQRH292" hidden="1">"$I$292"</definedName>
    <definedName name="IQRH293" hidden="1">"$I$293"</definedName>
    <definedName name="IQRH294" hidden="1">"$I$294"</definedName>
    <definedName name="IQRH295" hidden="1">"$I$295"</definedName>
    <definedName name="IQRH296" hidden="1">"$I$296"</definedName>
    <definedName name="IQRH297" hidden="1">"$I$297"</definedName>
    <definedName name="IQRH298" hidden="1">"$I$298"</definedName>
    <definedName name="IQRH299" hidden="1">"$I$299"</definedName>
    <definedName name="IQRH30" hidden="1">"$I$30:$M$30"</definedName>
    <definedName name="IQRH300" hidden="1">"$I$300"</definedName>
    <definedName name="IQRH301" hidden="1">"$I$301"</definedName>
    <definedName name="IQRH302" hidden="1">"$I$302"</definedName>
    <definedName name="IQRH303" hidden="1">"$I$303"</definedName>
    <definedName name="IQRH304" hidden="1">"$I$304"</definedName>
    <definedName name="IQRH305" hidden="1">"$I$305"</definedName>
    <definedName name="IQRH306" hidden="1">"$I$306"</definedName>
    <definedName name="IQRH307" hidden="1">"$I$307"</definedName>
    <definedName name="IQRH308" hidden="1">"$I$308"</definedName>
    <definedName name="IQRH309" hidden="1">"$I$309"</definedName>
    <definedName name="IQRH31" hidden="1">"$I$31:$M$31"</definedName>
    <definedName name="IQRH310" hidden="1">"$I$310"</definedName>
    <definedName name="IQRH311" hidden="1">"$I$311"</definedName>
    <definedName name="IQRH312" hidden="1">"$I$312"</definedName>
    <definedName name="IQRH313" hidden="1">"$I$313"</definedName>
    <definedName name="IQRH314" hidden="1">"$I$314"</definedName>
    <definedName name="IQRH315" hidden="1">"$I$315"</definedName>
    <definedName name="IQRH316" hidden="1">"$I$316"</definedName>
    <definedName name="IQRH317" hidden="1">"$I$317"</definedName>
    <definedName name="IQRH318" hidden="1">"$I$318"</definedName>
    <definedName name="IQRH319" hidden="1">"$I$319"</definedName>
    <definedName name="IQRH32" hidden="1">"$I$32:$K$32"</definedName>
    <definedName name="IQRH320" hidden="1">"$I$320"</definedName>
    <definedName name="IQRH321" hidden="1">"$I$321"</definedName>
    <definedName name="IQRH322" hidden="1">"$I$322"</definedName>
    <definedName name="IQRH323" hidden="1">"$I$323"</definedName>
    <definedName name="IQRH324" hidden="1">"$I$324"</definedName>
    <definedName name="IQRH325" hidden="1">"$I$325"</definedName>
    <definedName name="IQRH326" hidden="1">"$I$326"</definedName>
    <definedName name="IQRH327" hidden="1">"$I$327"</definedName>
    <definedName name="IQRH328" hidden="1">"$I$328"</definedName>
    <definedName name="IQRH329" hidden="1">"$I$329"</definedName>
    <definedName name="IQRH33" hidden="1">"$I$33"</definedName>
    <definedName name="IQRH330" hidden="1">"$I$330"</definedName>
    <definedName name="IQRH331" hidden="1">"$I$331"</definedName>
    <definedName name="IQRH332" hidden="1">"$I$332"</definedName>
    <definedName name="IQRH333" hidden="1">"$I$333"</definedName>
    <definedName name="IQRH334" hidden="1">"$I$334"</definedName>
    <definedName name="IQRH335" hidden="1">"$I$335"</definedName>
    <definedName name="IQRH336" hidden="1">"$I$336"</definedName>
    <definedName name="IQRH337" hidden="1">"$I$337"</definedName>
    <definedName name="IQRH338" hidden="1">"$I$338"</definedName>
    <definedName name="IQRH339" hidden="1">"$I$339"</definedName>
    <definedName name="IQRH34" hidden="1">"$I$34"</definedName>
    <definedName name="IQRH340" hidden="1">"$I$340"</definedName>
    <definedName name="IQRH341" hidden="1">"$I$341"</definedName>
    <definedName name="IQRH342" hidden="1">"$I$342"</definedName>
    <definedName name="IQRH343" hidden="1">"$I$343"</definedName>
    <definedName name="IQRH344" hidden="1">"$I$344"</definedName>
    <definedName name="IQRH345" hidden="1">"$I$345"</definedName>
    <definedName name="IQRH346" hidden="1">"$I$346"</definedName>
    <definedName name="IQRH347" hidden="1">"$I$347"</definedName>
    <definedName name="IQRH348" hidden="1">"$I$348"</definedName>
    <definedName name="IQRH349" hidden="1">"$I$349"</definedName>
    <definedName name="IQRH35" hidden="1">"$I$35"</definedName>
    <definedName name="IQRH350" hidden="1">"$I$350"</definedName>
    <definedName name="IQRH351" hidden="1">"$I$351"</definedName>
    <definedName name="IQRH352" hidden="1">"$I$352"</definedName>
    <definedName name="IQRH353" hidden="1">"$I$353"</definedName>
    <definedName name="IQRH354" hidden="1">"$I$354"</definedName>
    <definedName name="IQRH355" hidden="1">"$I$355"</definedName>
    <definedName name="IQRH356" hidden="1">"$I$356"</definedName>
    <definedName name="IQRH357" hidden="1">"$I$357"</definedName>
    <definedName name="IQRH358" hidden="1">"$I$358"</definedName>
    <definedName name="IQRH359" hidden="1">"$I$359"</definedName>
    <definedName name="IQRH36" hidden="1">"$I$36:$M$36"</definedName>
    <definedName name="IQRH360" hidden="1">"$I$360"</definedName>
    <definedName name="IQRH361" hidden="1">"$I$361"</definedName>
    <definedName name="IQRH362" hidden="1">"$I$362"</definedName>
    <definedName name="IQRH363" hidden="1">"$I$363"</definedName>
    <definedName name="IQRH364" hidden="1">"$I$364"</definedName>
    <definedName name="IQRH365" hidden="1">"$I$365"</definedName>
    <definedName name="IQRH366" hidden="1">"$I$366"</definedName>
    <definedName name="IQRH367" hidden="1">"$I$367"</definedName>
    <definedName name="IQRH368" hidden="1">"$I$368"</definedName>
    <definedName name="IQRH369" hidden="1">"$I$369"</definedName>
    <definedName name="IQRH37" hidden="1">"$I$37:$M$37"</definedName>
    <definedName name="IQRH370" hidden="1">"$I$370"</definedName>
    <definedName name="IQRH371" hidden="1">"$I$371"</definedName>
    <definedName name="IQRH372" hidden="1">"$I$372"</definedName>
    <definedName name="IQRH373" hidden="1">"$I$373"</definedName>
    <definedName name="IQRH374" hidden="1">"$I$374"</definedName>
    <definedName name="IQRH375" hidden="1">"$I$375"</definedName>
    <definedName name="IQRH376" hidden="1">"$I$376"</definedName>
    <definedName name="IQRH377" hidden="1">"$I$377"</definedName>
    <definedName name="IQRH378" hidden="1">"$I$378"</definedName>
    <definedName name="IQRH379" hidden="1">"$I$379"</definedName>
    <definedName name="IQRH38" hidden="1">"$I$38:$M$38"</definedName>
    <definedName name="IQRH380" hidden="1">"$I$380"</definedName>
    <definedName name="IQRH381" hidden="1">"$I$381"</definedName>
    <definedName name="IQRH382" hidden="1">"$I$382"</definedName>
    <definedName name="IQRH383" hidden="1">"$I$383"</definedName>
    <definedName name="IQRH384" hidden="1">"$I$384"</definedName>
    <definedName name="IQRH385" hidden="1">"$I$385"</definedName>
    <definedName name="IQRH386" hidden="1">"$I$386"</definedName>
    <definedName name="IQRH387" hidden="1">"$I$387"</definedName>
    <definedName name="IQRH388" hidden="1">"$I$388"</definedName>
    <definedName name="IQRH389" hidden="1">"$I$389"</definedName>
    <definedName name="IQRH39" hidden="1">"$I$39:$M$39"</definedName>
    <definedName name="IQRH390" hidden="1">"$I$390"</definedName>
    <definedName name="IQRH391" hidden="1">"$I$391"</definedName>
    <definedName name="IQRH392" hidden="1">"$I$392"</definedName>
    <definedName name="IQRH393" hidden="1">"$I$393"</definedName>
    <definedName name="IQRH394" hidden="1">"$I$394"</definedName>
    <definedName name="IQRH395" hidden="1">"$I$395"</definedName>
    <definedName name="IQRH396" hidden="1">"$I$396"</definedName>
    <definedName name="IQRH397" hidden="1">"$I$397"</definedName>
    <definedName name="IQRH398" hidden="1">"$I$398"</definedName>
    <definedName name="IQRH399" hidden="1">"$I$399"</definedName>
    <definedName name="IQRH40" hidden="1">"$I$40"</definedName>
    <definedName name="IQRH400" hidden="1">"$I$400"</definedName>
    <definedName name="IQRH401" hidden="1">"$I$401"</definedName>
    <definedName name="IQRH402" hidden="1">"$I$402"</definedName>
    <definedName name="IQRH403" hidden="1">"$I$403"</definedName>
    <definedName name="IQRH404" hidden="1">"$I$404"</definedName>
    <definedName name="IQRH405" hidden="1">"$I$405"</definedName>
    <definedName name="IQRH406" hidden="1">"$I$406"</definedName>
    <definedName name="IQRH407" hidden="1">"$I$407"</definedName>
    <definedName name="IQRH408" hidden="1">"$I$408"</definedName>
    <definedName name="IQRH409" hidden="1">"$I$409"</definedName>
    <definedName name="IQRH41" hidden="1">"$I$41"</definedName>
    <definedName name="IQRH410" hidden="1">"$I$410"</definedName>
    <definedName name="IQRH411" hidden="1">"$I$411"</definedName>
    <definedName name="IQRH412" hidden="1">"$I$412"</definedName>
    <definedName name="IQRH413" hidden="1">"$I$413"</definedName>
    <definedName name="IQRH414" hidden="1">"$I$414"</definedName>
    <definedName name="IQRH415" hidden="1">"$I$415"</definedName>
    <definedName name="IQRH416" hidden="1">"$I$416"</definedName>
    <definedName name="IQRH417" hidden="1">"$I$417"</definedName>
    <definedName name="IQRH418" hidden="1">"$I$418"</definedName>
    <definedName name="IQRH419" hidden="1">"$I$419"</definedName>
    <definedName name="IQRH42" hidden="1">"$I$42:$L$42"</definedName>
    <definedName name="IQRH420" hidden="1">"$I$420"</definedName>
    <definedName name="IQRH421" hidden="1">"$I$421"</definedName>
    <definedName name="IQRH422" hidden="1">"$I$422"</definedName>
    <definedName name="IQRH423" hidden="1">"$I$423"</definedName>
    <definedName name="IQRH424" hidden="1">"$I$424"</definedName>
    <definedName name="IQRH425" hidden="1">"$I$425"</definedName>
    <definedName name="IQRH426" hidden="1">"$I$426"</definedName>
    <definedName name="IQRH427" hidden="1">"$I$427"</definedName>
    <definedName name="IQRH428" hidden="1">"$I$428"</definedName>
    <definedName name="IQRH429" hidden="1">"$I$429"</definedName>
    <definedName name="IQRH43" hidden="1">"$I$43:$M$43"</definedName>
    <definedName name="IQRH430" hidden="1">"$I$430"</definedName>
    <definedName name="IQRH431" hidden="1">"$I$431"</definedName>
    <definedName name="IQRH432" hidden="1">"$I$432"</definedName>
    <definedName name="IQRH433" hidden="1">"$I$433"</definedName>
    <definedName name="IQRH434" hidden="1">"$I$434"</definedName>
    <definedName name="IQRH435" hidden="1">"$I$435"</definedName>
    <definedName name="IQRH436" hidden="1">"$I$436"</definedName>
    <definedName name="IQRH437" hidden="1">"$I$437"</definedName>
    <definedName name="IQRH438" hidden="1">"$I$438"</definedName>
    <definedName name="IQRH439" hidden="1">"$I$439"</definedName>
    <definedName name="IQRH44" hidden="1">"$I$44:$M$44"</definedName>
    <definedName name="IQRH440" hidden="1">"$I$440"</definedName>
    <definedName name="IQRH441" hidden="1">"$I$441"</definedName>
    <definedName name="IQRH442" hidden="1">"$I$442"</definedName>
    <definedName name="IQRH443" hidden="1">"$I$443"</definedName>
    <definedName name="IQRH444" hidden="1">"$I$444"</definedName>
    <definedName name="IQRH445" hidden="1">"$I$445"</definedName>
    <definedName name="IQRH446" hidden="1">"$I$446"</definedName>
    <definedName name="IQRH447" hidden="1">"$I$447"</definedName>
    <definedName name="IQRH448" hidden="1">"$I$448"</definedName>
    <definedName name="IQRH449" hidden="1">"$I$449"</definedName>
    <definedName name="IQRH45" hidden="1">"$I$45"</definedName>
    <definedName name="IQRH450" hidden="1">"$I$450"</definedName>
    <definedName name="IQRH451" hidden="1">"$I$451"</definedName>
    <definedName name="IQRH452" hidden="1">"$I$452"</definedName>
    <definedName name="IQRH453" hidden="1">"$I$453"</definedName>
    <definedName name="IQRH454" hidden="1">"$I$454"</definedName>
    <definedName name="IQRH455" hidden="1">"$I$455"</definedName>
    <definedName name="IQRH456" hidden="1">"$I$456"</definedName>
    <definedName name="IQRH457" hidden="1">"$I$457"</definedName>
    <definedName name="IQRH458" hidden="1">"$I$458"</definedName>
    <definedName name="IQRH459" hidden="1">"$I$459"</definedName>
    <definedName name="IQRH46" hidden="1">"$I$46:$M$46"</definedName>
    <definedName name="IQRH460" hidden="1">"$I$460"</definedName>
    <definedName name="IQRH461" hidden="1">"$I$461"</definedName>
    <definedName name="IQRH462" hidden="1">"$I$462"</definedName>
    <definedName name="IQRH463" hidden="1">"$I$463"</definedName>
    <definedName name="IQRH464" hidden="1">"$I$464"</definedName>
    <definedName name="IQRH465" hidden="1">"$I$465"</definedName>
    <definedName name="IQRH466" hidden="1">"$I$466"</definedName>
    <definedName name="IQRH467" hidden="1">"$I$467"</definedName>
    <definedName name="IQRH468" hidden="1">"$I$468"</definedName>
    <definedName name="IQRH469" hidden="1">"$I$469"</definedName>
    <definedName name="IQRH47" hidden="1">"$I$47:$M$47"</definedName>
    <definedName name="IQRH470" hidden="1">"$I$470"</definedName>
    <definedName name="IQRH471" hidden="1">"$I$471"</definedName>
    <definedName name="IQRH472" hidden="1">"$I$472"</definedName>
    <definedName name="IQRH473" hidden="1">"$I$473"</definedName>
    <definedName name="IQRH474" hidden="1">"$I$474"</definedName>
    <definedName name="IQRH475" hidden="1">"$I$475"</definedName>
    <definedName name="IQRH476" hidden="1">"$I$476"</definedName>
    <definedName name="IQRH477" hidden="1">"$I$477"</definedName>
    <definedName name="IQRH478" hidden="1">"$I$478"</definedName>
    <definedName name="IQRH479" hidden="1">"$I$479"</definedName>
    <definedName name="IQRH48" hidden="1">"$I$48:$M$48"</definedName>
    <definedName name="IQRH480" hidden="1">"$I$480"</definedName>
    <definedName name="IQRH481" hidden="1">"$I$481"</definedName>
    <definedName name="IQRH482" hidden="1">"$I$482"</definedName>
    <definedName name="IQRH483" hidden="1">"$I$483"</definedName>
    <definedName name="IQRH484" hidden="1">"$I$484"</definedName>
    <definedName name="IQRH485" hidden="1">"$I$485"</definedName>
    <definedName name="IQRH486" hidden="1">"$I$486"</definedName>
    <definedName name="IQRH487" hidden="1">"$I$487"</definedName>
    <definedName name="IQRH488" hidden="1">"$I$488"</definedName>
    <definedName name="IQRH489" hidden="1">"$I$489"</definedName>
    <definedName name="IQRH49" hidden="1">"$I$49:$M$49"</definedName>
    <definedName name="IQRH490" hidden="1">"$I$490"</definedName>
    <definedName name="IQRH491" hidden="1">"$I$491"</definedName>
    <definedName name="IQRH492" hidden="1">"$I$492"</definedName>
    <definedName name="IQRH493" hidden="1">"$I$493"</definedName>
    <definedName name="IQRH494" hidden="1">"$I$494"</definedName>
    <definedName name="IQRH495" hidden="1">"$I$495"</definedName>
    <definedName name="IQRH496" hidden="1">"$I$496"</definedName>
    <definedName name="IQRH50" hidden="1">"$I$50"</definedName>
    <definedName name="IQRH51" hidden="1">"$I$51:$M$51"</definedName>
    <definedName name="IQRH52" hidden="1">"$I$52:$M$52"</definedName>
    <definedName name="IQRH53" hidden="1">"$I$53"</definedName>
    <definedName name="IQRH54" hidden="1">"$I$54:$M$54"</definedName>
    <definedName name="IQRH55" hidden="1">"$I$55"</definedName>
    <definedName name="IQRH61" hidden="1">"$I$61"</definedName>
    <definedName name="IQRH62" hidden="1">"$I$62"</definedName>
    <definedName name="IQRH63" hidden="1">"$I$63"</definedName>
    <definedName name="IQRH64" hidden="1">"$I$64"</definedName>
    <definedName name="IQRH65" hidden="1">"$I$65"</definedName>
    <definedName name="IQRH66" hidden="1">"$I$66"</definedName>
    <definedName name="IQRH67" hidden="1">"$I$67"</definedName>
    <definedName name="IQRH68" hidden="1">"$I$68"</definedName>
    <definedName name="IQRH69" hidden="1">"$I$69"</definedName>
    <definedName name="IQRH70" hidden="1">"$I$70"</definedName>
    <definedName name="IQRH71" hidden="1">"$I$71"</definedName>
    <definedName name="IQRH72" hidden="1">"$I$72"</definedName>
    <definedName name="IQRH73" hidden="1">"$I$73"</definedName>
    <definedName name="IQRH74" hidden="1">"$I$74"</definedName>
    <definedName name="IQRH75" hidden="1">"$I$75"</definedName>
    <definedName name="IQRH76" hidden="1">"$I$76"</definedName>
    <definedName name="IQRH77" hidden="1">"$I$77"</definedName>
    <definedName name="IQRH78" hidden="1">"$I$78"</definedName>
    <definedName name="IQRH79" hidden="1">"$I$79"</definedName>
    <definedName name="IQRH8" hidden="1">"$H$9:$H$13"</definedName>
    <definedName name="IQRH80" hidden="1">"$I$80"</definedName>
    <definedName name="IQRH81" hidden="1">"$I$81"</definedName>
    <definedName name="IQRH82" hidden="1">"$I$82"</definedName>
    <definedName name="IQRH83" hidden="1">"$I$83"</definedName>
    <definedName name="IQRH84" hidden="1">"$I$84"</definedName>
    <definedName name="IQRH85" hidden="1">"$I$85"</definedName>
    <definedName name="IQRH86" hidden="1">"$I$86"</definedName>
    <definedName name="IQRH87" hidden="1">"$I$87"</definedName>
    <definedName name="IQRH88" hidden="1">"$I$88"</definedName>
    <definedName name="IQRH89" hidden="1">"$I$89"</definedName>
    <definedName name="IQRH90" hidden="1">"$I$90"</definedName>
    <definedName name="IQRH91" hidden="1">"$I$91"</definedName>
    <definedName name="IQRH92" hidden="1">"$I$92"</definedName>
    <definedName name="IQRH93" hidden="1">"$I$93"</definedName>
    <definedName name="IQRH94" hidden="1">"$I$94"</definedName>
    <definedName name="IQRH95" hidden="1">"$I$95"</definedName>
    <definedName name="IQRH96" hidden="1">"$I$96"</definedName>
    <definedName name="IQRH97" hidden="1">"$I$97"</definedName>
    <definedName name="IQRH98" hidden="1">"$I$98"</definedName>
    <definedName name="IQRH99" hidden="1">"$I$99"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K12" hidden="1">"$K$13:$K$72"</definedName>
    <definedName name="IQRK279" hidden="1">"$K$280:$K$339"</definedName>
    <definedName name="IQRKPIInputsAA65" hidden="1">#REF!</definedName>
    <definedName name="IQRKPIInputsAE65" hidden="1">#REF!</definedName>
    <definedName name="IQRKPIInputsAE76" hidden="1">#REF!</definedName>
    <definedName name="IQRKPIInputsAM65" hidden="1">#REF!</definedName>
    <definedName name="IQRKPIInputsAN65" hidden="1">#REF!</definedName>
    <definedName name="IQRKPIInputsAR65" hidden="1">#REF!</definedName>
    <definedName name="IQRKPIInputsAR76" hidden="1">#REF!</definedName>
    <definedName name="IQRKPIInputsAZ65" hidden="1">#REF!</definedName>
    <definedName name="IQRKPIInputsBA65" hidden="1">#REF!</definedName>
    <definedName name="IQRKPIInputsBE65" hidden="1">#REF!</definedName>
    <definedName name="IQRKPIInputsBE76" hidden="1">#REF!</definedName>
    <definedName name="IQRKPIInputsBK65" hidden="1">#REF!</definedName>
    <definedName name="IQRKPIInputsBM65" hidden="1">#REF!</definedName>
    <definedName name="IQRKPIInputsBN65" hidden="1">#REF!</definedName>
    <definedName name="IQRKPIInputsBR65" hidden="1">#REF!</definedName>
    <definedName name="IQRKPIInputsBR76" hidden="1">#REF!</definedName>
    <definedName name="IQRKPIInputsBZ65" hidden="1">#REF!</definedName>
    <definedName name="IQRKPIInputsCA65" hidden="1">#REF!</definedName>
    <definedName name="IQRKPIInputsCR65" hidden="1">#REF!</definedName>
    <definedName name="IQRKPIInputsCR76" hidden="1">#REF!</definedName>
    <definedName name="IQRKPIInputsCZ65" hidden="1">#REF!</definedName>
    <definedName name="IQRKPIInputsDA65" hidden="1">#REF!</definedName>
    <definedName name="IQRKPIInputsDE65" hidden="1">#REF!</definedName>
    <definedName name="IQRKPIInputsDE76" hidden="1">#REF!</definedName>
    <definedName name="IQRKPIInputsDN65" hidden="1">#REF!</definedName>
    <definedName name="IQRKPIInputsDR65" hidden="1">#REF!</definedName>
    <definedName name="IQRKPIInputsDR76" hidden="1">#REF!</definedName>
    <definedName name="IQRKPIInputsEA65" hidden="1">#REF!</definedName>
    <definedName name="IQRKPIInputsEE65" hidden="1">#REF!</definedName>
    <definedName name="IQRKPIInputsEE76" hidden="1">#REF!</definedName>
    <definedName name="IQRKPIInputsEM65" hidden="1">#REF!</definedName>
    <definedName name="IQRKPIInputsEN65" hidden="1">#REF!</definedName>
    <definedName name="IQRKPIInputsEP65" hidden="1">#REF!</definedName>
    <definedName name="IQRKPIInputsEP76" hidden="1">#REF!</definedName>
    <definedName name="IQRKPIInputsEY65" hidden="1">#REF!</definedName>
    <definedName name="IQRKPIInputsF65" hidden="1">#REF!</definedName>
    <definedName name="IQRKPIInputsF76" hidden="1">#REF!</definedName>
    <definedName name="IQRKPIInputsFA65" hidden="1">#REF!</definedName>
    <definedName name="IQRKPIInputsFA76" hidden="1">#REF!</definedName>
    <definedName name="IQRKPIInputsFH65" hidden="1">#REF!</definedName>
    <definedName name="IQRKPIInputsFJ65" hidden="1">#REF!</definedName>
    <definedName name="IQRKPIInputsFL65" hidden="1">#REF!</definedName>
    <definedName name="IQRKPIInputsFL76" hidden="1">#REF!</definedName>
    <definedName name="IQRKPIInputsFS65" hidden="1">#REF!</definedName>
    <definedName name="IQRKPIInputsFU65" hidden="1">#REF!</definedName>
    <definedName name="IQRKPIInputsFW65" hidden="1">#REF!</definedName>
    <definedName name="IQRKPIInputsFW76" hidden="1">#REF!</definedName>
    <definedName name="IQRKPIInputsGD65" hidden="1">#REF!</definedName>
    <definedName name="IQRKPIInputsGF65" hidden="1">#REF!</definedName>
    <definedName name="IQRKPIInputsGH65" hidden="1">#REF!</definedName>
    <definedName name="IQRKPIInputsGH76" hidden="1">#REF!</definedName>
    <definedName name="IQRKPIInputsGO65" hidden="1">#REF!</definedName>
    <definedName name="IQRKPIInputsGQ65" hidden="1">#REF!</definedName>
    <definedName name="IQRKPIInputsGS65" hidden="1">#REF!</definedName>
    <definedName name="IQRKPIInputsGS76" hidden="1">#REF!</definedName>
    <definedName name="IQRKPIInputsGZ65" hidden="1">#REF!</definedName>
    <definedName name="IQRKPIInputsHB65" hidden="1">#REF!</definedName>
    <definedName name="IQRKPIInputsHD65" hidden="1">#REF!</definedName>
    <definedName name="IQRKPIInputsHD76" hidden="1">#REF!</definedName>
    <definedName name="IQRKPIInputsHL65" hidden="1">#REF!</definedName>
    <definedName name="IQRKPIInputsHM65" hidden="1">#REF!</definedName>
    <definedName name="IQRKPIInputsHO65" hidden="1">#REF!</definedName>
    <definedName name="IQRKPIInputsHO76" hidden="1">#REF!</definedName>
    <definedName name="IQRKPIInputsHX65" hidden="1">#REF!</definedName>
    <definedName name="IQRKPIInputsHZ65" hidden="1">#REF!</definedName>
    <definedName name="IQRKPIInputsHZ76" hidden="1">#REF!</definedName>
    <definedName name="IQRKPIInputsII65" hidden="1">#REF!</definedName>
    <definedName name="IQRKPIInputsIK65" hidden="1">#REF!</definedName>
    <definedName name="IQRKPIInputsIK76" hidden="1">#REF!</definedName>
    <definedName name="IQRKPIInputsIS65" hidden="1">#REF!</definedName>
    <definedName name="IQRKPIInputsIT65" hidden="1">#REF!</definedName>
    <definedName name="IQRKPIInputsIV65" hidden="1">#REF!</definedName>
    <definedName name="IQRKPIInputsIV76" hidden="1">#REF!</definedName>
    <definedName name="IQRKPIInputsIW65" hidden="1">#REF!</definedName>
    <definedName name="IQRKPIInputsIX65" hidden="1">#REF!</definedName>
    <definedName name="IQRKPIInputsIY65" hidden="1">#REF!</definedName>
    <definedName name="IQRKPIInputsIZ65" hidden="1">#REF!</definedName>
    <definedName name="IQRKPIInputsJA65" hidden="1">#REF!</definedName>
    <definedName name="IQRKPIInputsJB65" hidden="1">#REF!</definedName>
    <definedName name="IQRKPIInputsJC65" hidden="1">#REF!</definedName>
    <definedName name="IQRKPIInputsJD65" hidden="1">#REF!</definedName>
    <definedName name="IQRKPIInputsJE65" hidden="1">#REF!</definedName>
    <definedName name="IQRKPIInputsL65" hidden="1">#REF!</definedName>
    <definedName name="IQRKPIInputsN65" hidden="1">#REF!</definedName>
    <definedName name="IQRKPIInputsO65" hidden="1">#REF!</definedName>
    <definedName name="IQRKPIInputsR65" hidden="1">#REF!</definedName>
    <definedName name="IQRKPIInputsR76" hidden="1">#REF!</definedName>
    <definedName name="IQRKPIInputsZ65" hidden="1">#REF!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M12" hidden="1">"$N$12:$R$12"</definedName>
    <definedName name="IQRMasterE20" hidden="1">#REF!</definedName>
    <definedName name="IQRMasterE21" hidden="1">#REF!</definedName>
    <definedName name="IQRN100" hidden="1">"$O$100"</definedName>
    <definedName name="IQRN101" hidden="1">"$O$101"</definedName>
    <definedName name="IQRN102" hidden="1">"$O$102"</definedName>
    <definedName name="IQRN103" hidden="1">"$O$103"</definedName>
    <definedName name="IQRN104" hidden="1">"$O$104"</definedName>
    <definedName name="IQRN105" hidden="1">"$O$105"</definedName>
    <definedName name="IQRN106" hidden="1">"$O$106"</definedName>
    <definedName name="IQRN107" hidden="1">"$O$107"</definedName>
    <definedName name="IQRN108" hidden="1">"$O$108"</definedName>
    <definedName name="IQRN109" hidden="1">"$O$109"</definedName>
    <definedName name="IQRN110" hidden="1">"$O$110"</definedName>
    <definedName name="IQRN111" hidden="1">"$O$111"</definedName>
    <definedName name="IQRN112" hidden="1">"$O$112"</definedName>
    <definedName name="IQRN113" hidden="1">"$O$113"</definedName>
    <definedName name="IQRN114" hidden="1">"$O$114"</definedName>
    <definedName name="IQRN115" hidden="1">"$O$115"</definedName>
    <definedName name="IQRN116" hidden="1">"$O$116"</definedName>
    <definedName name="IQRN117" hidden="1">"$O$117"</definedName>
    <definedName name="IQRN118" hidden="1">"$O$118"</definedName>
    <definedName name="IQRN119" hidden="1">"$O$119"</definedName>
    <definedName name="IQRN12" hidden="1">"$O$12:$S$12"</definedName>
    <definedName name="IQRN120" hidden="1">"$O$120"</definedName>
    <definedName name="IQRN121" hidden="1">"$O$121"</definedName>
    <definedName name="IQRN122" hidden="1">"$O$122"</definedName>
    <definedName name="IQRN123" hidden="1">"$O$123"</definedName>
    <definedName name="IQRN124" hidden="1">"$O$124"</definedName>
    <definedName name="IQRN125" hidden="1">"$O$125"</definedName>
    <definedName name="IQRN126" hidden="1">"$O$126"</definedName>
    <definedName name="IQRN127" hidden="1">"$O$127"</definedName>
    <definedName name="IQRN128" hidden="1">"$O$128"</definedName>
    <definedName name="IQRN129" hidden="1">"$O$129"</definedName>
    <definedName name="IQRN13" hidden="1">"$O$13"</definedName>
    <definedName name="IQRN130" hidden="1">"$O$130"</definedName>
    <definedName name="IQRN131" hidden="1">"$O$131"</definedName>
    <definedName name="IQRN132" hidden="1">"$O$132"</definedName>
    <definedName name="IQRN133" hidden="1">"$O$133"</definedName>
    <definedName name="IQRN134" hidden="1">"$O$134"</definedName>
    <definedName name="IQRN135" hidden="1">"$O$135"</definedName>
    <definedName name="IQRN136" hidden="1">"$O$136"</definedName>
    <definedName name="IQRN137" hidden="1">"$O$137"</definedName>
    <definedName name="IQRN138" hidden="1">"$O$138"</definedName>
    <definedName name="IQRN139" hidden="1">"$O$139"</definedName>
    <definedName name="IQRN14" hidden="1">"$O$14"</definedName>
    <definedName name="IQRN140" hidden="1">"$O$140"</definedName>
    <definedName name="IQRN141" hidden="1">"$O$141"</definedName>
    <definedName name="IQRN142" hidden="1">"$O$142"</definedName>
    <definedName name="IQRN143" hidden="1">"$O$143"</definedName>
    <definedName name="IQRN144" hidden="1">"$O$144"</definedName>
    <definedName name="IQRN145" hidden="1">"$O$145"</definedName>
    <definedName name="IQRN146" hidden="1">"$O$146"</definedName>
    <definedName name="IQRN147" hidden="1">"$O$147"</definedName>
    <definedName name="IQRN148" hidden="1">"$O$148"</definedName>
    <definedName name="IQRN149" hidden="1">"$O$149"</definedName>
    <definedName name="IQRN15" hidden="1">"$O$15:$S$15"</definedName>
    <definedName name="IQRN150" hidden="1">"$O$150"</definedName>
    <definedName name="IQRN151" hidden="1">"$O$151"</definedName>
    <definedName name="IQRN152" hidden="1">"$O$152"</definedName>
    <definedName name="IQRN153" hidden="1">"$O$153"</definedName>
    <definedName name="IQRN154" hidden="1">"$O$154"</definedName>
    <definedName name="IQRN155" hidden="1">"$O$155"</definedName>
    <definedName name="IQRN156" hidden="1">"$O$156"</definedName>
    <definedName name="IQRN157" hidden="1">"$O$157"</definedName>
    <definedName name="IQRN158" hidden="1">"$O$158"</definedName>
    <definedName name="IQRN159" hidden="1">"$O$159"</definedName>
    <definedName name="IQRN16" hidden="1">"$O$16:$P$16"</definedName>
    <definedName name="IQRN160" hidden="1">"$O$160"</definedName>
    <definedName name="IQRN161" hidden="1">"$O$161"</definedName>
    <definedName name="IQRN162" hidden="1">"$O$162"</definedName>
    <definedName name="IQRN163" hidden="1">"$O$163"</definedName>
    <definedName name="IQRN164" hidden="1">"$O$164"</definedName>
    <definedName name="IQRN165" hidden="1">"$O$165"</definedName>
    <definedName name="IQRN166" hidden="1">"$O$166"</definedName>
    <definedName name="IQRN167" hidden="1">"$O$167"</definedName>
    <definedName name="IQRN168" hidden="1">"$O$168"</definedName>
    <definedName name="IQRN169" hidden="1">"$O$169"</definedName>
    <definedName name="IQRN17" hidden="1">"$O$17"</definedName>
    <definedName name="IQRN170" hidden="1">"$O$170"</definedName>
    <definedName name="IQRN171" hidden="1">"$O$171"</definedName>
    <definedName name="IQRN172" hidden="1">"$O$172"</definedName>
    <definedName name="IQRN173" hidden="1">"$O$173"</definedName>
    <definedName name="IQRN174" hidden="1">"$O$174"</definedName>
    <definedName name="IQRN175" hidden="1">"$O$175"</definedName>
    <definedName name="IQRN176" hidden="1">"$O$176"</definedName>
    <definedName name="IQRN177" hidden="1">"$O$177"</definedName>
    <definedName name="IQRN178" hidden="1">"$O$178"</definedName>
    <definedName name="IQRN179" hidden="1">"$O$179"</definedName>
    <definedName name="IQRN18" hidden="1">"$O$18"</definedName>
    <definedName name="IQRN180" hidden="1">"$O$180"</definedName>
    <definedName name="IQRN181" hidden="1">"$O$181"</definedName>
    <definedName name="IQRN182" hidden="1">"$O$182"</definedName>
    <definedName name="IQRN183" hidden="1">"$O$183"</definedName>
    <definedName name="IQRN184" hidden="1">"$O$184"</definedName>
    <definedName name="IQRN185" hidden="1">"$O$185"</definedName>
    <definedName name="IQRN186" hidden="1">"$O$186"</definedName>
    <definedName name="IQRN187" hidden="1">"$O$187"</definedName>
    <definedName name="IQRN188" hidden="1">"$O$188"</definedName>
    <definedName name="IQRN189" hidden="1">"$O$189"</definedName>
    <definedName name="IQRN19" hidden="1">"$O$19:$P$19"</definedName>
    <definedName name="IQRN190" hidden="1">"$O$190"</definedName>
    <definedName name="IQRN191" hidden="1">"$O$191"</definedName>
    <definedName name="IQRN192" hidden="1">"$O$192"</definedName>
    <definedName name="IQRN193" hidden="1">"$O$193"</definedName>
    <definedName name="IQRN194" hidden="1">"$O$194"</definedName>
    <definedName name="IQRN195" hidden="1">"$O$195"</definedName>
    <definedName name="IQRN196" hidden="1">"$O$196"</definedName>
    <definedName name="IQRN197" hidden="1">"$O$197"</definedName>
    <definedName name="IQRN198" hidden="1">"$O$198"</definedName>
    <definedName name="IQRN199" hidden="1">"$O$199"</definedName>
    <definedName name="IQRN20" hidden="1">"$O$20"</definedName>
    <definedName name="IQRN200" hidden="1">"$O$200"</definedName>
    <definedName name="IQRN201" hidden="1">"$O$201"</definedName>
    <definedName name="IQRN202" hidden="1">"$O$202"</definedName>
    <definedName name="IQRN203" hidden="1">"$O$203"</definedName>
    <definedName name="IQRN204" hidden="1">"$O$204"</definedName>
    <definedName name="IQRN205" hidden="1">"$O$205"</definedName>
    <definedName name="IQRN206" hidden="1">"$O$206"</definedName>
    <definedName name="IQRN207" hidden="1">"$O$207"</definedName>
    <definedName name="IQRN208" hidden="1">"$O$208"</definedName>
    <definedName name="IQRN209" hidden="1">"$O$209"</definedName>
    <definedName name="IQRN21" hidden="1">"$O$21:$S$21"</definedName>
    <definedName name="IQRN210" hidden="1">"$O$210"</definedName>
    <definedName name="IQRN211" hidden="1">"$O$211"</definedName>
    <definedName name="IQRN212" hidden="1">"$O$212"</definedName>
    <definedName name="IQRN213" hidden="1">"$O$213"</definedName>
    <definedName name="IQRN214" hidden="1">"$O$214"</definedName>
    <definedName name="IQRN215" hidden="1">"$O$215"</definedName>
    <definedName name="IQRN216" hidden="1">"$O$216"</definedName>
    <definedName name="IQRN217" hidden="1">"$O$217"</definedName>
    <definedName name="IQRN218" hidden="1">"$O$218"</definedName>
    <definedName name="IQRN219" hidden="1">"$O$219"</definedName>
    <definedName name="IQRN22" hidden="1">"$O$22:$P$22"</definedName>
    <definedName name="IQRN220" hidden="1">"$O$220"</definedName>
    <definedName name="IQRN221" hidden="1">"$O$221"</definedName>
    <definedName name="IQRN222" hidden="1">"$O$222"</definedName>
    <definedName name="IQRN223" hidden="1">"$O$223"</definedName>
    <definedName name="IQRN224" hidden="1">"$O$224"</definedName>
    <definedName name="IQRN225" hidden="1">"$O$225"</definedName>
    <definedName name="IQRN226" hidden="1">"$O$226"</definedName>
    <definedName name="IQRN227" hidden="1">"$O$227"</definedName>
    <definedName name="IQRN228" hidden="1">"$O$228"</definedName>
    <definedName name="IQRN229" hidden="1">"$O$229"</definedName>
    <definedName name="IQRN23" hidden="1">"$O$23"</definedName>
    <definedName name="IQRN230" hidden="1">"$O$230"</definedName>
    <definedName name="IQRN231" hidden="1">"$O$231"</definedName>
    <definedName name="IQRN232" hidden="1">"$O$232"</definedName>
    <definedName name="IQRN233" hidden="1">"$O$233"</definedName>
    <definedName name="IQRN234" hidden="1">"$O$234"</definedName>
    <definedName name="IQRN235" hidden="1">"$O$235"</definedName>
    <definedName name="IQRN236" hidden="1">"$O$236"</definedName>
    <definedName name="IQRN237" hidden="1">"$O$237"</definedName>
    <definedName name="IQRN238" hidden="1">"$O$238"</definedName>
    <definedName name="IQRN239" hidden="1">"$O$239"</definedName>
    <definedName name="IQRN24" hidden="1">"$O$24:$S$24"</definedName>
    <definedName name="IQRN240" hidden="1">"$O$240"</definedName>
    <definedName name="IQRN241" hidden="1">"$O$241"</definedName>
    <definedName name="IQRN242" hidden="1">"$O$242"</definedName>
    <definedName name="IQRN243" hidden="1">"$O$243"</definedName>
    <definedName name="IQRN244" hidden="1">"$O$244"</definedName>
    <definedName name="IQRN245" hidden="1">"$O$245"</definedName>
    <definedName name="IQRN246" hidden="1">"$O$246"</definedName>
    <definedName name="IQRN247" hidden="1">"$O$247"</definedName>
    <definedName name="IQRN248" hidden="1">"$O$248"</definedName>
    <definedName name="IQRN249" hidden="1">"$O$249"</definedName>
    <definedName name="IQRN25" hidden="1">"$O$25:$S$25"</definedName>
    <definedName name="IQRN250" hidden="1">"$O$250"</definedName>
    <definedName name="IQRN251" hidden="1">"$O$251"</definedName>
    <definedName name="IQRN252" hidden="1">"$O$252"</definedName>
    <definedName name="IQRN253" hidden="1">"$O$253"</definedName>
    <definedName name="IQRN254" hidden="1">"$O$254"</definedName>
    <definedName name="IQRN255" hidden="1">"$O$255"</definedName>
    <definedName name="IQRN256" hidden="1">"$O$256"</definedName>
    <definedName name="IQRN257" hidden="1">"$O$257"</definedName>
    <definedName name="IQRN258" hidden="1">"$O$258"</definedName>
    <definedName name="IQRN259" hidden="1">"$O$259"</definedName>
    <definedName name="IQRN26" hidden="1">"$O$26:$S$26"</definedName>
    <definedName name="IQRN260" hidden="1">"$O$260"</definedName>
    <definedName name="IQRN261" hidden="1">"$O$261"</definedName>
    <definedName name="IQRN262" hidden="1">"$O$262"</definedName>
    <definedName name="IQRN263" hidden="1">"$O$263"</definedName>
    <definedName name="IQRN264" hidden="1">"$O$264"</definedName>
    <definedName name="IQRN265" hidden="1">"$O$265"</definedName>
    <definedName name="IQRN266" hidden="1">"$O$266"</definedName>
    <definedName name="IQRN267" hidden="1">"$O$267"</definedName>
    <definedName name="IQRN268" hidden="1">"$O$268"</definedName>
    <definedName name="IQRN269" hidden="1">"$O$269"</definedName>
    <definedName name="IQRN27" hidden="1">"$O$27:$S$27"</definedName>
    <definedName name="IQRN270" hidden="1">"$O$270"</definedName>
    <definedName name="IQRN271" hidden="1">"$O$271"</definedName>
    <definedName name="IQRN272" hidden="1">"$O$272"</definedName>
    <definedName name="IQRN273" hidden="1">"$O$273"</definedName>
    <definedName name="IQRN274" hidden="1">"$O$274"</definedName>
    <definedName name="IQRN275" hidden="1">"$O$275"</definedName>
    <definedName name="IQRN276" hidden="1">"$O$276"</definedName>
    <definedName name="IQRN277" hidden="1">"$O$277"</definedName>
    <definedName name="IQRN278" hidden="1">"$O$278"</definedName>
    <definedName name="IQRN279" hidden="1">"$O$279"</definedName>
    <definedName name="IQRN28" hidden="1">"$O$28"</definedName>
    <definedName name="IQRN280" hidden="1">"$O$280"</definedName>
    <definedName name="IQRN281" hidden="1">"$O$281"</definedName>
    <definedName name="IQRN282" hidden="1">"$O$282"</definedName>
    <definedName name="IQRN283" hidden="1">"$O$283"</definedName>
    <definedName name="IQRN284" hidden="1">"$O$284"</definedName>
    <definedName name="IQRN285" hidden="1">"$O$285"</definedName>
    <definedName name="IQRN286" hidden="1">"$O$286"</definedName>
    <definedName name="IQRN287" hidden="1">"$O$287"</definedName>
    <definedName name="IQRN288" hidden="1">"$O$288"</definedName>
    <definedName name="IQRN289" hidden="1">"$O$289"</definedName>
    <definedName name="IQRN29" hidden="1">"$O$29"</definedName>
    <definedName name="IQRN290" hidden="1">"$O$290"</definedName>
    <definedName name="IQRN291" hidden="1">"$O$291"</definedName>
    <definedName name="IQRN292" hidden="1">"$O$292"</definedName>
    <definedName name="IQRN293" hidden="1">"$O$293"</definedName>
    <definedName name="IQRN294" hidden="1">"$O$294"</definedName>
    <definedName name="IQRN295" hidden="1">"$O$295"</definedName>
    <definedName name="IQRN296" hidden="1">"$O$296"</definedName>
    <definedName name="IQRN297" hidden="1">"$O$297"</definedName>
    <definedName name="IQRN298" hidden="1">"$O$298"</definedName>
    <definedName name="IQRN299" hidden="1">"$O$299"</definedName>
    <definedName name="IQRN30" hidden="1">"$O$30:$S$30"</definedName>
    <definedName name="IQRN300" hidden="1">"$O$300"</definedName>
    <definedName name="IQRN301" hidden="1">"$O$301"</definedName>
    <definedName name="IQRN302" hidden="1">"$O$302"</definedName>
    <definedName name="IQRN303" hidden="1">"$O$303"</definedName>
    <definedName name="IQRN304" hidden="1">"$O$304"</definedName>
    <definedName name="IQRN305" hidden="1">"$O$305"</definedName>
    <definedName name="IQRN306" hidden="1">"$O$306"</definedName>
    <definedName name="IQRN307" hidden="1">"$O$307"</definedName>
    <definedName name="IQRN308" hidden="1">"$O$308"</definedName>
    <definedName name="IQRN309" hidden="1">"$O$309"</definedName>
    <definedName name="IQRN31" hidden="1">"$O$31:$S$31"</definedName>
    <definedName name="IQRN310" hidden="1">"$O$310"</definedName>
    <definedName name="IQRN311" hidden="1">"$O$311"</definedName>
    <definedName name="IQRN312" hidden="1">"$O$312"</definedName>
    <definedName name="IQRN313" hidden="1">"$O$313"</definedName>
    <definedName name="IQRN314" hidden="1">"$O$314"</definedName>
    <definedName name="IQRN315" hidden="1">"$O$315"</definedName>
    <definedName name="IQRN316" hidden="1">"$O$316"</definedName>
    <definedName name="IQRN317" hidden="1">"$O$317"</definedName>
    <definedName name="IQRN318" hidden="1">"$O$318"</definedName>
    <definedName name="IQRN319" hidden="1">"$O$319"</definedName>
    <definedName name="IQRN32" hidden="1">"$O$32:$Q$32"</definedName>
    <definedName name="IQRN320" hidden="1">"$O$320"</definedName>
    <definedName name="IQRN321" hidden="1">"$O$321"</definedName>
    <definedName name="IQRN322" hidden="1">"$O$322"</definedName>
    <definedName name="IQRN323" hidden="1">"$O$323"</definedName>
    <definedName name="IQRN324" hidden="1">"$O$324"</definedName>
    <definedName name="IQRN325" hidden="1">"$O$325"</definedName>
    <definedName name="IQRN326" hidden="1">"$O$326"</definedName>
    <definedName name="IQRN327" hidden="1">"$O$327"</definedName>
    <definedName name="IQRN328" hidden="1">"$O$328"</definedName>
    <definedName name="IQRN329" hidden="1">"$O$329"</definedName>
    <definedName name="IQRN33" hidden="1">"$O$33"</definedName>
    <definedName name="IQRN330" hidden="1">"$O$330"</definedName>
    <definedName name="IQRN331" hidden="1">"$O$331"</definedName>
    <definedName name="IQRN332" hidden="1">"$O$332"</definedName>
    <definedName name="IQRN333" hidden="1">"$O$333"</definedName>
    <definedName name="IQRN334" hidden="1">"$O$334"</definedName>
    <definedName name="IQRN335" hidden="1">"$O$335"</definedName>
    <definedName name="IQRN336" hidden="1">"$O$336"</definedName>
    <definedName name="IQRN337" hidden="1">"$O$337"</definedName>
    <definedName name="IQRN338" hidden="1">"$O$338"</definedName>
    <definedName name="IQRN339" hidden="1">"$O$339"</definedName>
    <definedName name="IQRN34" hidden="1">"$O$34"</definedName>
    <definedName name="IQRN340" hidden="1">"$O$340"</definedName>
    <definedName name="IQRN341" hidden="1">"$O$341"</definedName>
    <definedName name="IQRN342" hidden="1">"$O$342"</definedName>
    <definedName name="IQRN343" hidden="1">"$O$343"</definedName>
    <definedName name="IQRN344" hidden="1">"$O$344"</definedName>
    <definedName name="IQRN345" hidden="1">"$O$345"</definedName>
    <definedName name="IQRN346" hidden="1">"$O$346"</definedName>
    <definedName name="IQRN347" hidden="1">"$O$347"</definedName>
    <definedName name="IQRN348" hidden="1">"$O$348"</definedName>
    <definedName name="IQRN349" hidden="1">"$O$349"</definedName>
    <definedName name="IQRN35" hidden="1">"$O$35"</definedName>
    <definedName name="IQRN350" hidden="1">"$O$350"</definedName>
    <definedName name="IQRN351" hidden="1">"$O$351"</definedName>
    <definedName name="IQRN352" hidden="1">"$O$352"</definedName>
    <definedName name="IQRN353" hidden="1">"$O$353"</definedName>
    <definedName name="IQRN354" hidden="1">"$O$354"</definedName>
    <definedName name="IQRN355" hidden="1">"$O$355"</definedName>
    <definedName name="IQRN356" hidden="1">"$O$356"</definedName>
    <definedName name="IQRN357" hidden="1">"$O$357"</definedName>
    <definedName name="IQRN358" hidden="1">"$O$358"</definedName>
    <definedName name="IQRN359" hidden="1">"$O$359"</definedName>
    <definedName name="IQRN36" hidden="1">"$O$36:$S$36"</definedName>
    <definedName name="IQRN360" hidden="1">"$O$360"</definedName>
    <definedName name="IQRN361" hidden="1">"$O$361"</definedName>
    <definedName name="IQRN362" hidden="1">"$O$362"</definedName>
    <definedName name="IQRN363" hidden="1">"$O$363"</definedName>
    <definedName name="IQRN364" hidden="1">"$O$364"</definedName>
    <definedName name="IQRN365" hidden="1">"$O$365"</definedName>
    <definedName name="IQRN366" hidden="1">"$O$366"</definedName>
    <definedName name="IQRN367" hidden="1">"$O$367"</definedName>
    <definedName name="IQRN368" hidden="1">"$O$368"</definedName>
    <definedName name="IQRN369" hidden="1">"$O$369"</definedName>
    <definedName name="IQRN37" hidden="1">"$O$37:$S$37"</definedName>
    <definedName name="IQRN370" hidden="1">"$O$370"</definedName>
    <definedName name="IQRN371" hidden="1">"$O$371"</definedName>
    <definedName name="IQRN372" hidden="1">"$O$372"</definedName>
    <definedName name="IQRN373" hidden="1">"$O$373"</definedName>
    <definedName name="IQRN374" hidden="1">"$O$374"</definedName>
    <definedName name="IQRN375" hidden="1">"$O$375"</definedName>
    <definedName name="IQRN376" hidden="1">"$O$376"</definedName>
    <definedName name="IQRN377" hidden="1">"$O$377"</definedName>
    <definedName name="IQRN378" hidden="1">"$O$378"</definedName>
    <definedName name="IQRN379" hidden="1">"$O$379"</definedName>
    <definedName name="IQRN38" hidden="1">"$O$38:$S$38"</definedName>
    <definedName name="IQRN380" hidden="1">"$O$380"</definedName>
    <definedName name="IQRN381" hidden="1">"$O$381"</definedName>
    <definedName name="IQRN382" hidden="1">"$O$382"</definedName>
    <definedName name="IQRN383" hidden="1">"$O$383"</definedName>
    <definedName name="IQRN384" hidden="1">"$O$384"</definedName>
    <definedName name="IQRN385" hidden="1">"$O$385"</definedName>
    <definedName name="IQRN386" hidden="1">"$O$386"</definedName>
    <definedName name="IQRN387" hidden="1">"$O$387"</definedName>
    <definedName name="IQRN388" hidden="1">"$O$388"</definedName>
    <definedName name="IQRN389" hidden="1">"$O$389"</definedName>
    <definedName name="IQRN39" hidden="1">"$O$39:$S$39"</definedName>
    <definedName name="IQRN390" hidden="1">"$O$390"</definedName>
    <definedName name="IQRN391" hidden="1">"$O$391"</definedName>
    <definedName name="IQRN392" hidden="1">"$O$392"</definedName>
    <definedName name="IQRN393" hidden="1">"$O$393"</definedName>
    <definedName name="IQRN394" hidden="1">"$O$394"</definedName>
    <definedName name="IQRN395" hidden="1">"$O$395"</definedName>
    <definedName name="IQRN396" hidden="1">"$O$396"</definedName>
    <definedName name="IQRN397" hidden="1">"$O$397"</definedName>
    <definedName name="IQRN398" hidden="1">"$O$398"</definedName>
    <definedName name="IQRN399" hidden="1">"$O$399"</definedName>
    <definedName name="IQRN40" hidden="1">"$O$40"</definedName>
    <definedName name="IQRN400" hidden="1">"$O$400"</definedName>
    <definedName name="IQRN401" hidden="1">"$O$401"</definedName>
    <definedName name="IQRN402" hidden="1">"$O$402"</definedName>
    <definedName name="IQRN403" hidden="1">"$O$403"</definedName>
    <definedName name="IQRN404" hidden="1">"$O$404"</definedName>
    <definedName name="IQRN405" hidden="1">"$O$405"</definedName>
    <definedName name="IQRN406" hidden="1">"$O$406"</definedName>
    <definedName name="IQRN407" hidden="1">"$O$407"</definedName>
    <definedName name="IQRN408" hidden="1">"$O$408"</definedName>
    <definedName name="IQRN409" hidden="1">"$O$409"</definedName>
    <definedName name="IQRN41" hidden="1">"$O$41"</definedName>
    <definedName name="IQRN410" hidden="1">"$O$410"</definedName>
    <definedName name="IQRN411" hidden="1">"$O$411"</definedName>
    <definedName name="IQRN412" hidden="1">"$O$412"</definedName>
    <definedName name="IQRN413" hidden="1">"$O$413"</definedName>
    <definedName name="IQRN414" hidden="1">"$O$414"</definedName>
    <definedName name="IQRN415" hidden="1">"$O$415"</definedName>
    <definedName name="IQRN416" hidden="1">"$O$416"</definedName>
    <definedName name="IQRN417" hidden="1">"$O$417"</definedName>
    <definedName name="IQRN418" hidden="1">"$O$418"</definedName>
    <definedName name="IQRN419" hidden="1">"$O$419"</definedName>
    <definedName name="IQRN42" hidden="1">"$O$42:$R$42"</definedName>
    <definedName name="IQRN420" hidden="1">"$O$420"</definedName>
    <definedName name="IQRN421" hidden="1">"$O$421"</definedName>
    <definedName name="IQRN422" hidden="1">"$O$422"</definedName>
    <definedName name="IQRN423" hidden="1">"$O$423"</definedName>
    <definedName name="IQRN424" hidden="1">"$O$424"</definedName>
    <definedName name="IQRN425" hidden="1">"$O$425"</definedName>
    <definedName name="IQRN426" hidden="1">"$O$426"</definedName>
    <definedName name="IQRN427" hidden="1">"$O$427"</definedName>
    <definedName name="IQRN428" hidden="1">"$O$428"</definedName>
    <definedName name="IQRN429" hidden="1">"$O$429"</definedName>
    <definedName name="IQRN43" hidden="1">"$O$43:$S$43"</definedName>
    <definedName name="IQRN430" hidden="1">"$O$430"</definedName>
    <definedName name="IQRN431" hidden="1">"$O$431"</definedName>
    <definedName name="IQRN432" hidden="1">"$O$432"</definedName>
    <definedName name="IQRN433" hidden="1">"$O$433"</definedName>
    <definedName name="IQRN434" hidden="1">"$O$434"</definedName>
    <definedName name="IQRN435" hidden="1">"$O$435"</definedName>
    <definedName name="IQRN436" hidden="1">"$O$436"</definedName>
    <definedName name="IQRN437" hidden="1">"$O$437"</definedName>
    <definedName name="IQRN438" hidden="1">"$O$438"</definedName>
    <definedName name="IQRN439" hidden="1">"$O$439"</definedName>
    <definedName name="IQRN44" hidden="1">"$O$44:$S$44"</definedName>
    <definedName name="IQRN440" hidden="1">"$O$440"</definedName>
    <definedName name="IQRN441" hidden="1">"$O$441"</definedName>
    <definedName name="IQRN442" hidden="1">"$O$442"</definedName>
    <definedName name="IQRN443" hidden="1">"$O$443"</definedName>
    <definedName name="IQRN444" hidden="1">"$O$444"</definedName>
    <definedName name="IQRN445" hidden="1">"$O$445"</definedName>
    <definedName name="IQRN446" hidden="1">"$O$446"</definedName>
    <definedName name="IQRN447" hidden="1">"$O$447"</definedName>
    <definedName name="IQRN448" hidden="1">"$O$448"</definedName>
    <definedName name="IQRN449" hidden="1">"$O$449"</definedName>
    <definedName name="IQRN45" hidden="1">"$O$45"</definedName>
    <definedName name="IQRN450" hidden="1">"$O$450"</definedName>
    <definedName name="IQRN451" hidden="1">"$O$451"</definedName>
    <definedName name="IQRN452" hidden="1">"$O$452"</definedName>
    <definedName name="IQRN453" hidden="1">"$O$453"</definedName>
    <definedName name="IQRN454" hidden="1">"$O$454"</definedName>
    <definedName name="IQRN455" hidden="1">"$O$455"</definedName>
    <definedName name="IQRN456" hidden="1">"$O$456"</definedName>
    <definedName name="IQRN457" hidden="1">"$O$457"</definedName>
    <definedName name="IQRN458" hidden="1">"$O$458"</definedName>
    <definedName name="IQRN459" hidden="1">"$O$459"</definedName>
    <definedName name="IQRN46" hidden="1">"$O$46:$S$46"</definedName>
    <definedName name="IQRN460" hidden="1">"$O$460"</definedName>
    <definedName name="IQRN461" hidden="1">"$O$461"</definedName>
    <definedName name="IQRN462" hidden="1">"$O$462"</definedName>
    <definedName name="IQRN463" hidden="1">"$O$463"</definedName>
    <definedName name="IQRN464" hidden="1">"$O$464"</definedName>
    <definedName name="IQRN465" hidden="1">"$O$465"</definedName>
    <definedName name="IQRN466" hidden="1">"$O$466"</definedName>
    <definedName name="IQRN467" hidden="1">"$O$467"</definedName>
    <definedName name="IQRN468" hidden="1">"$O$468"</definedName>
    <definedName name="IQRN469" hidden="1">"$O$469"</definedName>
    <definedName name="IQRN47" hidden="1">"$O$47:$S$47"</definedName>
    <definedName name="IQRN470" hidden="1">"$O$470"</definedName>
    <definedName name="IQRN471" hidden="1">"$O$471"</definedName>
    <definedName name="IQRN472" hidden="1">"$O$472"</definedName>
    <definedName name="IQRN473" hidden="1">"$O$473"</definedName>
    <definedName name="IQRN474" hidden="1">"$O$474"</definedName>
    <definedName name="IQRN475" hidden="1">"$O$475"</definedName>
    <definedName name="IQRN476" hidden="1">"$O$476"</definedName>
    <definedName name="IQRN477" hidden="1">"$O$477"</definedName>
    <definedName name="IQRN478" hidden="1">"$O$478"</definedName>
    <definedName name="IQRN479" hidden="1">"$O$479"</definedName>
    <definedName name="IQRN48" hidden="1">"$O$48:$S$48"</definedName>
    <definedName name="IQRN480" hidden="1">"$O$480"</definedName>
    <definedName name="IQRN481" hidden="1">"$O$481"</definedName>
    <definedName name="IQRN482" hidden="1">"$O$482"</definedName>
    <definedName name="IQRN483" hidden="1">"$O$483"</definedName>
    <definedName name="IQRN484" hidden="1">"$O$484"</definedName>
    <definedName name="IQRN485" hidden="1">"$O$485"</definedName>
    <definedName name="IQRN486" hidden="1">"$O$486"</definedName>
    <definedName name="IQRN487" hidden="1">"$O$487"</definedName>
    <definedName name="IQRN488" hidden="1">"$O$488"</definedName>
    <definedName name="IQRN489" hidden="1">"$O$489"</definedName>
    <definedName name="IQRN49" hidden="1">"$O$49:$S$49"</definedName>
    <definedName name="IQRN490" hidden="1">"$O$490"</definedName>
    <definedName name="IQRN491" hidden="1">"$O$491"</definedName>
    <definedName name="IQRN492" hidden="1">"$O$492"</definedName>
    <definedName name="IQRN493" hidden="1">"$O$493"</definedName>
    <definedName name="IQRN494" hidden="1">"$O$494"</definedName>
    <definedName name="IQRN495" hidden="1">"$O$495"</definedName>
    <definedName name="IQRN496" hidden="1">"$O$496"</definedName>
    <definedName name="IQRN50" hidden="1">"$O$50"</definedName>
    <definedName name="IQRN51" hidden="1">"$O$51:$S$51"</definedName>
    <definedName name="IQRN52" hidden="1">"$O$52:$S$52"</definedName>
    <definedName name="IQRN53" hidden="1">"$O$53"</definedName>
    <definedName name="IQRN54" hidden="1">"$O$54:$S$54"</definedName>
    <definedName name="IQRN55" hidden="1">"$O$55"</definedName>
    <definedName name="IQRN61" hidden="1">"$O$61"</definedName>
    <definedName name="IQRN62" hidden="1">"$O$62"</definedName>
    <definedName name="IQRN63" hidden="1">"$O$63"</definedName>
    <definedName name="IQRN64" hidden="1">"$O$64"</definedName>
    <definedName name="IQRN65" hidden="1">"$O$65"</definedName>
    <definedName name="IQRN66" hidden="1">"$O$66"</definedName>
    <definedName name="IQRN67" hidden="1">"$O$67"</definedName>
    <definedName name="IQRN68" hidden="1">"$O$68"</definedName>
    <definedName name="IQRN69" hidden="1">"$O$69"</definedName>
    <definedName name="IQRN70" hidden="1">"$O$70"</definedName>
    <definedName name="IQRN71" hidden="1">"$O$71"</definedName>
    <definedName name="IQRN72" hidden="1">"$O$72"</definedName>
    <definedName name="IQRN73" hidden="1">"$O$73"</definedName>
    <definedName name="IQRN74" hidden="1">"$O$74"</definedName>
    <definedName name="IQRN75" hidden="1">"$O$75"</definedName>
    <definedName name="IQRN76" hidden="1">"$O$76"</definedName>
    <definedName name="IQRN77" hidden="1">"$O$77"</definedName>
    <definedName name="IQRN78" hidden="1">"$O$78"</definedName>
    <definedName name="IQRN79" hidden="1">"$O$79"</definedName>
    <definedName name="IQRN80" hidden="1">"$O$80"</definedName>
    <definedName name="IQRN81" hidden="1">"$O$81"</definedName>
    <definedName name="IQRN82" hidden="1">"$O$82"</definedName>
    <definedName name="IQRN83" hidden="1">"$O$83"</definedName>
    <definedName name="IQRN84" hidden="1">"$O$84"</definedName>
    <definedName name="IQRN85" hidden="1">"$O$85"</definedName>
    <definedName name="IQRN86" hidden="1">"$O$86"</definedName>
    <definedName name="IQRN87" hidden="1">"$O$87"</definedName>
    <definedName name="IQRN88" hidden="1">"$O$88"</definedName>
    <definedName name="IQRN89" hidden="1">"$O$89"</definedName>
    <definedName name="IQRN90" hidden="1">"$O$90"</definedName>
    <definedName name="IQRN91" hidden="1">"$O$91"</definedName>
    <definedName name="IQRN92" hidden="1">"$O$92"</definedName>
    <definedName name="IQRN93" hidden="1">"$O$93"</definedName>
    <definedName name="IQRN94" hidden="1">"$O$94"</definedName>
    <definedName name="IQRN95" hidden="1">"$O$95"</definedName>
    <definedName name="IQRN96" hidden="1">"$O$96"</definedName>
    <definedName name="IQRN97" hidden="1">"$O$97"</definedName>
    <definedName name="IQRN98" hidden="1">"$O$98"</definedName>
    <definedName name="IQRN99" hidden="1">"$O$99"</definedName>
    <definedName name="IQRO12" hidden="1">"$O$13:$O$273"</definedName>
    <definedName name="IQRO279" hidden="1">"$O$280:$O$540"</definedName>
    <definedName name="IQRO40" hidden="1">"$O$41:$O$47"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rofileInputsD107" hidden="1">#REF!</definedName>
    <definedName name="IQRProfileInputsK107" hidden="1">#REF!</definedName>
    <definedName name="IQRQ40" hidden="1">"$Q$41:$Q$47"</definedName>
    <definedName name="IQRQuickCompsFormulasC7" hidden="1">#REF!</definedName>
    <definedName name="IQRQuickCompsFormulasD7" hidden="1">#REF!</definedName>
    <definedName name="IQRQuickCompsFormulasE7" hidden="1">#REF!</definedName>
    <definedName name="IQRQuickCompsFormulasF7" hidden="1">#REF!</definedName>
    <definedName name="IQRQuickCompsFormulasG7" hidden="1">#REF!</definedName>
    <definedName name="IQRR12" hidden="1">"$R$13:$R$72"</definedName>
    <definedName name="IQRR279" hidden="1">"$R$280:$R$339"</definedName>
    <definedName name="IQRSalesPerformanceU64" hidden="1">#REF!</definedName>
    <definedName name="IQRScreeningH9" hidden="1">#REF!</definedName>
    <definedName name="IQRSheet1A2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D109" hidden="1">#REF!</definedName>
    <definedName name="IQRSheet2D18" hidden="1">#REF!</definedName>
    <definedName name="IQRSheet2D21" hidden="1">#REF!</definedName>
    <definedName name="IQRSheet2D51" hidden="1">#REF!</definedName>
    <definedName name="IQRSheet2D75" hidden="1">#REF!</definedName>
    <definedName name="IQRSheet2D76" hidden="1">#REF!</definedName>
    <definedName name="IQRSheet2H12" hidden="1">#REF!</definedName>
    <definedName name="IQRSheet2H13" hidden="1">#REF!</definedName>
    <definedName name="IQRSheet2H14" hidden="1">#REF!</definedName>
    <definedName name="IQRSheet2H15" hidden="1">#REF!</definedName>
    <definedName name="IQRSheet2H16" hidden="1">#REF!</definedName>
    <definedName name="IQRSheet2H17" hidden="1">#REF!</definedName>
    <definedName name="IQRSheet2H18" hidden="1">#REF!</definedName>
    <definedName name="IQRSheet2H19" hidden="1">#REF!</definedName>
    <definedName name="IQRSheet2H20" hidden="1">#REF!</definedName>
    <definedName name="IQRSheet2K109" hidden="1">#REF!</definedName>
    <definedName name="IQRSheet2K18" hidden="1">#REF!</definedName>
    <definedName name="IQRSheet2K21" hidden="1">#REF!</definedName>
    <definedName name="IQRSheet2K51" hidden="1">#REF!</definedName>
    <definedName name="IQRSheet2K75" hidden="1">#REF!</definedName>
    <definedName name="IQRSheet2K76" hidden="1">#REF!</definedName>
    <definedName name="IQRSheet2N12" hidden="1">#REF!</definedName>
    <definedName name="IQRSheet2N13" hidden="1">#REF!</definedName>
    <definedName name="IQRSheet2N14" hidden="1">#REF!</definedName>
    <definedName name="IQRSheet2N15" hidden="1">#REF!</definedName>
    <definedName name="IQRSheet2N16" hidden="1">#REF!</definedName>
    <definedName name="IQRSheet2N17" hidden="1">#REF!</definedName>
    <definedName name="IQRSheet2N18" hidden="1">#REF!</definedName>
    <definedName name="IQRSheet2N19" hidden="1">#REF!</definedName>
    <definedName name="IQRSheet2N20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C27" hidden="1">#REF!</definedName>
    <definedName name="IQRSupportAC4" hidden="1">#REF!</definedName>
    <definedName name="IQRSupportAC53" hidden="1">#REF!</definedName>
    <definedName name="IQRSupportAH27" hidden="1">#REF!</definedName>
    <definedName name="IQRSupportAH4" hidden="1">#REF!</definedName>
    <definedName name="IQRSupportAH53" hidden="1">#REF!</definedName>
    <definedName name="IQRSupportAI4" hidden="1">#REF!</definedName>
    <definedName name="IQRSupportAI53" hidden="1">#REF!</definedName>
    <definedName name="IQRSupportAK27" hidden="1">#REF!</definedName>
    <definedName name="IQRSupportAK4" hidden="1">#REF!</definedName>
    <definedName name="IQRSupportAK53" hidden="1">#REF!</definedName>
    <definedName name="IQRSupportAM27" hidden="1">#REF!</definedName>
    <definedName name="IQRSupportAM4" hidden="1">#REF!</definedName>
    <definedName name="IQRSupportAM53" hidden="1">#REF!</definedName>
    <definedName name="IQRSupportAS27" hidden="1">#REF!</definedName>
    <definedName name="IQRSupportAS4" hidden="1">#REF!</definedName>
    <definedName name="IQRSupportAS53" hidden="1">#REF!</definedName>
    <definedName name="IQRSupportAW27" hidden="1">#REF!</definedName>
    <definedName name="IQRSupportAW4" hidden="1">#REF!</definedName>
    <definedName name="IQRSupportAW53" hidden="1">#REF!</definedName>
    <definedName name="IQRSupportG27" hidden="1">#REF!</definedName>
    <definedName name="IQRSupportG4" hidden="1">#REF!</definedName>
    <definedName name="IQRSupportG53" hidden="1">#REF!</definedName>
    <definedName name="IQRSupportH27" hidden="1">#REF!</definedName>
    <definedName name="IQRSupportH4" hidden="1">#REF!</definedName>
    <definedName name="IQRSupportH53" hidden="1">#REF!</definedName>
    <definedName name="IQRSupportK27" hidden="1">#REF!</definedName>
    <definedName name="IQRSupportK4" hidden="1">#REF!</definedName>
    <definedName name="IQRSupportK53" hidden="1">#REF!</definedName>
    <definedName name="IQRSupportM27" hidden="1">#REF!</definedName>
    <definedName name="IQRSupportM4" hidden="1">#REF!</definedName>
    <definedName name="IQRSupportM53" hidden="1">#REF!</definedName>
    <definedName name="IQRSupportO27" hidden="1">#REF!</definedName>
    <definedName name="IQRSupportO4" hidden="1">#REF!</definedName>
    <definedName name="IQRSupportO53" hidden="1">#REF!</definedName>
    <definedName name="IQRSupportP27" hidden="1">#REF!</definedName>
    <definedName name="IQRSupportP4" hidden="1">#REF!</definedName>
    <definedName name="IQRSupportP53" hidden="1">#REF!</definedName>
    <definedName name="IQRSupportQ27" hidden="1">#REF!</definedName>
    <definedName name="IQRSupportQ4" hidden="1">#REF!</definedName>
    <definedName name="IQRSupportQ53" hidden="1">#REF!</definedName>
    <definedName name="IQRSupportR27" hidden="1">#REF!</definedName>
    <definedName name="IQRSupportR4" hidden="1">#REF!</definedName>
    <definedName name="IQRSupportR53" hidden="1">#REF!</definedName>
    <definedName name="IQRSupportS27" hidden="1">#REF!</definedName>
    <definedName name="IQRSupportS4" hidden="1">#REF!</definedName>
    <definedName name="IQRSupportS53" hidden="1">#REF!</definedName>
    <definedName name="IQRSupportV27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4" hidden="1">#REF!</definedName>
    <definedName name="IQRSupportX53" hidden="1">#REF!</definedName>
    <definedName name="IQRV12" hidden="1">"$V$13:$V$273"</definedName>
    <definedName name="IQRV279" hidden="1">"$V$280:$V$540"</definedName>
    <definedName name="IQRY12" hidden="1">"$Y$13:$Y$72"</definedName>
    <definedName name="IQRY279" hidden="1">"$Y$280:$Y$339"</definedName>
    <definedName name="IQSTransactionCapIQA5" hidden="1">"$A$6:$A$17"</definedName>
    <definedName name="Irbe" localSheetId="3" hidden="1">{#N/A,#N/A,FALSE,"Pharm";#N/A,#N/A,FALSE,"WWCM"}</definedName>
    <definedName name="Irbe" hidden="1">{#N/A,#N/A,FALSE,"Pharm";#N/A,#N/A,FALSE,"WWCM"}</definedName>
    <definedName name="IRR">#REF!</definedName>
    <definedName name="IRR_Comb_1">#REF!</definedName>
    <definedName name="IRR_Comb_2">#REF!</definedName>
    <definedName name="IRR_Priv_1">#REF!</definedName>
    <definedName name="IRR_Priv_2">#REF!</definedName>
    <definedName name="IRR_Pub_1">#REF!</definedName>
    <definedName name="IRR_Pub_2">#REF!</definedName>
    <definedName name="IRRTolerance">0.000001</definedName>
    <definedName name="IsColHidden" hidden="1">FALSE</definedName>
    <definedName name="IsLTMColHidden" hidden="1">FALSE</definedName>
    <definedName name="Item">#REF!</definedName>
    <definedName name="Item2">#REF!</definedName>
    <definedName name="Itemcheck">#REF!</definedName>
    <definedName name="ItemCheckChange">#REF!</definedName>
    <definedName name="ItemStart" hidden="1">#REF!</definedName>
    <definedName name="iuh3dwioh" localSheetId="3" hidden="1">{#N/A,#N/A,FALSE,"TAXCALC";#N/A,#N/A,FALSE,"TAXCALC"}</definedName>
    <definedName name="iuh3dwioh" hidden="1">{#N/A,#N/A,FALSE,"TAXCALC";#N/A,#N/A,FALSE,"TAXCALC"}</definedName>
    <definedName name="iv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 localSheetId="3" hidden="1">{#N/A,#N/A,FALSE,"REPORT"}</definedName>
    <definedName name="j" hidden="1">{#N/A,#N/A,FALSE,"REPORT"}</definedName>
    <definedName name="jazz" localSheetId="3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localSheetId="3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localSheetId="3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BA">#REF!</definedName>
    <definedName name="jd" localSheetId="3" hidden="1">{"JG FE Top",#N/A,FALSE,"JG FE ¥";"JG FE Bottom",#N/A,FALSE,"JG FE ¥"}</definedName>
    <definedName name="jd" hidden="1">{"JG FE Top",#N/A,FALSE,"JG FE ¥";"JG FE Bottom",#N/A,FALSE,"JG FE ¥"}</definedName>
    <definedName name="jdhgjdghjd" localSheetId="3" hidden="1">{#N/A,#N/A,FALSE,"Contribution Analysis"}</definedName>
    <definedName name="jdhgjdghjd" hidden="1">{#N/A,#N/A,FALSE,"Contribution Analysis"}</definedName>
    <definedName name="jen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TSET">#N/A</definedName>
    <definedName name="JGFH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JGFH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jh" localSheetId="3" hidden="1">{#N/A,#N/A,FALSE,"CreditStat";#N/A,#N/A,FALSE,"SPbrkup";#N/A,#N/A,FALSE,"MerSPsyn";#N/A,#N/A,FALSE,"MerSPwKCsyn";#N/A,#N/A,FALSE,"MerSPwKCsyn (2)";#N/A,#N/A,FALSE,"CreditStat (2)"}</definedName>
    <definedName name="jh" hidden="1">{#N/A,#N/A,FALSE,"CreditStat";#N/A,#N/A,FALSE,"SPbrkup";#N/A,#N/A,FALSE,"MerSPsyn";#N/A,#N/A,FALSE,"MerSPwKCsyn";#N/A,#N/A,FALSE,"MerSPwKCsyn (2)";#N/A,#N/A,FALSE,"CreditStat (2)"}</definedName>
    <definedName name="jim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jim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jj" localSheetId="3" hidden="1">{#N/A,#N/A,FALSE,"TAXCALC";#N/A,#N/A,FALSE,"TAXCALC"}</definedName>
    <definedName name="jj" hidden="1">{#N/A,#N/A,FALSE,"TAXCALC";#N/A,#N/A,FALSE,"TAXCALC"}</definedName>
    <definedName name="jjj" localSheetId="3" hidden="1">{#N/A,#N/A,FALSE,"REPORT"}</definedName>
    <definedName name="jjj" hidden="1">{#N/A,#N/A,FALSE,"REPORT"}</definedName>
    <definedName name="jjjj" localSheetId="3" hidden="1">{"Assumptions",#N/A,FALSE,"Sheet1";"Main Report",#N/A,FALSE,"Sheet1";"Results",#N/A,FALSE,"Sheet1";"Advances",#N/A,FALSE,"Sheet1"}</definedName>
    <definedName name="jjjj" hidden="1">{"Assumptions",#N/A,FALSE,"Sheet1";"Main Report",#N/A,FALSE,"Sheet1";"Results",#N/A,FALSE,"Sheet1";"Advances",#N/A,FALSE,"Sheet1"}</definedName>
    <definedName name="jjjjjjjj" localSheetId="3" hidden="1">OFFSET(CompRange1Main,9,0,COUNTA(CompRange1Main)-COUNTA(#REF!),1)</definedName>
    <definedName name="jjjjjjjj" hidden="1">OFFSET(CompRange1Main,9,0,COUNTA(CompRange1Main)-COUNTA(#REF!),1)</definedName>
    <definedName name="jk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bfldas" hidden="1">#REF!</definedName>
    <definedName name="jkl" localSheetId="3" hidden="1">{#N/A,#N/A,FALSE,"REPORT"}</definedName>
    <definedName name="jkl" hidden="1">{#N/A,#N/A,FALSE,"REPORT"}</definedName>
    <definedName name="JMBM" localSheetId="3" hidden="1">{#N/A,#N/A,TRUE,"RESUMEN ECON.";#N/A,#N/A,TRUE,"Costos de R.H.";#N/A,#N/A,TRUE,"COSTO HW";#N/A,#N/A,TRUE,"CUADROS";#N/A,#N/A,TRUE,"SCADA´s";#N/A,#N/A,TRUE,"PRECIOS EQUIPOS"}</definedName>
    <definedName name="JMBM" hidden="1">{#N/A,#N/A,TRUE,"RESUMEN ECON.";#N/A,#N/A,TRUE,"Costos de R.H.";#N/A,#N/A,TRUE,"COSTO HW";#N/A,#N/A,TRUE,"CUADROS";#N/A,#N/A,TRUE,"SCADA´s";#N/A,#N/A,TRUE,"PRECIOS EQUIPOS"}</definedName>
    <definedName name="JMBMI" localSheetId="3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ny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jny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joblu">#REF!</definedName>
    <definedName name="joblu2">#REF!</definedName>
    <definedName name="JPA">#REF!</definedName>
    <definedName name="JUAN" localSheetId="3" hidden="1">{#N/A,#N/A,FALSE,"RESUMEN ECON.";#N/A,#N/A,FALSE,"Costos de R.H.";#N/A,#N/A,FALSE,"COSTO HW";#N/A,#N/A,FALSE,"CUADROS";#N/A,#N/A,FALSE,"SCADA´s";#N/A,#N/A,FALSE,"PRECIOS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dy" localSheetId="3" hidden="1">{#N/A,#N/A,FALSE,"Pharm";#N/A,#N/A,FALSE,"WWCM"}</definedName>
    <definedName name="judy" hidden="1">{#N/A,#N/A,FALSE,"Pharm";#N/A,#N/A,FALSE,"WWCM"}</definedName>
    <definedName name="judy1" localSheetId="3" hidden="1">{#N/A,#N/A,FALSE,"Pharm";#N/A,#N/A,FALSE,"WWCM"}</definedName>
    <definedName name="judy1" hidden="1">{#N/A,#N/A,FALSE,"Pharm";#N/A,#N/A,FALSE,"WWCM"}</definedName>
    <definedName name="JUMABA" localSheetId="3" hidden="1">{#N/A,#N/A,TRUE,"RESUMEN ECON.";#N/A,#N/A,TRUE,"Costos de R.H.";#N/A,#N/A,TRUE,"COSTO HW";#N/A,#N/A,TRUE,"CUADROS";#N/A,#N/A,TRUE,"SCADA´s";#N/A,#N/A,TRUE,"PRECIOS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0" hidden="1">#REF!</definedName>
    <definedName name="K2_WBEVMODE" hidden="1">0</definedName>
    <definedName name="kamil" localSheetId="3" hidden="1">{"glc1",#N/A,FALSE,"GLC";"glc2",#N/A,FALSE,"GLC";"glc3",#N/A,FALSE,"GLC";"glc4",#N/A,FALSE,"GLC";"glc5",#N/A,FALSE,"GLC"}</definedName>
    <definedName name="kamil" hidden="1">{"glc1",#N/A,FALSE,"GLC";"glc2",#N/A,FALSE,"GLC";"glc3",#N/A,FALSE,"GLC";"glc4",#N/A,FALSE,"GLC";"glc5",#N/A,FALSE,"GLC"}</definedName>
    <definedName name="Kaufpreisannahmen" localSheetId="3" hidden="1">{#N/A,#N/A,FALSE,"Layout Aktiva";#N/A,#N/A,FALSE,"Layout Passiva"}</definedName>
    <definedName name="Kaufpreisannahmen" hidden="1">{#N/A,#N/A,FALSE,"Layout Aktiva";#N/A,#N/A,FALSE,"Layout Passiva"}</definedName>
    <definedName name="key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key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KFP" localSheetId="3" hidden="1">{"glc1",#N/A,FALSE,"GLC";"glc2",#N/A,FALSE,"GLC";"glc3",#N/A,FALSE,"GLC";"glc4",#N/A,FALSE,"GLC";"glc5",#N/A,FALSE,"GLC"}</definedName>
    <definedName name="KFP" hidden="1">{"glc1",#N/A,FALSE,"GLC";"glc2",#N/A,FALSE,"GLC";"glc3",#N/A,FALSE,"GLC";"glc4",#N/A,FALSE,"GLC";"glc5",#N/A,FALSE,"GLC"}</definedName>
    <definedName name="Kfw" localSheetId="3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T_12MO_IS">#REF!</definedName>
    <definedName name="KHT_BS">#REF!</definedName>
    <definedName name="KHT_CM">#REF!</definedName>
    <definedName name="KHT_CM_PERDAY">#REF!</definedName>
    <definedName name="KHT_IS_PERDAY">#REF!</definedName>
    <definedName name="kj" localSheetId="3" hidden="1">{"CASHFLOW",#N/A,FALSE,"Northpointe"}</definedName>
    <definedName name="kj" hidden="1">{"CASHFLOW",#N/A,FALSE,"Northpointe"}</definedName>
    <definedName name="KJBHIJ" localSheetId="3" hidden="1">{#N/A,#N/A,FALSE,"TAXCALC";#N/A,#N/A,FALSE,"TAXCALC"}</definedName>
    <definedName name="KJBHIJ" hidden="1">{#N/A,#N/A,FALSE,"TAXCALC";#N/A,#N/A,FALSE,"TAXCALC"}</definedName>
    <definedName name="kjdfa">#REF!</definedName>
    <definedName name="kjhkjh" localSheetId="3" hidden="1">{#N/A,#N/A,FALSE,"ORIX CSC"}</definedName>
    <definedName name="kjhkjh" hidden="1">{#N/A,#N/A,FALSE,"ORIX CSC"}</definedName>
    <definedName name="KJHSAKJHA" hidden="1">#REF!</definedName>
    <definedName name="kjjkghkhj" localSheetId="3" hidden="1">{"finana",#N/A,FALSE,"Fin"}</definedName>
    <definedName name="kjjkghkhj" hidden="1">{"finana",#N/A,FALSE,"Fin"}</definedName>
    <definedName name="kjkhg">#REF!</definedName>
    <definedName name="kk" localSheetId="3" hidden="1">{#N/A,#N/A,FALSE,"Output";#N/A,#N/A,FALSE,"Cover Sheet";#N/A,#N/A,FALSE,"Current Mkt. Projections"}</definedName>
    <definedName name="kk" hidden="1">{#N/A,#N/A,FALSE,"Output";#N/A,#N/A,FALSE,"Cover Sheet";#N/A,#N/A,FALSE,"Current Mkt. Projections"}</definedName>
    <definedName name="kkk" localSheetId="3" hidden="1">{#N/A,#N/A,FALSE,"Pharm";#N/A,#N/A,FALSE,"WWCM"}</definedName>
    <definedName name="kkk" hidden="1">{#N/A,#N/A,FALSE,"Pharm";#N/A,#N/A,FALSE,"WWCM"}</definedName>
    <definedName name="kkkk" hidden="1">#REF!</definedName>
    <definedName name="kkkkk" hidden="1">#REF!</definedName>
    <definedName name="kkkkkk" hidden="1">#REF!</definedName>
    <definedName name="KKKKKKKKKKKKKKKKK" hidden="1">#REF!</definedName>
    <definedName name="KKKKKKKKKKKKKKKKKKKKK" hidden="1">#REF!</definedName>
    <definedName name="kop" localSheetId="3" hidden="1">{#N/A,#N/A,FALSE,"Aging Summary";#N/A,#N/A,FALSE,"Ratio Analysis";#N/A,#N/A,FALSE,"Test 120 Day Accts";#N/A,#N/A,FALSE,"Tickmarks"}</definedName>
    <definedName name="kop" hidden="1">{#N/A,#N/A,FALSE,"Aging Summary";#N/A,#N/A,FALSE,"Ratio Analysis";#N/A,#N/A,FALSE,"Test 120 Day Accts";#N/A,#N/A,FALSE,"Tickmarks"}</definedName>
    <definedName name="KSA_Subset">#REF!</definedName>
    <definedName name="kslkjkjlkjd" localSheetId="3" hidden="1">{#N/A,#N/A,FALSE,"REPORT"}</definedName>
    <definedName name="kslkjkjlkjd" hidden="1">{#N/A,#N/A,FALSE,"REPORT"}</definedName>
    <definedName name="kyd.ChngCell.01." hidden="1">"x"</definedName>
    <definedName name="kyd.CounterLimitCell.01." hidden="1">"x"</definedName>
    <definedName name="kyd.Dim.01." hidden="1">""</definedName>
    <definedName name="kyd.ElementList.01." hidden="1">"x"</definedName>
    <definedName name="kyd.ElementType.01." hidden="1">0</definedName>
    <definedName name="kyd.ItemType.01." hidden="1">0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NumLevels.01." hidden="1">0</definedName>
    <definedName name="kyd.PanicStop." hidden="1">FALSE</definedName>
    <definedName name="kyd.ParentName.01." hidden="1">""</definedName>
    <definedName name="kyd.PreScreenData." hidden="1">FALSE</definedName>
    <definedName name="kyd.PrintCtrlRange." hidden="1">#REF!</definedName>
    <definedName name="kyd.PrintParent.01." hidden="1">FALSE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hortcut." hidden="1">FALSE</definedName>
    <definedName name="kyd.StdSortHide." hidden="1">FALSE</definedName>
    <definedName name="kyd.UsePrintCtrlRange." hidden="1">TRUE</definedName>
    <definedName name="LA_INDIA_STEPUP_PASTE">#REF!</definedName>
    <definedName name="LabelChoice">#REF!</definedName>
    <definedName name="langue">#REF!</definedName>
    <definedName name="Last_Row" localSheetId="3">IF('Locations Data'!Values_Entered,Header_Row+'Locations Data'!Number_of_Payments,Header_Row)</definedName>
    <definedName name="Last_Row">IF(Values_Entered,Header_Row+Number_of_Payments,Header_Row)</definedName>
    <definedName name="LastCol">MATCH(REPT("z",255),#REF!)</definedName>
    <definedName name="LastEndDate" hidden="1">#REF!</definedName>
    <definedName name="LastPrice">#REF!</definedName>
    <definedName name="LastPriceDate">#REF!</definedName>
    <definedName name="LastRow">MATCH(9.99E+307,#REF!)</definedName>
    <definedName name="LastStartDate" hidden="1">#REF!</definedName>
    <definedName name="lastytd">#REF!</definedName>
    <definedName name="lastytd98">#REF!</definedName>
    <definedName name="LatestFYE">#REF!</definedName>
    <definedName name="lbo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localSheetId="3" hidden="1">{"FCB_ALL",#N/A,FALSE,"FCB"}</definedName>
    <definedName name="LBOCreditConsol" hidden="1">{"FCB_ALL",#N/A,FALSE,"FCB"}</definedName>
    <definedName name="LCC_LIST">#REF!</definedName>
    <definedName name="Leasing_Terms">#REF!</definedName>
    <definedName name="lee" localSheetId="3" hidden="1">{#N/A,#N/A,FALSE,"Pharm";#N/A,#N/A,FALSE,"WWCM"}</definedName>
    <definedName name="lee" hidden="1">{#N/A,#N/A,FALSE,"Pharm";#N/A,#N/A,FALSE,"WWCM"}</definedName>
    <definedName name="LenderName">#REF!</definedName>
    <definedName name="Level">#REF!</definedName>
    <definedName name="Level_max">#REF!</definedName>
    <definedName name="Level_min">#REF!</definedName>
    <definedName name="LIBELLE">#REF!</definedName>
    <definedName name="lienBV_INFO">#REF!</definedName>
    <definedName name="limcount" hidden="1">1</definedName>
    <definedName name="LIST">#REF!</definedName>
    <definedName name="ListOffse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lkjlj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l" localSheetId="3" hidden="1">{#N/A,#N/A,FALSE,"Aging Summary";#N/A,#N/A,FALSE,"Ratio Analysis";#N/A,#N/A,FALSE,"Test 120 Day Accts";#N/A,#N/A,FALSE,"Tickmarks"}</definedName>
    <definedName name="ll" hidden="1">{#N/A,#N/A,FALSE,"Aging Summary";#N/A,#N/A,FALSE,"Ratio Analysis";#N/A,#N/A,FALSE,"Test 120 Day Accts";#N/A,#N/A,FALSE,"Tickmarks"}</definedName>
    <definedName name="LLC_LIST_A">#REF!</definedName>
    <definedName name="LLCP" localSheetId="3" hidden="1">{"PAGE1",#N/A,FALSE,"BID (3)";"PAGE2",#N/A,FALSE,"BID (3)"}</definedName>
    <definedName name="LLCP" hidden="1">{"PAGE1",#N/A,FALSE,"BID (3)";"PAGE2",#N/A,FALSE,"BID (3)"}</definedName>
    <definedName name="lll" localSheetId="3" hidden="1">{"SUM",#N/A,FALSE,"Details (2)"}</definedName>
    <definedName name="lll" hidden="1">{"SUM",#N/A,FALSE,"Details (2)"}</definedName>
    <definedName name="lllll" localSheetId="3" hidden="1">{"Summary",#N/A,FALSE,"Details (2)"}</definedName>
    <definedName name="lllll" hidden="1">{"Summary",#N/A,FALSE,"Details (2)"}</definedName>
    <definedName name="lllllllll" localSheetId="3" hidden="1">{"SUM",#N/A,FALSE,"Details (2)"}</definedName>
    <definedName name="lllllllll" hidden="1">{"SUM",#N/A,FALSE,"Details (2)"}</definedName>
    <definedName name="lllllllllllllllllll" localSheetId="3" hidden="1">{"Summary",#N/A,FALSE,"Details (2)"}</definedName>
    <definedName name="lllllllllllllllllll" hidden="1">{"Summary",#N/A,FALSE,"Details (2)"}</definedName>
    <definedName name="Loan_Amount">#REF!</definedName>
    <definedName name="Loan_Start">#REF!</definedName>
    <definedName name="Loan_Years">#REF!</definedName>
    <definedName name="LoanAmount">#REF!</definedName>
    <definedName name="LoanIsGood" localSheetId="3">IF(LoanAmount*InterestRate*LoanYears*LoanStartDate&gt;0,1,0)</definedName>
    <definedName name="LoanIsGood">IF(LoanAmount*InterestRate*LoanYears*LoanStartDate&gt;0,1,0)</definedName>
    <definedName name="LoanIsNotPaid" localSheetId="3">IF('Locations Data'!PaymentNumber&lt;=NumberOfPayments,1,0)</definedName>
    <definedName name="LoanIsNotPaid">IF(PaymentNumber&lt;=NumberOfPayments,1,0)</definedName>
    <definedName name="LoanPeriod">#REF!</definedName>
    <definedName name="LoanStartDate">#REF!</definedName>
    <definedName name="loantypedatavalidation">#REF!</definedName>
    <definedName name="LoanValue" localSheetId="3">-FV(InterestRate/12,'Locations Data'!PaymentNumber-1,-'Locations Data'!MonthlyPayment,LoanAmount)</definedName>
    <definedName name="LoanValue">-FV(InterestRate/12,PaymentNumber-1,-MonthlyPayment,LoanAmount)</definedName>
    <definedName name="LoanYears">#REF!</definedName>
    <definedName name="Local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ation_Annual">#REF!</definedName>
    <definedName name="locations">#REF!</definedName>
    <definedName name="Long_Term_Debt">#REF!</definedName>
    <definedName name="longterm_inflation">#REF!</definedName>
    <definedName name="LowPrice">#REF!</definedName>
    <definedName name="Lowpricespec">#REF!</definedName>
    <definedName name="LP_End_Cap">#REF!</definedName>
    <definedName name="LP_TI">#REF!</definedName>
    <definedName name="LPexityear">#REF!</definedName>
    <definedName name="lsrange">#REF!</definedName>
    <definedName name="lswrange">#REF!</definedName>
    <definedName name="lw3qmdpo" localSheetId="3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lw3qmdpo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LY">#REF!</definedName>
    <definedName name="m" localSheetId="3" hidden="1">{#N/A,#N/A,FALSE,"CNS";#N/A,#N/A,FALSE,"Serz";#N/A,#N/A,FALSE,"Ace"}</definedName>
    <definedName name="m" hidden="1">{#N/A,#N/A,FALSE,"CNS";#N/A,#N/A,FALSE,"Serz";#N/A,#N/A,FALSE,"Ace"}</definedName>
    <definedName name="M_PlaceofPath" hidden="1">"F:\ABARBER\apb\VBA Models\jnj_vdf.xls"</definedName>
    <definedName name="mac">#REF!</definedName>
    <definedName name="MACRO">#REF!</definedName>
    <definedName name="Macro1">#REF!</definedName>
    <definedName name="Macro2">#REF!</definedName>
    <definedName name="macrs">#REF!</definedName>
    <definedName name="Maintenance_Options_List">#REF!</definedName>
    <definedName name="Management" localSheetId="3" hidden="1">{#N/A,"Faber45",FALSE,"LBPROFOR";#N/A,"Faber50",FALSE,"LBPROFOR";#N/A,"Faber55",FALSE,"LBPROFOR";#N/A,"Faber60",FALSE,"LBPROFOR"}</definedName>
    <definedName name="Management" hidden="1">{#N/A,"Faber45",FALSE,"LBPROFOR";#N/A,"Faber50",FALSE,"LBPROFOR";#N/A,"Faber55",FALSE,"LBPROFOR";#N/A,"Faber60",FALSE,"LBPROFOR"}</definedName>
    <definedName name="Managemnt" localSheetId="3" hidden="1">{#N/A,"Faber45",FALSE,"LBPROFOR";#N/A,"Faber50",FALSE,"LBPROFOR";#N/A,"Faber55",FALSE,"LBPROFOR";#N/A,"Faber60",FALSE,"LBPROFOR"}</definedName>
    <definedName name="Managemnt" hidden="1">{#N/A,"Faber45",FALSE,"LBPROFOR";#N/A,"Faber50",FALSE,"LBPROFOR";#N/A,"Faber55",FALSE,"LBPROFOR";#N/A,"Faber60",FALSE,"LBPROFOR"}</definedName>
    <definedName name="Managers">#REF!</definedName>
    <definedName name="Mantenance_Options_List">#REF!</definedName>
    <definedName name="marg1">#REF!</definedName>
    <definedName name="marg10">#REF!</definedName>
    <definedName name="marg11">#REF!</definedName>
    <definedName name="marg12">#REF!</definedName>
    <definedName name="marg13">#REF!</definedName>
    <definedName name="marg14">#REF!</definedName>
    <definedName name="marg15">#REF!</definedName>
    <definedName name="marg2">#REF!</definedName>
    <definedName name="marg3">#REF!</definedName>
    <definedName name="marg4">#REF!</definedName>
    <definedName name="marg5">#REF!</definedName>
    <definedName name="marg526">#REF!</definedName>
    <definedName name="marg6">#REF!</definedName>
    <definedName name="marg7">#REF!</definedName>
    <definedName name="marg8">#REF!</definedName>
    <definedName name="marg9">#REF!</definedName>
    <definedName name="margp">#REF!</definedName>
    <definedName name="Marisa">#REF!</definedName>
    <definedName name="Marketing">#REF!</definedName>
    <definedName name="MarketReturn">#REF!</definedName>
    <definedName name="Master_Company_Name">#REF!</definedName>
    <definedName name="master_no">#REF!</definedName>
    <definedName name="Master_Val_Date">#REF!</definedName>
    <definedName name="MAXA">#REF!</definedName>
    <definedName name="maxcell">#REF!</definedName>
    <definedName name="MCSD">#REF!</definedName>
    <definedName name="Measure">#REF!</definedName>
    <definedName name="measure_curr">#REF!</definedName>
    <definedName name="Measure_final">#REF!</definedName>
    <definedName name="Med_prod" localSheetId="3" hidden="1">{#N/A,#N/A,FALSE,"Prem_Sum";#N/A,#N/A,FALSE,"Prem"}</definedName>
    <definedName name="Med_prod" hidden="1">{#N/A,#N/A,FALSE,"Prem_Sum";#N/A,#N/A,FALSE,"Prem"}</definedName>
    <definedName name="Med_prod.xls" localSheetId="3" hidden="1">{#N/A,#N/A,FALSE,"FACTSHEETS";#N/A,#N/A,FALSE,"pump";#N/A,#N/A,FALSE,"filter"}</definedName>
    <definedName name="Med_prod.xls" hidden="1">{#N/A,#N/A,FALSE,"FACTSHEETS";#N/A,#N/A,FALSE,"pump";#N/A,#N/A,FALSE,"filter"}</definedName>
    <definedName name="Med_products" localSheetId="3" hidden="1">{#N/A,#N/A,FALSE,"FACTSHEETS";#N/A,#N/A,FALSE,"pump";#N/A,#N/A,FALSE,"filter"}</definedName>
    <definedName name="Med_products" hidden="1">{#N/A,#N/A,FALSE,"FACTSHEETS";#N/A,#N/A,FALSE,"pump";#N/A,#N/A,FALSE,"filter"}</definedName>
    <definedName name="Medium">#N/A</definedName>
    <definedName name="MerrillPrintIt" hidden="1">#REF!</definedName>
    <definedName name="Mezzanine">#REF!</definedName>
    <definedName name="Mezzanine_acq">#REF!</definedName>
    <definedName name="MFQuotes">#REF!</definedName>
    <definedName name="mg">#REF!</definedName>
    <definedName name="MGHM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t" localSheetId="3" hidden="1">{#N/A,"Faber45",FALSE,"LBPROFOR";#N/A,"Faber50",FALSE,"LBPROFOR";#N/A,"Faber55",FALSE,"LBPROFOR";#N/A,"Faber60",FALSE,"LBPROFOR"}</definedName>
    <definedName name="Mgmt" hidden="1">{#N/A,"Faber45",FALSE,"LBPROFOR";#N/A,"Faber50",FALSE,"LBPROFOR";#N/A,"Faber55",FALSE,"LBPROFOR";#N/A,"Faber60",FALSE,"LBPROFOR"}</definedName>
    <definedName name="Mgmt." localSheetId="3" hidden="1">{#N/A,"Faber45",FALSE,"LBPROFOR";#N/A,"Faber50",FALSE,"LBPROFOR";#N/A,"Faber55",FALSE,"LBPROFOR";#N/A,"Faber60",FALSE,"LBPROFOR"}</definedName>
    <definedName name="Mgmt." hidden="1">{#N/A,"Faber45",FALSE,"LBPROFOR";#N/A,"Faber50",FALSE,"LBPROFOR";#N/A,"Faber55",FALSE,"LBPROFOR";#N/A,"Faber60",FALSE,"LBPROFOR"}</definedName>
    <definedName name="MGMTRATES">#REF!</definedName>
    <definedName name="mhj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n" localSheetId="3" hidden="1">{#N/A,#N/A,FALSE,"REPORT"}</definedName>
    <definedName name="min" hidden="1">{#N/A,#N/A,FALSE,"REPORT"}</definedName>
    <definedName name="mina" localSheetId="3" hidden="1">{#N/A,#N/A,FALSE,"REPORT"}</definedName>
    <definedName name="mina" hidden="1">{#N/A,#N/A,FALSE,"REPORT"}</definedName>
    <definedName name="mincell">#REF!</definedName>
    <definedName name="mincellspect.">#REF!</definedName>
    <definedName name="Misc_Cost1">#REF!</definedName>
    <definedName name="Misc_Cost2">#REF!</definedName>
    <definedName name="Misc_cost3">#REF!</definedName>
    <definedName name="Misc_Cost4">#REF!</definedName>
    <definedName name="mkeg10">#REF!</definedName>
    <definedName name="mkting_adv" localSheetId="3" hidden="1">{#N/A,#N/A,FALSE,"ASSUMPTIONS";#N/A,#N/A,FALSE,"Valuation Summary";"page1",#N/A,FALSE,"PRESENTATION";"page2",#N/A,FALSE,"PRESENTATION";#N/A,#N/A,FALSE,"ORIGINAL_ROLLBACK"}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localSheetId="3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ktk10">#REF!</definedName>
    <definedName name="MLNK0132f074d2ca4726a44cdfb543eb6c7c" hidden="1">#REF!</definedName>
    <definedName name="MLNK04135d7b7c7c432bbdd4cb45c18db9c3" hidden="1">#REF!</definedName>
    <definedName name="MLNK0b506261f74b4e3990640fd3b39bdd99" hidden="1">#REF!</definedName>
    <definedName name="MLNK1113d12c0c9c45ebaae6f18e1d9f5171" hidden="1">#REF!</definedName>
    <definedName name="MLNK135e3d1fb45244c7a87eb72958271bea" hidden="1">#REF!</definedName>
    <definedName name="MLNK16d0db9122f741fa8c5af32a8cc4a79f" hidden="1">#REF!</definedName>
    <definedName name="MLNK1bcf0fa390d0471bb034034ed35e1bc6" hidden="1">#REF!</definedName>
    <definedName name="MLNK1d074e82754046809cdbd2d179334cfe" hidden="1">#REF!</definedName>
    <definedName name="MLNK2507bb9008784a3cbdf2df74d32923c3" hidden="1">#REF!</definedName>
    <definedName name="MLNK2dcc0430d6494da08bd708688bf3dfaa" hidden="1">#REF!</definedName>
    <definedName name="MLNK331fd0965d264b5d9ec7a8c9f34be902" hidden="1">#REF!</definedName>
    <definedName name="MLNK35464fb60a574d118f22806a3054d29b" hidden="1">#REF!</definedName>
    <definedName name="MLNK363ffdc6cd8e4528bcaf9e2031268fdc" hidden="1">#REF!</definedName>
    <definedName name="MLNK3875bf0c10544047bacf55a0e25e841d" hidden="1">#REF!</definedName>
    <definedName name="MLNK3b7b86eb55964fb9abef004b6b006e05" hidden="1">#REF!</definedName>
    <definedName name="MLNK3bb8919fa2c94dd397ff7f7e6d0d6e28" hidden="1">#REF!</definedName>
    <definedName name="MLNK3f04205e1c064f65a8cc0e0ebc2134a4" hidden="1">#REF!</definedName>
    <definedName name="MLNK515233b65cf24977adad13817b14e8c6" hidden="1">#REF!</definedName>
    <definedName name="MLNK53f9ce2e31234ac18edea1ae5767a241" hidden="1">#REF!</definedName>
    <definedName name="MLNK5712119feac04b3ea80a00b77a9aa7ba" hidden="1">#REF!</definedName>
    <definedName name="MLNK5b67739387ca46bf9dc215cf83940617" hidden="1">#REF!</definedName>
    <definedName name="MLNK657d5661cb29427eaed5dcfec5c81e8e" hidden="1">#REF!</definedName>
    <definedName name="MLNK65ccc77b6c6b4fa0a655b4775849c1c7" hidden="1">#REF!</definedName>
    <definedName name="MLNK7034159cb25b4f3fa8a2595f8d8ece83" hidden="1">#REF!</definedName>
    <definedName name="MLNK77265adc2364444db831c6f77b8ad83b" hidden="1">#REF!</definedName>
    <definedName name="MLNK77fe11f0625c459f8962c695c5279200" hidden="1">#REF!</definedName>
    <definedName name="MLNK7bad9e40c45b4d0580602e137431d7cb" hidden="1">#REF!</definedName>
    <definedName name="MLNK7e822d7504584de588405e1de998b94b" hidden="1">#REF!</definedName>
    <definedName name="MLNK89f7d30731234f828269e085c36519b8" hidden="1">#REF!</definedName>
    <definedName name="MLNK8d1af6ae72fb4c5bb51376fc60a484ea" hidden="1">#REF!</definedName>
    <definedName name="MLNK90c78b5c7a1c46cca4e9bfa4b290d921" hidden="1">#REF!</definedName>
    <definedName name="MLNK9531347777144cc18f9e38020cc4eb4a" hidden="1">#REF!</definedName>
    <definedName name="MLNK953fe554fe314e1dbcd7ce115c128236" hidden="1">#REF!</definedName>
    <definedName name="MLNK96d74f48e36d43ea921db8a88d464aa6" hidden="1">#REF!</definedName>
    <definedName name="MLNK9fb59cfd68a540aab84d2b89b364d0e1" hidden="1">#REF!</definedName>
    <definedName name="MLNKa1225ea940954c99a57eb5c0bb8b240a" hidden="1">#REF!</definedName>
    <definedName name="MLNKa40d3d52a30644c599b9eb1a29051f9f" hidden="1">#REF!</definedName>
    <definedName name="MLNKb0b800e23ce74be69d5f1762eea904c1" hidden="1">#REF!</definedName>
    <definedName name="MLNKb50fb1adf3004910a5b58f80f6798a80" hidden="1">#REF!</definedName>
    <definedName name="MLNKbb9997988c7e4d5989fdf901751706c6" hidden="1">#REF!</definedName>
    <definedName name="MLNKbf2962d1f192480592f12a24c326de63" hidden="1">#REF!</definedName>
    <definedName name="MLNKd43a6bb288ae437b8a7cca92ea0846b1" hidden="1">#REF!</definedName>
    <definedName name="MLNKd8660f1d6f88464aa6f5561405f5308b" hidden="1">#REF!</definedName>
    <definedName name="MLNKde67c6b9ef8f4a74873e5aa33764756b" hidden="1">#REF!</definedName>
    <definedName name="MLNKe3d9c817594648c9953f6d9d2961713a" hidden="1">#REF!</definedName>
    <definedName name="MLNKe902120376984f95b4452192625ba417" hidden="1">#REF!</definedName>
    <definedName name="MLNKef3b868dd7b949c0835009d5467767a6" hidden="1">#REF!</definedName>
    <definedName name="MLNKf165179bf145423aa22b1a3e737edbd1" hidden="1">#REF!</definedName>
    <definedName name="MLNKf41aac381bee4c1a89edc071c2e38def" hidden="1">#REF!</definedName>
    <definedName name="MLNKf5c96bbc4092485dacc6437e9528991b" hidden="1">#REF!</definedName>
    <definedName name="MLNKfa033d0ad96646d5954f223199cd3a06" hidden="1">#REF!</definedName>
    <definedName name="MLNKff065e515ecc437ea0cc8e705f59bfeb" hidden="1">#REF!</definedName>
    <definedName name="mlw" localSheetId="3" hidden="1">{#N/A,#N/A,FALSE,"Pharm";#N/A,#N/A,FALSE,"WWCM"}</definedName>
    <definedName name="mlw" hidden="1">{#N/A,#N/A,FALSE,"Pharm";#N/A,#N/A,FALSE,"WWCM"}</definedName>
    <definedName name="mm">#REF!</definedName>
    <definedName name="mmm" localSheetId="3" hidden="1">{#N/A,#N/A,FALSE,"DCF";#N/A,#N/A,FALSE,"WACC";#N/A,#N/A,FALSE,"Sales_EBIT";#N/A,#N/A,FALSE,"Capex_Depreciation";#N/A,#N/A,FALSE,"WC";#N/A,#N/A,FALSE,"Interest";#N/A,#N/A,FALSE,"Assumptions"}</definedName>
    <definedName name="mmm" hidden="1">{#N/A,#N/A,FALSE,"DCF";#N/A,#N/A,FALSE,"WACC";#N/A,#N/A,FALSE,"Sales_EBIT";#N/A,#N/A,FALSE,"Capex_Depreciation";#N/A,#N/A,FALSE,"WC";#N/A,#N/A,FALSE,"Interest";#N/A,#N/A,FALSE,"Assumptions"}</definedName>
    <definedName name="mmmm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mmmm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mmmmm" localSheetId="3" hidden="1">{"Valuation_Common",#N/A,FALSE,"Valuation"}</definedName>
    <definedName name="mmmmm" hidden="1">{"Valuation_Common",#N/A,FALSE,"Valuation"}</definedName>
    <definedName name="mmmmmm" localSheetId="3" hidden="1">{"Страница 1",#N/A,FALSE,"Модель Интенсивника";"Страница 2",#N/A,FALSE,"Модель Интенсивника";"Страница 3",#N/A,FALSE,"Модель Интенсивника"}</definedName>
    <definedName name="mmmmmm" hidden="1">{"Страница 1",#N/A,FALSE,"Модель Интенсивника";"Страница 2",#N/A,FALSE,"Модель Интенсивника";"Страница 3",#N/A,FALSE,"Модель Интенсивника"}</definedName>
    <definedName name="mmmmmmmm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mmmmmmmm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mmmmmmmmm" localSheetId="3" hidden="1">{#N/A,#N/A,TRUE,"Лист2"}</definedName>
    <definedName name="mmmmmmmmm" hidden="1">{#N/A,#N/A,TRUE,"Лист2"}</definedName>
    <definedName name="mnb">#REF!</definedName>
    <definedName name="mo">#REF!</definedName>
    <definedName name="model" localSheetId="3" hidden="1">{#N/A,#N/A,FALSE,"Rev Grwth";#N/A,#N/A,FALSE,"Op Inc Grwth";#N/A,#N/A,FALSE,"Net Grwth";#N/A,#N/A,FALSE,"EPS Growth"}</definedName>
    <definedName name="model" hidden="1">{#N/A,#N/A,FALSE,"Rev Grwth";#N/A,#N/A,FALSE,"Op Inc Grwth";#N/A,#N/A,FALSE,"Net Grwth";#N/A,#N/A,FALSE,"EPS Growth"}</definedName>
    <definedName name="MOLDING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nnaie">#REF!</definedName>
    <definedName name="Monrep_Year">#REF!</definedName>
    <definedName name="month">#REF!</definedName>
    <definedName name="Month_Actual">#REF!</definedName>
    <definedName name="Month_Budget">#REF!</definedName>
    <definedName name="Monthdate">#REF!</definedName>
    <definedName name="Monthend">#REF!</definedName>
    <definedName name="MonthList" localSheetId="3">{"January","February","March","April","May","June","July","August","September","October","November","December"}</definedName>
    <definedName name="MonthList">{"January","February","March","April","May","June","July","August","September","October","November","December"}</definedName>
    <definedName name="MonthLook">#REF!</definedName>
    <definedName name="MONTHLY">#REF!</definedName>
    <definedName name="Monthly_WC">#REF!</definedName>
    <definedName name="MonthlyDRSite">#REF!</definedName>
    <definedName name="MonthlyPayment" localSheetId="3">-PMT(InterestRate/12,NumberOfPayments,LoanAmount)</definedName>
    <definedName name="MonthlyPayment">-PMT(InterestRate/12,NumberOfPayments,LoanAmount)</definedName>
    <definedName name="MOSACCTMAN">#REF!</definedName>
    <definedName name="Moses" localSheetId="3" hidden="1">{"FCB_ALL",#N/A,FALSE,"FCB"}</definedName>
    <definedName name="Moses" hidden="1">{"FCB_ALL",#N/A,FALSE,"FCB"}</definedName>
    <definedName name="MOSMARKETING">#REF!</definedName>
    <definedName name="MOSMSSUBS">#REF!</definedName>
    <definedName name="MOSPRGMAN">#REF!</definedName>
    <definedName name="MOSPRODDEV">#REF!</definedName>
    <definedName name="MOSTESTDEV">#REF!</definedName>
    <definedName name="Motiv_Bonus">#REF!</definedName>
    <definedName name="motorq1">#REF!</definedName>
    <definedName name="motorq2">#REF!</definedName>
    <definedName name="motorq3">#REF!</definedName>
    <definedName name="motorq4">#REF!</definedName>
    <definedName name="MOVE">#REF!</definedName>
    <definedName name="mth_rep_mth">#REF!</definedName>
    <definedName name="mth_rep_yr">#REF!</definedName>
    <definedName name="mty" localSheetId="3" hidden="1">{#N/A,#N/A,TRUE,"2432"}</definedName>
    <definedName name="mty" hidden="1">{#N/A,#N/A,TRUE,"2432"}</definedName>
    <definedName name="Multiples_Cut_Off">#REF!</definedName>
    <definedName name="Mults02" localSheetId="3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w" localSheetId="3" hidden="1">{#N/A,#N/A,FALSE,"Pharm";#N/A,#N/A,FALSE,"WWCM"}</definedName>
    <definedName name="mw" hidden="1">{#N/A,#N/A,FALSE,"Pharm";#N/A,#N/A,FALSE,"WWCM"}</definedName>
    <definedName name="N">#REF!</definedName>
    <definedName name="naa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ame">#REF!</definedName>
    <definedName name="Name4" localSheetId="3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mes">#REF!</definedName>
    <definedName name="Names_etal">#REF!</definedName>
    <definedName name="Nav">#REF!</definedName>
    <definedName name="naveeds" localSheetId="3" hidden="1">{"CSheet",#N/A,FALSE,"C";"SmCap",#N/A,FALSE,"VAL1";"GulfCoast",#N/A,FALSE,"VAL1";"nav",#N/A,FALSE,"NAV";"Summary",#N/A,FALSE,"NAV"}</definedName>
    <definedName name="naveeds" hidden="1">{"CSheet",#N/A,FALSE,"C";"SmCap",#N/A,FALSE,"VAL1";"GulfCoast",#N/A,FALSE,"VAL1";"nav",#N/A,FALSE,"NAV";"Summary",#N/A,FALSE,"NAV"}</definedName>
    <definedName name="NBGN" hidden="1">#REF!</definedName>
    <definedName name="ncas" localSheetId="3" hidden="1">{"FCB_ALL",#N/A,FALSE,"FCB";"GREY_ALL",#N/A,FALSE,"GREY"}</definedName>
    <definedName name="ncas" hidden="1">{"FCB_ALL",#N/A,FALSE,"FCB";"GREY_ALL",#N/A,FALSE,"GREY"}</definedName>
    <definedName name="Net_Debt">#REF!</definedName>
    <definedName name="Net_Rev_Prod_Line">#REF!</definedName>
    <definedName name="NET_REV1.01">#REF!</definedName>
    <definedName name="NET_REV1.02">#REF!</definedName>
    <definedName name="NET_REV1.03">#REF!</definedName>
    <definedName name="NET_REV1.04">#REF!</definedName>
    <definedName name="NET_REV1.05">#REF!</definedName>
    <definedName name="NET_REV1.06">#REF!</definedName>
    <definedName name="NET_REV1.07">#REF!</definedName>
    <definedName name="NET_REV1.08">#REF!</definedName>
    <definedName name="NET_REV1.09">#REF!</definedName>
    <definedName name="NET_REV1.1">#REF!</definedName>
    <definedName name="NET_REV1.11">#REF!</definedName>
    <definedName name="NET_REV1.12">#REF!</definedName>
    <definedName name="NET_REV2.1">#REF!</definedName>
    <definedName name="NET_REV2.2">#REF!</definedName>
    <definedName name="NET_REV2.3">#REF!</definedName>
    <definedName name="NET_REV2.4">#REF!</definedName>
    <definedName name="NET_REV3.1">#REF!</definedName>
    <definedName name="NET_REV3.2">#REF!</definedName>
    <definedName name="NET_REV3.3">#REF!</definedName>
    <definedName name="NET_REV3.4">#REF!</definedName>
    <definedName name="Net_Sales_Monthly">#REF!</definedName>
    <definedName name="Net_Sales_Quarterly">#REF!</definedName>
    <definedName name="netquote">#REF!</definedName>
    <definedName name="new" localSheetId="3" hidden="1">{#N/A,#N/A,FALSE,"Pharm";#N/A,#N/A,FALSE,"WWCM"}</definedName>
    <definedName name="new" hidden="1">{#N/A,#N/A,FALSE,"Pharm";#N/A,#N/A,FALSE,"WWCM"}</definedName>
    <definedName name="new.summary" localSheetId="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localSheetId="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Check">#REF!</definedName>
    <definedName name="NewDeprPeriod">#REF!</definedName>
    <definedName name="NewGoodwillBS">#REF!</definedName>
    <definedName name="NewGWPeriod">#REF!</definedName>
    <definedName name="NewIntangiblesPeriod">#REF!</definedName>
    <definedName name="newnewnew" localSheetId="3" hidden="1">{#N/A,#N/A,FALSE,"Pharm";#N/A,#N/A,FALSE,"WWCM"}</definedName>
    <definedName name="newnewnew" hidden="1">{#N/A,#N/A,FALSE,"Pharm";#N/A,#N/A,FALSE,"WWCM"}</definedName>
    <definedName name="newOther" localSheetId="3" hidden="1">{#N/A,#N/A,TRUE,"Corp";#N/A,#N/A,TRUE,"Direct";#N/A,#N/A,TRUE,"Allocations"}</definedName>
    <definedName name="newOther" hidden="1">{#N/A,#N/A,TRUE,"Corp";#N/A,#N/A,TRUE,"Direct";#N/A,#N/A,TRUE,"Allocations"}</definedName>
    <definedName name="NewRange" hidden="1">#REF!</definedName>
    <definedName name="NewSharesIssued">#REF!</definedName>
    <definedName name="newt">#REF!</definedName>
    <definedName name="NewTicker">#REF!</definedName>
    <definedName name="nhmyt" hidden="1">#REF!</definedName>
    <definedName name="NI">#REF!</definedName>
    <definedName name="NICHOLE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j" localSheetId="3" hidden="1">{#N/A,#N/A,FALSE,"Cover";#N/A,#N/A,FALSE,"Main";#N/A,#N/A,FALSE,"Guid";#N/A,#N/A,FALSE,"Summary";#N/A,#N/A,FALSE,"Q3"}</definedName>
    <definedName name="nj" hidden="1">{#N/A,#N/A,FALSE,"Cover";#N/A,#N/A,FALSE,"Main";#N/A,#N/A,FALSE,"Guid";#N/A,#N/A,FALSE,"Summary";#N/A,#N/A,FALSE,"Q3"}</definedName>
    <definedName name="nkchnojc">#REF!</definedName>
    <definedName name="nn" localSheetId="3" hidden="1">{#N/A,#N/A,FALSE,"Sheet1";#N/A,#N/A,FALSE,"Sheet2";#N/A,#N/A,FALSE,"Sheet3";#N/A,#N/A,FALSE,"Sheet4";#N/A,#N/A,FALSE,"Sheet5";#N/A,#N/A,FALSE,"Sheet6"}</definedName>
    <definedName name="nn" hidden="1">{#N/A,#N/A,FALSE,"Sheet1";#N/A,#N/A,FALSE,"Sheet2";#N/A,#N/A,FALSE,"Sheet3";#N/A,#N/A,FALSE,"Sheet4";#N/A,#N/A,FALSE,"Sheet5";#N/A,#N/A,FALSE,"Sheet6"}</definedName>
    <definedName name="nnn" localSheetId="3" hidden="1">{#N/A,#N/A,FALSE,"Assessment";#N/A,#N/A,FALSE,"Staffing";#N/A,#N/A,FALSE,"Hires";#N/A,#N/A,FALSE,"Assumptions"}</definedName>
    <definedName name="nnn" hidden="1">{#N/A,#N/A,FALSE,"Assessment";#N/A,#N/A,FALSE,"Staffing";#N/A,#N/A,FALSE,"Hires";#N/A,#N/A,FALSE,"Assumptions"}</definedName>
    <definedName name="nnnnnnn" localSheetId="3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nnnnnnnnnnnn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nnn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nnn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O" localSheetId="3" hidden="1">{"'Sheet1'!$A$1:$J$121"}</definedName>
    <definedName name="NO" hidden="1">{"'Sheet1'!$A$1:$J$121"}</definedName>
    <definedName name="no_1" localSheetId="3" hidden="1">{"'Sheet1'!$A$5:$G$42"}</definedName>
    <definedName name="no_1" hidden="1">{"'Sheet1'!$A$5:$G$42"}</definedName>
    <definedName name="NOBL" localSheetId="3" hidden="1">{"AQUIRORDCF",#N/A,FALSE,"Merger consequences";"Acquirorassns",#N/A,FALSE,"Merger consequences"}</definedName>
    <definedName name="NOBL" hidden="1">{"AQUIRORDCF",#N/A,FALSE,"Merger consequences";"Acquirorassns",#N/A,FALSE,"Merger consequences"}</definedName>
    <definedName name="NonBilledHours_ColumnNo">#REF!</definedName>
    <definedName name="Nope" localSheetId="3" hidden="1">{"'Bellville Acetylene'!$A$1:$L$99"}</definedName>
    <definedName name="Nope" hidden="1">{"'Bellville Acetylene'!$A$1:$L$99"}</definedName>
    <definedName name="normal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e" hidden="1">#REF!</definedName>
    <definedName name="noteesperes" localSheetId="3" hidden="1">{#N/A,#N/A,TRUE,"2432"}</definedName>
    <definedName name="noteesperes" hidden="1">{#N/A,#N/A,TRUE,"2432"}</definedName>
    <definedName name="nothegsd" localSheetId="3" hidden="1">{"Summary",#N/A,FALSE,"Details (2)"}</definedName>
    <definedName name="nothegsd" hidden="1">{"Summary",#N/A,FALSE,"Details (2)"}</definedName>
    <definedName name="nouv" localSheetId="3" hidden="1">{#N/A,#N/A,FALSE,"Pharm";#N/A,#N/A,FALSE,"WWCM"}</definedName>
    <definedName name="nouv" hidden="1">{#N/A,#N/A,FALSE,"Pharm";#N/A,#N/A,FALSE,"WWCM"}</definedName>
    <definedName name="NPV">#REF!</definedName>
    <definedName name="NPV_Comb_1">#REF!</definedName>
    <definedName name="NPV_Comb_2">#REF!</definedName>
    <definedName name="NPV_Priv_1">#REF!</definedName>
    <definedName name="NPV_Priv_2">#REF!</definedName>
    <definedName name="NPV_Pub_1">#REF!</definedName>
    <definedName name="NPV_Pub_2">#REF!</definedName>
    <definedName name="NQQuotes">#REF!</definedName>
    <definedName name="Num_Pmt_Per_Year">#REF!</definedName>
    <definedName name="Number_of_Payments" localSheetId="3">MATCH(0.01,End_Bal,-1)+1</definedName>
    <definedName name="Number_of_Payments">MATCH(0.01,End_Bal,-1)+1</definedName>
    <definedName name="NumberOfPayments">#REF!</definedName>
    <definedName name="Numco_Accounts">OFFSET(#REF!,1,0,COUNTA(#REF!)-1,2)</definedName>
    <definedName name="NumcoA">"Numco_A"</definedName>
    <definedName name="NumcoABase" localSheetId="3">INDIRECT("'"&amp;NumcoA&amp;"'!$b$2")</definedName>
    <definedName name="NumcoABase">INDIRECT("'"&amp;NumcoA&amp;"'!$b$2")</definedName>
    <definedName name="NumcoACount" localSheetId="3">MAX(COUNTA(OFFSET('Locations Data'!NumcoABase,1,0,1000,1)),1)</definedName>
    <definedName name="NumcoACount">MAX(COUNTA(OFFSET(NumcoABase,1,0,1000,1)),1)</definedName>
    <definedName name="NumcoACredits" localSheetId="3">OFFSET('Locations Data'!NumcoABase,1,IF(ISBLANK(OFFSET('Locations Data'!NumcoABase,0,3)),4,3),'Locations Data'!NumcoACount,1)</definedName>
    <definedName name="NumcoACredits">OFFSET(NumcoABase,1,IF(ISBLANK(OFFSET(NumcoABase,0,3)),4,3),NumcoACount,1)</definedName>
    <definedName name="NumcoADebits" localSheetId="3">OFFSET('Locations Data'!NumcoABase,1,2,'Locations Data'!NumcoACount,1)</definedName>
    <definedName name="NumcoADebits">OFFSET(NumcoABase,1,2,NumcoACount,1)</definedName>
    <definedName name="NumcoALines" localSheetId="3">OFFSET('Locations Data'!NumcoABase,1,1,'Locations Data'!NumcoACount,1)</definedName>
    <definedName name="NumcoALines">OFFSET(NumcoABase,1,1,NumcoACount,1)</definedName>
    <definedName name="NumcoB">"Numco_B"</definedName>
    <definedName name="NumcoBBase" localSheetId="3">INDIRECT("'"&amp;NumcoB&amp;"'!$b$2")</definedName>
    <definedName name="NumcoBBase">INDIRECT("'"&amp;NumcoB&amp;"'!$b$2")</definedName>
    <definedName name="NumcoBCount" localSheetId="3">MAX(COUNTA(OFFSET('Locations Data'!NumcoBBase,1,0,1000,1)),1)</definedName>
    <definedName name="NumcoBCount">MAX(COUNTA(OFFSET(NumcoBBase,1,0,1000,1)),1)</definedName>
    <definedName name="NumcoBCredits" localSheetId="3">OFFSET('Locations Data'!NumcoBBase,1,IF(ISBLANK(OFFSET('Locations Data'!NumcoBBase,0,3)),4,3),'Locations Data'!NumcoBCount,1)</definedName>
    <definedName name="NumcoBCredits">OFFSET(NumcoBBase,1,IF(ISBLANK(OFFSET(NumcoBBase,0,3)),4,3),NumcoBCount,1)</definedName>
    <definedName name="NumcoBDebits" localSheetId="3">OFFSET('Locations Data'!NumcoBBase,1,2,'Locations Data'!NumcoBCount,1)</definedName>
    <definedName name="NumcoBDebits">OFFSET(NumcoBBase,1,2,NumcoBCount,1)</definedName>
    <definedName name="NumcoBLines" localSheetId="3">OFFSET('Locations Data'!NumcoBBase,1,1,'Locations Data'!NumcoBCount,1)</definedName>
    <definedName name="NumcoBLines">OFFSET(NumcoBBase,1,1,NumcoBCount,1)</definedName>
    <definedName name="NumcoY">"Numco_Y"</definedName>
    <definedName name="NumcoYBase" localSheetId="3">INDIRECT("'"&amp;NumcoY&amp;"'!$b$2")</definedName>
    <definedName name="NumcoYBase">INDIRECT("'"&amp;NumcoY&amp;"'!$b$2")</definedName>
    <definedName name="NumcoYCount" localSheetId="3">MAX(COUNTA(OFFSET('Locations Data'!NumcoYBase,1,0,1000,1)),1)</definedName>
    <definedName name="NumcoYCount">MAX(COUNTA(OFFSET(NumcoYBase,1,0,1000,1)),1)</definedName>
    <definedName name="NumcoYCredits" localSheetId="3">OFFSET('Locations Data'!NumcoYBase,1,IF(ISBLANK(OFFSET('Locations Data'!NumcoYBase,0,3)),4,3),'Locations Data'!NumcoYCount,1)</definedName>
    <definedName name="NumcoYCredits">OFFSET(NumcoYBase,1,IF(ISBLANK(OFFSET(NumcoYBase,0,3)),4,3),NumcoYCount,1)</definedName>
    <definedName name="NumcoYDebits" localSheetId="3">OFFSET('Locations Data'!NumcoYBase,1,2,'Locations Data'!NumcoYCount,1)</definedName>
    <definedName name="NumcoYDebits">OFFSET(NumcoYBase,1,2,NumcoYCount,1)</definedName>
    <definedName name="NumcoYLines" localSheetId="3">OFFSET('Locations Data'!NumcoYBase,1,1,'Locations Data'!NumcoYCount,1)</definedName>
    <definedName name="NumcoYLines">OFFSET(NumcoYBase,1,1,NumcoYCount,1)</definedName>
    <definedName name="NumcoZ">"Numco_Z"</definedName>
    <definedName name="NumcoZBase" localSheetId="3">INDIRECT("'"&amp;NumcoZ&amp;"'!$b$2")</definedName>
    <definedName name="NumcoZBase">INDIRECT("'"&amp;NumcoZ&amp;"'!$b$2")</definedName>
    <definedName name="NumcoZCount" localSheetId="3">MAX(COUNTA(OFFSET('Locations Data'!NumcoZBase,1,0,1000,1)),1)</definedName>
    <definedName name="NumcoZCount">MAX(COUNTA(OFFSET(NumcoZBase,1,0,1000,1)),1)</definedName>
    <definedName name="NumcoZCredits" localSheetId="3">OFFSET('Locations Data'!NumcoZBase,1,IF(ISBLANK(OFFSET('Locations Data'!NumcoZBase,0,3)),4,3),'Locations Data'!NumcoZCount,1)</definedName>
    <definedName name="NumcoZCredits">OFFSET(NumcoZBase,1,IF(ISBLANK(OFFSET(NumcoZBase,0,3)),4,3),NumcoZCount,1)</definedName>
    <definedName name="NumcoZDebits" localSheetId="3">OFFSET('Locations Data'!NumcoZBase,1,2,'Locations Data'!NumcoZCount,1)</definedName>
    <definedName name="NumcoZDebits">OFFSET(NumcoZBase,1,2,NumcoZCount,1)</definedName>
    <definedName name="NumcoZLines" localSheetId="3">OFFSET('Locations Data'!NumcoZBase,1,1,'Locations Data'!NumcoZCount,1)</definedName>
    <definedName name="NumcoZLines">OFFSET(NumcoZBase,1,1,NumcoZCount,1)</definedName>
    <definedName name="NvsASD">"V2005-10-31"</definedName>
    <definedName name="NvsAutoDrillOk">"VN"</definedName>
    <definedName name="NvsElapsedTime">0.0000578703766223043</definedName>
    <definedName name="NvsEndTime">38656.5203703704</definedName>
    <definedName name="NvsInstLang">"VENG"</definedName>
    <definedName name="NvsInstSpec">"%,FDEPTID,TREPORT_SOUTH_2006,NPHOENIX DATA CENTER"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"%,X,RZT.ACCOUNT.R00B,CZF..C00B"</definedName>
    <definedName name="NvsPanelBusUnit">"V"</definedName>
    <definedName name="NvsPanelEffdt">"V2002-01-01"</definedName>
    <definedName name="NvsPanelSetid">"VCGI00"</definedName>
    <definedName name="NvsReqBU">"V70013"</definedName>
    <definedName name="NvsReqBUOnly">"VN"</definedName>
    <definedName name="NvsStyleNme">"Classical2.xls"</definedName>
    <definedName name="NvsTransLed">"VN"</definedName>
    <definedName name="NvsTreeASD">"V2005-10-31"</definedName>
    <definedName name="NvsValTbl.ACCOUNT">"GL_ACCOUNT_TBL"</definedName>
    <definedName name="NvsValTbl.AFFILIATE">"AFFILIATE_VW"</definedName>
    <definedName name="NvsValTbl.DEPTID">"DEPARTMENT_TBL"</definedName>
    <definedName name="O">#REF!</definedName>
    <definedName name="obl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CT" hidden="1">#REF!</definedName>
    <definedName name="Offer_Price">#REF!</definedName>
    <definedName name="OfferPremium">#REF!</definedName>
    <definedName name="OfferPrice">#REF!</definedName>
    <definedName name="offerpricetest">#REF!</definedName>
    <definedName name="OfferValueInTgtCurr">#REF!</definedName>
    <definedName name="oh_sum" localSheetId="3" hidden="1">{#N/A,#N/A,FALSE,"PRO FORMA FINANCIALS"}</definedName>
    <definedName name="oh_sum" hidden="1">{#N/A,#N/A,FALSE,"PRO FORMA FINANCIALS"}</definedName>
    <definedName name="oh_sum1" localSheetId="3" hidden="1">{#N/A,#N/A,FALSE,"PRO FORMA FINANCIALS"}</definedName>
    <definedName name="oh_sum1" hidden="1">{#N/A,#N/A,FALSE,"PRO FORMA FINANCIALS"}</definedName>
    <definedName name="OilFuturesPrices">#REF!</definedName>
    <definedName name="oiwea" localSheetId="3" hidden="1">{"FCB_ALL",#N/A,FALSE,"FCB";"GREY_ALL",#N/A,FALSE,"GREY"}</definedName>
    <definedName name="oiwea" hidden="1">{"FCB_ALL",#N/A,FALSE,"FCB";"GREY_ALL",#N/A,FALSE,"GREY"}</definedName>
    <definedName name="OK" localSheetId="3" hidden="1">{#N/A,#N/A,FALSE,"REPORT"}</definedName>
    <definedName name="OK" hidden="1">{#N/A,#N/A,FALSE,"REPORT"}</definedName>
    <definedName name="oke">#REF!</definedName>
    <definedName name="OLA">#REF!</definedName>
    <definedName name="old" localSheetId="3" hidden="1">{"AQUIRORDCF",#N/A,FALSE,"Merger consequences";"Acquirorassns",#N/A,FALSE,"Merger consequences"}</definedName>
    <definedName name="old" hidden="1">{"AQUIRORDCF",#N/A,FALSE,"Merger consequences";"Acquirorassns",#N/A,FALSE,"Merger consequences"}</definedName>
    <definedName name="OLE_LINK1">#REF!</definedName>
    <definedName name="OLEChartName">#REF!</definedName>
    <definedName name="olepos">#REF!</definedName>
    <definedName name="OLEPosition">#REF!</definedName>
    <definedName name="ont">#REF!</definedName>
    <definedName name="oo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o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oo" localSheetId="3" hidden="1">{#N/A,#N/A,FALSE,"REPORT"}</definedName>
    <definedName name="ooo" hidden="1">{#N/A,#N/A,FALSE,"REPORT"}</definedName>
    <definedName name="oooooo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ooooo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P" localSheetId="3" hidden="1">{"Summary",#N/A,FALSE,"Details (2)"}</definedName>
    <definedName name="OP" hidden="1">{"Summary",#N/A,FALSE,"Details (2)"}</definedName>
    <definedName name="ope">#REF!</definedName>
    <definedName name="open" hidden="1">#REF!</definedName>
    <definedName name="OPER" localSheetId="3" hidden="1">{"SUM",#N/A,FALSE,"Details (2)"}</definedName>
    <definedName name="OPER" hidden="1">{"SUM",#N/A,FALSE,"Details (2)"}</definedName>
    <definedName name="Operating_Expense">#REF!</definedName>
    <definedName name="Operating_expenses">#REF!</definedName>
    <definedName name="Operating1">#REF!</definedName>
    <definedName name="OperativePlanung" localSheetId="3" hidden="1">{#N/A,#N/A,FALSE,"Mittelherkunft";#N/A,#N/A,FALSE,"Mittelverwendung"}</definedName>
    <definedName name="OperativePlanung" hidden="1">{#N/A,#N/A,FALSE,"Mittelherkunft";#N/A,#N/A,FALSE,"Mittelverwendung"}</definedName>
    <definedName name="OperatorServicesFi" localSheetId="3" hidden="1">{"SUM",#N/A,FALSE,"Details (2)"}</definedName>
    <definedName name="OperatorServicesFi" hidden="1">{"SUM",#N/A,FALSE,"Details (2)"}</definedName>
    <definedName name="options">#REF!</definedName>
    <definedName name="order_Ahga">#REF!</definedName>
    <definedName name="order_contract">#REF!</definedName>
    <definedName name="order_cube">#REF!</definedName>
    <definedName name="order_hga">#REF!</definedName>
    <definedName name="order_horiz">#REF!</definedName>
    <definedName name="order_MAC">#REF!</definedName>
    <definedName name="order_scen">#REF!</definedName>
    <definedName name="order_service">#REF!</definedName>
    <definedName name="order_VM">#REF!</definedName>
    <definedName name="OT">#REF!</definedName>
    <definedName name="Other_Direct_Costs_Actual">#REF!</definedName>
    <definedName name="Other_Direct_Costs_Budget">#REF!</definedName>
    <definedName name="other33" localSheetId="3" hidden="1">{#N/A,#N/A,FALSE,"Pharm";#N/A,#N/A,FALSE,"WWCM"}</definedName>
    <definedName name="other33" hidden="1">{#N/A,#N/A,FALSE,"Pharm";#N/A,#N/A,FALSE,"WWCM"}</definedName>
    <definedName name="OtherD">#REF!</definedName>
    <definedName name="othermar" localSheetId="3" hidden="1">{#N/A,#N/A,FALSE,"Pharm";#N/A,#N/A,FALSE,"WWCM"}</definedName>
    <definedName name="othermar" hidden="1">{#N/A,#N/A,FALSE,"Pharm";#N/A,#N/A,FALSE,"WWCM"}</definedName>
    <definedName name="OtherMods">#REF!,#REF!,#REF!</definedName>
    <definedName name="ouhio" localSheetId="3" hidden="1">{"Summary",#N/A,FALSE,"Details (2)"}</definedName>
    <definedName name="ouhio" hidden="1">{"Summary",#N/A,FALSE,"Details (2)"}</definedName>
    <definedName name="Outlook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head_Allocation_Percentages">#REF!</definedName>
    <definedName name="Overtime_rate_for_tech_personnel">#REF!</definedName>
    <definedName name="Ownership">#REF!</definedName>
    <definedName name="P">#REF!</definedName>
    <definedName name="p.DCF" hidden="1">#REF!</definedName>
    <definedName name="p.DCF_Titles" hidden="1">#REF!</definedName>
    <definedName name="p.kh" localSheetId="3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_area">#REF!</definedName>
    <definedName name="P_titles">#REF!</definedName>
    <definedName name="PA">#REF!</definedName>
    <definedName name="PAGE_A">#REF!</definedName>
    <definedName name="PAGE7">#REF!</definedName>
    <definedName name="PAGE8">#REF!</definedName>
    <definedName name="PAGE9">#REF!</definedName>
    <definedName name="PageNumber" hidden="1">#REF!</definedName>
    <definedName name="PAI_Accounts">OFFSET(#REF!,1,0,COUNTA(#REF!)-1,2)</definedName>
    <definedName name="PAI_CDP_USD">#REF!</definedName>
    <definedName name="PaiA">"PAI_A"</definedName>
    <definedName name="PaiABase" localSheetId="3">INDIRECT("'"&amp;PaiA&amp;"'!$b$2")</definedName>
    <definedName name="PaiABase">INDIRECT("'"&amp;PaiA&amp;"'!$b$2")</definedName>
    <definedName name="PaiACount" localSheetId="3">COUNTA(OFFSET('Locations Data'!PaiABase,1,0,1000,1))</definedName>
    <definedName name="PaiACount">COUNTA(OFFSET(PaiABase,1,0,1000,1))</definedName>
    <definedName name="PaiACredits" localSheetId="3">OFFSET('Locations Data'!PaiABase,1,IF(ISBLANK(OFFSET('Locations Data'!PaiABase,0,3)),4,3),'Locations Data'!PaiACount,1)</definedName>
    <definedName name="PaiACredits">OFFSET(PaiABase,1,IF(ISBLANK(OFFSET(PaiABase,0,3)),4,3),PaiACount,1)</definedName>
    <definedName name="PaiADebits" localSheetId="3">OFFSET('Locations Data'!PaiABase,1,2,'Locations Data'!PaiACount,1)</definedName>
    <definedName name="PaiADebits">OFFSET(PaiABase,1,2,PaiACount,1)</definedName>
    <definedName name="PaiALines" localSheetId="3">OFFSET('Locations Data'!PaiABase,1,1,'Locations Data'!PaiACount,1)</definedName>
    <definedName name="PaiALines">OFFSET(PaiABase,1,1,PaiACount,1)</definedName>
    <definedName name="PaiB">"PAI_B"</definedName>
    <definedName name="PaiBBase" localSheetId="3">INDIRECT("'"&amp;PaiB&amp;"'!$b$2")</definedName>
    <definedName name="PaiBBase">INDIRECT("'"&amp;PaiB&amp;"'!$b$2")</definedName>
    <definedName name="PaiBCount" localSheetId="3">COUNTA(OFFSET('Locations Data'!PaiBBase,1,0,1000,1))</definedName>
    <definedName name="PaiBCount">COUNTA(OFFSET(PaiBBase,1,0,1000,1))</definedName>
    <definedName name="PaiBCredits" localSheetId="3">OFFSET('Locations Data'!PaiBBase,1,IF(ISBLANK(OFFSET('Locations Data'!PaiBBase,0,3)),4,3),'Locations Data'!PaiBCount,1)</definedName>
    <definedName name="PaiBCredits">OFFSET(PaiBBase,1,IF(ISBLANK(OFFSET(PaiBBase,0,3)),4,3),PaiBCount,1)</definedName>
    <definedName name="PaiBDebits" localSheetId="3">OFFSET('Locations Data'!PaiBBase,1,2,'Locations Data'!PaiBCount,1)</definedName>
    <definedName name="PaiBDebits">OFFSET(PaiBBase,1,2,PaiBCount,1)</definedName>
    <definedName name="PaiBLines" localSheetId="3">OFFSET('Locations Data'!PaiBBase,1,1,'Locations Data'!PaiBCount,1)</definedName>
    <definedName name="PaiBLines">OFFSET(PaiBBase,1,1,PaiBCount,1)</definedName>
    <definedName name="PaiY">"PAI_Y"</definedName>
    <definedName name="PaiYBase" localSheetId="3">INDIRECT("'"&amp;PaiY&amp;"'!$b$2")</definedName>
    <definedName name="PaiYBase">INDIRECT("'"&amp;PaiY&amp;"'!$b$2")</definedName>
    <definedName name="PaiYCount" localSheetId="3">MAX(COUNTA(OFFSET('Locations Data'!PaiYBase,1,0,1000,1)),1)</definedName>
    <definedName name="PaiYCount">MAX(COUNTA(OFFSET(PaiYBase,1,0,1000,1)),1)</definedName>
    <definedName name="PaiYCredits" localSheetId="3">OFFSET('Locations Data'!PaiYBase,1,IF(ISBLANK(OFFSET('Locations Data'!PaiYBase,0,3)),4,3),'Locations Data'!PaiYCount,1)</definedName>
    <definedName name="PaiYCredits">OFFSET(PaiYBase,1,IF(ISBLANK(OFFSET(PaiYBase,0,3)),4,3),PaiYCount,1)</definedName>
    <definedName name="PaiYDebits" localSheetId="3">OFFSET('Locations Data'!PaiYBase,1,2,'Locations Data'!PaiYCount,1)</definedName>
    <definedName name="PaiYDebits">OFFSET(PaiYBase,1,2,PaiYCount,1)</definedName>
    <definedName name="PaiYLines" localSheetId="3">OFFSET('Locations Data'!PaiYBase,1,1,'Locations Data'!PaiYCount,1)</definedName>
    <definedName name="PaiYLines">OFFSET(PaiYBase,1,1,PaiYCount,1)</definedName>
    <definedName name="PaiZ">"PAI_Z"</definedName>
    <definedName name="PaiZBase" localSheetId="3">INDIRECT("'"&amp;PaiZ&amp;"'!$b$2")</definedName>
    <definedName name="PaiZBase">INDIRECT("'"&amp;PaiZ&amp;"'!$b$2")</definedName>
    <definedName name="PaiZCount" localSheetId="3">MAX(COUNTA(OFFSET('Locations Data'!PaiZBase,1,0,1000,1)),1)</definedName>
    <definedName name="PaiZCount">MAX(COUNTA(OFFSET(PaiZBase,1,0,1000,1)),1)</definedName>
    <definedName name="PaiZCredits" localSheetId="3">OFFSET('Locations Data'!PaiZBase,1,IF(ISBLANK(OFFSET('Locations Data'!PaiZBase,0,3)),4,3),'Locations Data'!PaiZCount,1)</definedName>
    <definedName name="PaiZCredits">OFFSET(PaiZBase,1,IF(ISBLANK(OFFSET(PaiZBase,0,3)),4,3),PaiZCount,1)</definedName>
    <definedName name="PaiZDebits" localSheetId="3">OFFSET('Locations Data'!PaiZBase,1,2,'Locations Data'!PaiZCount,1)</definedName>
    <definedName name="PaiZDebits">OFFSET(PaiZBase,1,2,PaiZCount,1)</definedName>
    <definedName name="PaiZLines" localSheetId="3">OFFSET('Locations Data'!PaiZBase,1,1,'Locations Data'!PaiZCount,1)</definedName>
    <definedName name="PaiZLines">OFFSET(PaiZBase,1,1,PaiZCount,1)</definedName>
    <definedName name="Pal_Workbook_GUID" hidden="1">"HNH99FCTGNID97N7H983PKGE"</definedName>
    <definedName name="PAR">#REF!</definedName>
    <definedName name="PartResSat_Note_Act">#REF!</definedName>
    <definedName name="PartResSat_Note_Pre">#REF!</definedName>
    <definedName name="PassWord" hidden="1">"clean1"</definedName>
    <definedName name="PassWord2" hidden="1">"DELETE"</definedName>
    <definedName name="Paulie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y_Method">#REF!</definedName>
    <definedName name="Pay_Method_Fees">#REF!</definedName>
    <definedName name="Pay_Num">#REF!</definedName>
    <definedName name="Payment_Date" localSheetId="3">DATE(YEAR(Loan_Start),MONTH(Loan_Start)+Payment_Number,DAY(Loan_Start))</definedName>
    <definedName name="Payment_Date">DATE(YEAR(Loan_Start),MONTH(Loan_Start)+Payment_Number,DAY(Loan_Start))</definedName>
    <definedName name="PaymentDate" localSheetId="3">DATE(YEAR(LoanStartDate),MONTH(LoanStartDate)+'Locations Data'!PaymentNumber,DAY(LoanStartDate))</definedName>
    <definedName name="PaymentDate">DATE(YEAR(LoanStartDate),MONTH(LoanStartDate)+PaymentNumber,DAY(LoanStartDate))</definedName>
    <definedName name="PaymentNumber" localSheetId="3">ROW()-HeaderRow</definedName>
    <definedName name="PaymentNumber">ROW()-HeaderRow</definedName>
    <definedName name="PaymentsPerYear">#REF!</definedName>
    <definedName name="PCAPrices">#REF!</definedName>
    <definedName name="PDM" localSheetId="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erNames">#REF!</definedName>
    <definedName name="peernames0">#REF!</definedName>
    <definedName name="peertichek">#REF!</definedName>
    <definedName name="PeerTickers">#REF!</definedName>
    <definedName name="Pensions">#REF!</definedName>
    <definedName name="pepe" localSheetId="3" hidden="1">{#N/A,#N/A,FALSE,"Pharm";#N/A,#N/A,FALSE,"WWCM"}</definedName>
    <definedName name="pepe" hidden="1">{#N/A,#N/A,FALSE,"Pharm";#N/A,#N/A,FALSE,"WWCM"}</definedName>
    <definedName name="PEPE4" localSheetId="3" hidden="1">{#N/A,#N/A,FALSE,"Pharm";#N/A,#N/A,FALSE,"WWCM"}</definedName>
    <definedName name="PEPE4" hidden="1">{#N/A,#N/A,FALSE,"Pharm";#N/A,#N/A,FALSE,"WWCM"}</definedName>
    <definedName name="PEPE5" localSheetId="3" hidden="1">{#N/A,#N/A,FALSE,"Pharm";#N/A,#N/A,FALSE,"WWCM"}</definedName>
    <definedName name="PEPE5" hidden="1">{#N/A,#N/A,FALSE,"Pharm";#N/A,#N/A,FALSE,"WWCM"}</definedName>
    <definedName name="pepe6" localSheetId="3" hidden="1">{#N/A,#N/A,TRUE,"2432"}</definedName>
    <definedName name="pepe6" hidden="1">{#N/A,#N/A,TRUE,"2432"}</definedName>
    <definedName name="perate" localSheetId="3" hidden="1">{#N/A,#N/A,TRUE,"2432"}</definedName>
    <definedName name="perate" hidden="1">{#N/A,#N/A,TRUE,"2432"}</definedName>
    <definedName name="perbolag" localSheetId="3" hidden="1">{#N/A,#N/A,FALSE,"intag";#N/A,#N/A,FALSE,"budg";#N/A,#N/A,FALSE,"samtl"}</definedName>
    <definedName name="perbolag" hidden="1">{#N/A,#N/A,FALSE,"intag";#N/A,#N/A,FALSE,"budg";#N/A,#N/A,FALSE,"samtl"}</definedName>
    <definedName name="percent_cash">#REF!</definedName>
    <definedName name="percent_inc">#REF!</definedName>
    <definedName name="Period">#REF!</definedName>
    <definedName name="Period_01">#REF!</definedName>
    <definedName name="Period_02">#REF!</definedName>
    <definedName name="Period_03">#REF!</definedName>
    <definedName name="Period_04">#REF!</definedName>
    <definedName name="Period_05">#REF!</definedName>
    <definedName name="Period_06">#REF!</definedName>
    <definedName name="Period_07">#REF!</definedName>
    <definedName name="Period_08">#REF!</definedName>
    <definedName name="Period_09">#REF!</definedName>
    <definedName name="Period_1">#REF!</definedName>
    <definedName name="Period_10">#REF!</definedName>
    <definedName name="Period_10Description">#REF!</definedName>
    <definedName name="Period_11">#REF!</definedName>
    <definedName name="Period_12">#REF!</definedName>
    <definedName name="Period_1Description">#REF!</definedName>
    <definedName name="Period_2">#REF!</definedName>
    <definedName name="Period_2Description">#REF!</definedName>
    <definedName name="Period_3">#REF!</definedName>
    <definedName name="Period_3Description">#REF!</definedName>
    <definedName name="Period_4">#REF!</definedName>
    <definedName name="Period_4Description">#REF!</definedName>
    <definedName name="Period_5">#REF!</definedName>
    <definedName name="Period_5Description">#REF!</definedName>
    <definedName name="Period_6">#REF!</definedName>
    <definedName name="Period_6Description">#REF!</definedName>
    <definedName name="Period_7">#REF!</definedName>
    <definedName name="Period_7Description">#REF!</definedName>
    <definedName name="Period_8">#REF!</definedName>
    <definedName name="Period_8Description">#REF!</definedName>
    <definedName name="Period_9">#REF!</definedName>
    <definedName name="Period_9Description">#REF!</definedName>
    <definedName name="period_master">#REF!</definedName>
    <definedName name="PeriodeEmploi">AND(#REF!&lt;=#REF!,#REF!&gt;=DATE(#REF!,1,1),#REF!&lt;=#REF!)</definedName>
    <definedName name="PeriodEnd_1">#REF!</definedName>
    <definedName name="PeriodEnd_10">#REF!</definedName>
    <definedName name="PeriodEnd_10Description">#REF!</definedName>
    <definedName name="PeriodEnd_1Description">#REF!</definedName>
    <definedName name="PeriodEnd_2">#REF!</definedName>
    <definedName name="PeriodEnd_2Description">#REF!</definedName>
    <definedName name="PeriodEnd_3">#REF!</definedName>
    <definedName name="PeriodEnd_3Description">#REF!</definedName>
    <definedName name="PeriodEnd_4">#REF!</definedName>
    <definedName name="PeriodEnd_4Description">#REF!</definedName>
    <definedName name="PeriodEnd_5">#REF!</definedName>
    <definedName name="PeriodEnd_5Description">#REF!</definedName>
    <definedName name="PeriodEnd_6">#REF!</definedName>
    <definedName name="PeriodEnd_6Description">#REF!</definedName>
    <definedName name="PeriodEnd_7">#REF!</definedName>
    <definedName name="PeriodEnd_7Description">#REF!</definedName>
    <definedName name="PeriodEnd_8">#REF!</definedName>
    <definedName name="PeriodEnd_8Description">#REF!</definedName>
    <definedName name="PeriodEnd_9">#REF!</definedName>
    <definedName name="PeriodEnd_9Description">#REF!</definedName>
    <definedName name="PeriodesDePaieTravaille">AND(#REF!&lt;=53,#REF!&lt;=#REF!)</definedName>
    <definedName name="PeriodName">#REF!</definedName>
    <definedName name="PeriodPaieTravail_BiEtMens">#REF!&lt;=IF(#REF!="bimensuelles",ROUND(((#REF!-#REF!-2)/14),0),IF(#REF!="mensuelles",ROUND(((#REF!-#REF!-2)/30),0),0))</definedName>
    <definedName name="PeriodPaieTravail_SemEtQuinz">#REF!&lt;=IF(#REF!="par semaine",ROUND(((#REF!-#REF!+2)/7),0),IF(#REF!="aux quinzaines",ROUND(((#REF!-#REF!+2)/15),0),0))</definedName>
    <definedName name="perr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localSheetId="3" hidden="1">{#N/A,#N/A,TRUE,"2432"}</definedName>
    <definedName name="perr1" hidden="1">{#N/A,#N/A,TRUE,"2432"}</definedName>
    <definedName name="perr2" localSheetId="3" hidden="1">{#N/A,#N/A,TRUE,"2432"}</definedName>
    <definedName name="perr2" hidden="1">{#N/A,#N/A,TRUE,"2432"}</definedName>
    <definedName name="perr3" localSheetId="3" hidden="1">{#N/A,#N/A,TRUE,"2432"}</definedName>
    <definedName name="perr3" hidden="1">{#N/A,#N/A,TRUE,"2432"}</definedName>
    <definedName name="perr4" localSheetId="3" hidden="1">{#N/A,#N/A,TRUE,"2432"}</definedName>
    <definedName name="perr4" hidden="1">{#N/A,#N/A,TRUE,"2432"}</definedName>
    <definedName name="perr6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localSheetId="3" hidden="1">{#N/A,#N/A,TRUE,"2432"}</definedName>
    <definedName name="perr7" hidden="1">{#N/A,#N/A,TRUE,"2432"}</definedName>
    <definedName name="perro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teRep_Note_Fed">#REF!</definedName>
    <definedName name="PerteRep_note_Prov">#REF!</definedName>
    <definedName name="PeterTEST" localSheetId="3" hidden="1">{#N/A,#N/A,TRUE,"Acq-Ass";#N/A,#N/A,TRUE,"Acq-IS";#N/A,#N/A,TRUE,"Acq-BS";#N/A,#N/A,TRUE,"Acq-CF"}</definedName>
    <definedName name="PeterTEST" hidden="1">{#N/A,#N/A,TRUE,"Acq-Ass";#N/A,#N/A,TRUE,"Acq-IS";#N/A,#N/A,TRUE,"Acq-BS";#N/A,#N/A,TRUE,"Acq-CF"}</definedName>
    <definedName name="PFM">#REF!</definedName>
    <definedName name="PFPIS09">#REF!</definedName>
    <definedName name="pharma" localSheetId="3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IS">#REF!</definedName>
    <definedName name="PISYear">#REF!</definedName>
    <definedName name="Pitchbook" localSheetId="3" hidden="1">{#N/A,#N/A,TRUE,"Sheet16"}</definedName>
    <definedName name="Pitchbook" hidden="1">{#N/A,#N/A,TRUE,"Sheet16"}</definedName>
    <definedName name="Pivot">#REF!</definedName>
    <definedName name="Pivot2">#REF!</definedName>
    <definedName name="pj" localSheetId="3" hidden="1">{#N/A,#N/A,FALSE,"Sheet1";#N/A,#N/A,FALSE,"Sheet2";#N/A,#N/A,FALSE,"Sheet3";#N/A,#N/A,FALSE,"Sheet4";#N/A,#N/A,FALSE,"Sheet5";#N/A,#N/A,FALSE,"Sheet6"}</definedName>
    <definedName name="pj" hidden="1">{#N/A,#N/A,FALSE,"Sheet1";#N/A,#N/A,FALSE,"Sheet2";#N/A,#N/A,FALSE,"Sheet3";#N/A,#N/A,FALSE,"Sheet4";#N/A,#N/A,FALSE,"Sheet5";#N/A,#N/A,FALSE,"Sheet6"}</definedName>
    <definedName name="pl" localSheetId="3" hidden="1">{#N/A,#N/A,FALSE,"REPORT"}</definedName>
    <definedName name="pl" hidden="1">{#N/A,#N/A,FALSE,"REPORT"}</definedName>
    <definedName name="PL_Accounts">#REF!</definedName>
    <definedName name="PL_Ahga">#REF!</definedName>
    <definedName name="PL_contract">#REF!</definedName>
    <definedName name="PL_Description">#REF!</definedName>
    <definedName name="PL_hga">#REF!</definedName>
    <definedName name="PL_Horiz">#REF!</definedName>
    <definedName name="PL_Scen">#REF!</definedName>
    <definedName name="PL_service">#REF!</definedName>
    <definedName name="PL_VM">#REF!</definedName>
    <definedName name="Plac_note_act">#REF!</definedName>
    <definedName name="Plac_note_Pre">#REF!</definedName>
    <definedName name="plan2" localSheetId="3" hidden="1">{"'Sheet1'!$A$5:$G$42"}</definedName>
    <definedName name="plan2" hidden="1">{"'Sheet1'!$A$5:$G$42"}</definedName>
    <definedName name="Planner" localSheetId="3" hidden="1">{#N/A,#N/A,TRUE,"2432"}</definedName>
    <definedName name="Planner" hidden="1">{#N/A,#N/A,TRUE,"2432"}</definedName>
    <definedName name="Plastics" localSheetId="3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LCepi" localSheetId="3" hidden="1">{#N/A,#N/A,FALSE,"REPORT"}</definedName>
    <definedName name="PLCepi" hidden="1">{#N/A,#N/A,FALSE,"REPORT"}</definedName>
    <definedName name="plo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localSheetId="3" hidden="1">{#N/A,#N/A,FALSE,"REPORT"}</definedName>
    <definedName name="PLProcef" hidden="1">{#N/A,#N/A,FALSE,"REPORT"}</definedName>
    <definedName name="PLTaxol" localSheetId="3" hidden="1">{#N/A,#N/A,FALSE,"REPORT"}</definedName>
    <definedName name="PLTaxol" hidden="1">{#N/A,#N/A,FALSE,"REPORT"}</definedName>
    <definedName name="Pnl" localSheetId="3" hidden="1">{#N/A,#N/A,FALSE,"Pharm";#N/A,#N/A,FALSE,"WWCM"}</definedName>
    <definedName name="Pnl" hidden="1">{#N/A,#N/A,FALSE,"Pharm";#N/A,#N/A,FALSE,"WWCM"}</definedName>
    <definedName name="PnL_Cube">#REF!</definedName>
    <definedName name="PO" localSheetId="3" hidden="1">{#N/A,#N/A,FALSE,"PRO FORMA FINANCIALS"}</definedName>
    <definedName name="PO" hidden="1">{#N/A,#N/A,FALSE,"PRO FORMA FINANCIALS"}</definedName>
    <definedName name="PopCache_GL_INTERFACE_REFERENCE7" hidden="1">#REF!</definedName>
    <definedName name="port29" localSheetId="3" hidden="1">{#N/A,#N/A,FALSE,"Pharm";#N/A,#N/A,FALSE,"WWCM"}</definedName>
    <definedName name="port29" hidden="1">{#N/A,#N/A,FALSE,"Pharm";#N/A,#N/A,FALSE,"WWCM"}</definedName>
    <definedName name="Position">#REF!</definedName>
    <definedName name="PositionsList">#REF!</definedName>
    <definedName name="POW" localSheetId="3" hidden="1">{#N/A,#N/A,FALSE,"PRO FORMA FINANCIALS"}</definedName>
    <definedName name="POW" hidden="1">{#N/A,#N/A,FALSE,"PRO FORMA FINANCIALS"}</definedName>
    <definedName name="pp" localSheetId="3" hidden="1">{#N/A,#N/A,FALSE,"Aging Summary";#N/A,#N/A,FALSE,"Ratio Analysis";#N/A,#N/A,FALSE,"Test 120 Day Accts";#N/A,#N/A,FALSE,"Tickmarks"}</definedName>
    <definedName name="pp" hidden="1">{#N/A,#N/A,FALSE,"Aging Summary";#N/A,#N/A,FALSE,"Ratio Analysis";#N/A,#N/A,FALSE,"Test 120 Day Accts";#N/A,#N/A,FALSE,"Tickmarks"}</definedName>
    <definedName name="Ppc">#REF!</definedName>
    <definedName name="PPF">#REF!</definedName>
    <definedName name="ppp">#REF!</definedName>
    <definedName name="pppp" localSheetId="3" hidden="1">{"Summary",#N/A,FALSE,"Details (2)"}</definedName>
    <definedName name="pppp" hidden="1">{"Summary",#N/A,FALSE,"Details (2)"}</definedName>
    <definedName name="pppp2" localSheetId="3" hidden="1">{"Summary",#N/A,FALSE,"Details (2)"}</definedName>
    <definedName name="pppp2" hidden="1">{"Summary",#N/A,FALSE,"Details (2)"}</definedName>
    <definedName name="ppppp" localSheetId="3" hidden="1">{"SUM",#N/A,FALSE,"Details (2)"}</definedName>
    <definedName name="ppppp" hidden="1">{"SUM",#N/A,FALSE,"Details (2)"}</definedName>
    <definedName name="pppppp" localSheetId="3" hidden="1">{"Summary",#N/A,FALSE,"Details (2)"}</definedName>
    <definedName name="pppppp" hidden="1">{"Summary",#N/A,FALSE,"Details (2)"}</definedName>
    <definedName name="ppppppp" localSheetId="3" hidden="1">{"SUM",#N/A,FALSE,"Details (2)"}</definedName>
    <definedName name="ppppppp" hidden="1">{"SUM",#N/A,FALSE,"Details (2)"}</definedName>
    <definedName name="pppppppp" localSheetId="3" hidden="1">{"Summary",#N/A,FALSE,"Details (2)"}</definedName>
    <definedName name="pppppppp" hidden="1">{"Summary",#N/A,FALSE,"Details (2)"}</definedName>
    <definedName name="ppppppppp" localSheetId="3" hidden="1">{"SUM",#N/A,FALSE,"Details (2)"}</definedName>
    <definedName name="ppppppppp" hidden="1">{"SUM",#N/A,FALSE,"Details (2)"}</definedName>
    <definedName name="pppppppppp" localSheetId="3" hidden="1">{"Summary",#N/A,FALSE,"Details (2)"}</definedName>
    <definedName name="pppppppppp" hidden="1">{"Summary",#N/A,FALSE,"Details (2)"}</definedName>
    <definedName name="ppppppppppp" localSheetId="3" hidden="1">{"SUM",#N/A,FALSE,"Details (2)"}</definedName>
    <definedName name="ppppppppppp" hidden="1">{"SUM",#N/A,FALSE,"Details (2)"}</definedName>
    <definedName name="pppppppppppp" localSheetId="3" hidden="1">{"Summary",#N/A,FALSE,"Details (2)"}</definedName>
    <definedName name="pppppppppppp" hidden="1">{"Summary",#N/A,FALSE,"Details (2)"}</definedName>
    <definedName name="ppppppppppppp" localSheetId="3" hidden="1">{"SUM",#N/A,FALSE,"Details (2)"}</definedName>
    <definedName name="ppppppppppppp" hidden="1">{"SUM",#N/A,FALSE,"Details (2)"}</definedName>
    <definedName name="ppppppppppppppp" localSheetId="3" hidden="1">{"Summary",#N/A,FALSE,"Details (2)"}</definedName>
    <definedName name="ppppppppppppppp" hidden="1">{"Summary",#N/A,FALSE,"Details (2)"}</definedName>
    <definedName name="pppppppppppppppp" localSheetId="3" hidden="1">{"SUM",#N/A,FALSE,"Details (2)"}</definedName>
    <definedName name="pppppppppppppppp" hidden="1">{"SUM",#N/A,FALSE,"Details (2)"}</definedName>
    <definedName name="ppppppppppppppppp" localSheetId="3" hidden="1">{"Summary",#N/A,FALSE,"Details (2)"}</definedName>
    <definedName name="ppppppppppppppppp" hidden="1">{"Summary",#N/A,FALSE,"Details (2)"}</definedName>
    <definedName name="ppppppppppppppppppppppppppp" localSheetId="3" hidden="1">{"FCB_ALL",#N/A,FALSE,"FCB"}</definedName>
    <definedName name="ppppppppppppppppppppppppppp" hidden="1">{"FCB_ALL",#N/A,FALSE,"FCB"}</definedName>
    <definedName name="PPS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r_FC">#REF!</definedName>
    <definedName name="Pr_Year">#REF!</definedName>
    <definedName name="prd" localSheetId="3" hidden="1">{"Netbacks",#N/A,FALSE,"Netbacks"}</definedName>
    <definedName name="prd" hidden="1">{"Netbacks",#N/A,FALSE,"Netbacks"}</definedName>
    <definedName name="prd." localSheetId="3" hidden="1">{"IS Years",#N/A,FALSE,"Income Statement";"IS Q96",#N/A,FALSE,"Income Statement";"IS Q97",#N/A,FALSE,"Income Statement";"Corporate",#N/A,FALSE,"Corporate Profile";"Netbacks",#N/A,FALSE,"Netbacks"}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ef_Chickapea">#REF!</definedName>
    <definedName name="Pref_Return">#REF!</definedName>
    <definedName name="premium_increase">#REF!</definedName>
    <definedName name="PremiumPaidSUmmary" localSheetId="3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paid_Exp">#REF!</definedName>
    <definedName name="Pres2" localSheetId="3" hidden="1">{"Print Top",#N/A,FALSE,"Europe Model";"Print Bottom",#N/A,FALSE,"Europe Model"}</definedName>
    <definedName name="Pres2" hidden="1">{"Print Top",#N/A,FALSE,"Europe Model";"Print Bottom",#N/A,FALSE,"Europe Model"}</definedName>
    <definedName name="prgrp" localSheetId="3" hidden="1">{"cap_structure",#N/A,FALSE,"Graph-Mkt Cap";"price",#N/A,FALSE,"Graph-Price";"ebit",#N/A,FALSE,"Graph-EBITDA";"ebitda",#N/A,FALSE,"Graph-EBITDA"}</definedName>
    <definedName name="prgrp" hidden="1">{"cap_structure",#N/A,FALSE,"Graph-Mkt Cap";"price",#N/A,FALSE,"Graph-Price";"ebit",#N/A,FALSE,"Graph-EBITDA";"ebitda",#N/A,FALSE,"Graph-EBITDA"}</definedName>
    <definedName name="PriceAntiVirus">#REF!</definedName>
    <definedName name="PriceAntiVirus_P2">#REF!</definedName>
    <definedName name="PriceAntiVirus_P3">#REF!</definedName>
    <definedName name="PriceAutosys">#REF!</definedName>
    <definedName name="PriceCitrix">#REF!</definedName>
    <definedName name="PriceCitrix_P2">#REF!</definedName>
    <definedName name="PriceCitrix_P3">#REF!</definedName>
    <definedName name="PriceCobol">#REF!</definedName>
    <definedName name="PriceCobol_P2">#REF!</definedName>
    <definedName name="PriceCobol_P3">#REF!</definedName>
    <definedName name="PriceCobol2">#REF!</definedName>
    <definedName name="PriceCobol2_P2">#REF!</definedName>
    <definedName name="PriceCobol2_P3">#REF!</definedName>
    <definedName name="PriceCoSort">#REF!</definedName>
    <definedName name="PriceCoSort_P2">#REF!</definedName>
    <definedName name="PriceCoSort_P3">#REF!</definedName>
    <definedName name="PriceHACMP">#REF!</definedName>
    <definedName name="PriceHDLM">#REF!</definedName>
    <definedName name="PriceHDLM_P2">#REF!</definedName>
    <definedName name="PriceHDLM_P3">#REF!</definedName>
    <definedName name="PriceOracle">#REF!</definedName>
    <definedName name="PriceOracle_P2">#REF!</definedName>
    <definedName name="PriceOracle_P3">#REF!</definedName>
    <definedName name="PriceRange" hidden="1">OFFSET(#REF!,5,0,COUNTA(#REF!)-COUNTA(#REF!),1)</definedName>
    <definedName name="PriceRangeMain" hidden="1">#REF!</definedName>
    <definedName name="PriceSiteScope">#REF!</definedName>
    <definedName name="PriceSiteScope_P2">#REF!</definedName>
    <definedName name="PriceSiteScope_P3">#REF!</definedName>
    <definedName name="PriceTSM">#REF!</definedName>
    <definedName name="PriceTSM_P2">#REF!</definedName>
    <definedName name="PriceTSM_P3">#REF!</definedName>
    <definedName name="PricingTerms">#REF!</definedName>
    <definedName name="příjmy" localSheetId="3" hidden="1">{"glc1",#N/A,FALSE,"GLC";"glc2",#N/A,FALSE,"GLC";"glc3",#N/A,FALSE,"GLC";"glc4",#N/A,FALSE,"GLC";"glc5",#N/A,FALSE,"GLC"}</definedName>
    <definedName name="příjmy" hidden="1">{"glc1",#N/A,FALSE,"GLC";"glc2",#N/A,FALSE,"GLC";"glc3",#N/A,FALSE,"GLC";"glc4",#N/A,FALSE,"GLC";"glc5",#N/A,FALSE,"GLC"}</definedName>
    <definedName name="Princ">#REF!</definedName>
    <definedName name="Principal" localSheetId="3">-PPMT(InterestRate/12,'Locations Data'!PaymentNumber,NumberOfPayments,LoanAmount)</definedName>
    <definedName name="Principal">-PPMT(InterestRate/12,PaymentNumber,NumberOfPayments,LoanAmount)</definedName>
    <definedName name="Print">#REF!</definedName>
    <definedName name="_xlnm.Print_Area">#REF!</definedName>
    <definedName name="Print_Area_1">#REF!</definedName>
    <definedName name="Print_Area_2">#REF!,#REF!</definedName>
    <definedName name="Print_Area_MI">#REF!</definedName>
    <definedName name="Print_Area_Reset" localSheetId="3">OFFSET(Full_Print,0,0,'Locations Data'!Last_Row)</definedName>
    <definedName name="Print_Area_Reset">OFFSET(Full_Print,0,0,Last_Row)</definedName>
    <definedName name="_xlnm.Print_Titles">#REF!</definedName>
    <definedName name="Print_Titles_2">#REF!</definedName>
    <definedName name="print4" localSheetId="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_SET">#N/A</definedName>
    <definedName name="PrintAreaPrice" hidden="1">#REF!</definedName>
    <definedName name="PrintGraph">#REF!</definedName>
    <definedName name="PrintTitle1">#REF!</definedName>
    <definedName name="Priority">#REF!</definedName>
    <definedName name="PriorMonthCountWord" localSheetId="3">INDEX({"One","Two","Three","Four","Five","Six","Seven","Eight","Nine","Ten","Eleven","Twelve"},CurrentMonthCount-1)</definedName>
    <definedName name="PriorMonthCountWord">INDEX({"One","Two","Three","Four","Five","Six","Seven","Eight","Nine","Ten","Eleven","Twelve"},CurrentMonthCount-1)</definedName>
    <definedName name="Prioryear">#REF!</definedName>
    <definedName name="Procef" localSheetId="3" hidden="1">{#N/A,#N/A,FALSE,"Pharm";#N/A,#N/A,FALSE,"WWCM"}</definedName>
    <definedName name="Procef" hidden="1">{#N/A,#N/A,FALSE,"Pharm";#N/A,#N/A,FALSE,"WWCM"}</definedName>
    <definedName name="ProcessingCostperFull">#REF!</definedName>
    <definedName name="prod" localSheetId="3" hidden="1">{#N/A,#N/A,FALSE,"Pharm";#N/A,#N/A,FALSE,"WWCM"}</definedName>
    <definedName name="prod" hidden="1">{#N/A,#N/A,FALSE,"Pharm";#N/A,#N/A,FALSE,"WWCM"}</definedName>
    <definedName name="Prod_Margin_Analysis">#REF!</definedName>
    <definedName name="ProdDEV">#REF!</definedName>
    <definedName name="Product">#REF!</definedName>
    <definedName name="products">#REF!</definedName>
    <definedName name="Programs">#REF!</definedName>
    <definedName name="PROJ">#REF!</definedName>
    <definedName name="Proj_end_date">#REF!</definedName>
    <definedName name="Proj_start_date">#REF!</definedName>
    <definedName name="Project">#REF!</definedName>
    <definedName name="project_end" comment="Setup - End Date">#REF!</definedName>
    <definedName name="project_film_format" comment="Setup - Format">#REF!</definedName>
    <definedName name="PROJECT_FINANCIAL_MANAGER__V0.1">#REF!</definedName>
    <definedName name="Project_length">#REF!</definedName>
    <definedName name="Project_Name">#REF!</definedName>
    <definedName name="project_prodcosts">#REF!</definedName>
    <definedName name="project_sequence_list">#REF!</definedName>
    <definedName name="project_shotexec_start" comment="Setup - Shot Exec Start">#REF!</definedName>
    <definedName name="project_start" comment="Setup - Start Date">#REF!</definedName>
    <definedName name="projection">#REF!</definedName>
    <definedName name="ProjectName" localSheetId="3">{"Client Name or Project Name"}</definedName>
    <definedName name="ProjectName">{"Client Name or Project Name"}</definedName>
    <definedName name="ProjectNumber">#REF!</definedName>
    <definedName name="ProjLkup">#REF!</definedName>
    <definedName name="ProportionEquity">#REF!</definedName>
    <definedName name="Prov_tax_in_cost">#REF!</definedName>
    <definedName name="PSC_Accounts">OFFSET(#REF!,1,0,COUNTA(#REF!)-1,2)</definedName>
    <definedName name="PscA">"PSC_A"</definedName>
    <definedName name="PscABase" localSheetId="3">INDIRECT("'"&amp;PscA&amp;"'!$b$2")</definedName>
    <definedName name="PscABase">INDIRECT("'"&amp;PscA&amp;"'!$b$2")</definedName>
    <definedName name="PscACount" localSheetId="3">COUNTA(OFFSET('Locations Data'!PscABase,1,0,1000,1))</definedName>
    <definedName name="PscACount">COUNTA(OFFSET(PscABase,1,0,1000,1))</definedName>
    <definedName name="PscACredits" localSheetId="3">OFFSET('Locations Data'!PscABase,1,IF(ISBLANK(OFFSET('Locations Data'!PscABase,0,3)),4,3),'Locations Data'!PscACount,1)</definedName>
    <definedName name="PscACredits">OFFSET(PscABase,1,IF(ISBLANK(OFFSET(PscABase,0,3)),4,3),PscACount,1)</definedName>
    <definedName name="PscADebits" localSheetId="3">OFFSET('Locations Data'!PscABase,1,2,'Locations Data'!PscACount,1)</definedName>
    <definedName name="PscADebits">OFFSET(PscABase,1,2,PscACount,1)</definedName>
    <definedName name="PscALines" localSheetId="3">OFFSET('Locations Data'!PscABase,1,1,'Locations Data'!PscACount,1)</definedName>
    <definedName name="PscALines">OFFSET(PscABase,1,1,PscACount,1)</definedName>
    <definedName name="PscB">"PSC_B"</definedName>
    <definedName name="PscBBase" localSheetId="3">INDIRECT("'"&amp;PscB&amp;"'!$b$2")</definedName>
    <definedName name="PscBBase">INDIRECT("'"&amp;PscB&amp;"'!$b$2")</definedName>
    <definedName name="PscBCount" localSheetId="3">COUNTA(OFFSET('Locations Data'!PscBBase,1,0,1000,1))</definedName>
    <definedName name="PscBCount">COUNTA(OFFSET(PscBBase,1,0,1000,1))</definedName>
    <definedName name="PscBCredits" localSheetId="3">OFFSET('Locations Data'!PscBBase,1,IF(ISBLANK(OFFSET('Locations Data'!PscBBase,0,3)),4,3),'Locations Data'!PscBCount,1)</definedName>
    <definedName name="PscBCredits">OFFSET(PscBBase,1,IF(ISBLANK(OFFSET(PscBBase,0,3)),4,3),PscBCount,1)</definedName>
    <definedName name="PscBDebits" localSheetId="3">OFFSET('Locations Data'!PscBBase,1,2,'Locations Data'!PscBCount,1)</definedName>
    <definedName name="PscBDebits">OFFSET(PscBBase,1,2,PscBCount,1)</definedName>
    <definedName name="PscBLines" localSheetId="3">OFFSET('Locations Data'!PscBBase,1,1,'Locations Data'!PscBCount,1)</definedName>
    <definedName name="PscBLines">OFFSET(PscBBase,1,1,PscBCount,1)</definedName>
    <definedName name="PscY">"PSC_Y"</definedName>
    <definedName name="PscYBase" localSheetId="3">INDIRECT("'"&amp;PscY&amp;"'!$b$2")</definedName>
    <definedName name="PscYBase">INDIRECT("'"&amp;PscY&amp;"'!$b$2")</definedName>
    <definedName name="PscYCount" localSheetId="3">COUNTA(OFFSET('Locations Data'!PscYBase,1,0,1000,1))</definedName>
    <definedName name="PscYCount">COUNTA(OFFSET(PscYBase,1,0,1000,1))</definedName>
    <definedName name="PscYCredits" localSheetId="3">OFFSET('Locations Data'!PscYBase,1,IF(ISBLANK(OFFSET('Locations Data'!PscYBase,0,3)),4,3),'Locations Data'!PscYCount,1)</definedName>
    <definedName name="PscYCredits">OFFSET(PscYBase,1,IF(ISBLANK(OFFSET(PscYBase,0,3)),4,3),PscYCount,1)</definedName>
    <definedName name="PscYDebits" localSheetId="3">OFFSET('Locations Data'!PscYBase,1,2,'Locations Data'!PscYCount,1)</definedName>
    <definedName name="PscYDebits">OFFSET(PscYBase,1,2,PscYCount,1)</definedName>
    <definedName name="PscYLines" localSheetId="3">OFFSET('Locations Data'!PscYBase,1,1,'Locations Data'!PscYCount,1)</definedName>
    <definedName name="PscYLines">OFFSET(PscYBase,1,1,PscYCount,1)</definedName>
    <definedName name="PscZ">"PSC_Z"</definedName>
    <definedName name="PscZBase" localSheetId="3">INDIRECT("'"&amp;PscZ&amp;"'!$b$2")</definedName>
    <definedName name="PscZBase">INDIRECT("'"&amp;PscZ&amp;"'!$b$2")</definedName>
    <definedName name="PscZCount" localSheetId="3">COUNTA(OFFSET('Locations Data'!PscZBase,1,0,1000,1))</definedName>
    <definedName name="PscZCount">COUNTA(OFFSET(PscZBase,1,0,1000,1))</definedName>
    <definedName name="PscZCredits" localSheetId="3">OFFSET('Locations Data'!PscZBase,1,IF(ISBLANK(OFFSET('Locations Data'!PscZBase,0,3)),4,3),'Locations Data'!PscZCount,1)</definedName>
    <definedName name="PscZCredits">OFFSET(PscZBase,1,IF(ISBLANK(OFFSET(PscZBase,0,3)),4,3),PscZCount,1)</definedName>
    <definedName name="PscZDebits" localSheetId="3">OFFSET('Locations Data'!PscZBase,1,2,'Locations Data'!PscZCount,1)</definedName>
    <definedName name="PscZDebits">OFFSET(PscZBase,1,2,PscZCount,1)</definedName>
    <definedName name="PscZLines" localSheetId="3">OFFSET('Locations Data'!PscZBase,1,1,'Locations Data'!PscZCount,1)</definedName>
    <definedName name="PscZLines">OFFSET(PscZBase,1,1,PscZCount,1)</definedName>
    <definedName name="PSMAG_Resources">#REF!</definedName>
    <definedName name="PSWFormInput_0" hidden="1">#REF!</definedName>
    <definedName name="PSWFormList_0" hidden="1">#REF!</definedName>
    <definedName name="PSWOutput_0" hidden="1">#REF!</definedName>
    <definedName name="PSWSeries_0_0_Labels" hidden="1">#REF!</definedName>
    <definedName name="PSWSeries_0_0_Values" hidden="1">#REF!</definedName>
    <definedName name="PSWSeries_1_0_Labels" hidden="1">#REF!</definedName>
    <definedName name="PSWSeries_1_0_Values" hidden="1">#REF!</definedName>
    <definedName name="PSWSeries_2_0_Labels" hidden="1">#REF!</definedName>
    <definedName name="PSWSeries_2_0_Values" hidden="1">#REF!</definedName>
    <definedName name="PSWSeries_3_0_Labels" hidden="1">#REF!</definedName>
    <definedName name="PSWSeries_3_0_Values" hidden="1">#REF!</definedName>
    <definedName name="PSWSeries_3_1_Labels" hidden="1">#REF!</definedName>
    <definedName name="PSWSeries_3_1_Values" hidden="1">#REF!</definedName>
    <definedName name="PSWSeries_3_2_Labels" hidden="1">#REF!</definedName>
    <definedName name="PSWSeries_3_2_Values" hidden="1">#REF!</definedName>
    <definedName name="PSWSeries_4_0_Values" hidden="1">#REF!</definedName>
    <definedName name="ptg" localSheetId="3" hidden="1">{#N/A,#N/A,TRUE,"RESUMEN ECON.";#N/A,#N/A,TRUE,"Costos de R.H.";#N/A,#N/A,TRUE,"COSTO HW";#N/A,#N/A,TRUE,"CUADROS";#N/A,#N/A,TRUE,"SCADA´s";#N/A,#N/A,TRUE,"PRECIOS EQUIPOS"}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purchase_price">#REF!</definedName>
    <definedName name="PurchasePrice">#REF!</definedName>
    <definedName name="PVTABLE">#REF!</definedName>
    <definedName name="Q">#REF!</definedName>
    <definedName name="Q1D">#REF!</definedName>
    <definedName name="Q1SageProfit">#REF!</definedName>
    <definedName name="Q1Variances" localSheetId="3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2D">#REF!</definedName>
    <definedName name="Q2sageprofit">#REF!</definedName>
    <definedName name="Q3SageProfit">#REF!</definedName>
    <definedName name="qaz" localSheetId="3" hidden="1">{#N/A,#N/A,FALSE,"Pharm";#N/A,#N/A,FALSE,"WWCM"}</definedName>
    <definedName name="qaz" hidden="1">{#N/A,#N/A,FALSE,"Pharm";#N/A,#N/A,FALSE,"WWCM"}</definedName>
    <definedName name="qe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q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qertweyu" localSheetId="3" hidden="1">{#N/A,#N/A,FALSE,"REPORT"}</definedName>
    <definedName name="qertweyu" hidden="1">{#N/A,#N/A,FALSE,"REPORT"}</definedName>
    <definedName name="qetryywt" localSheetId="3" hidden="1">{#N/A,#N/A,FALSE,"REPORT"}</definedName>
    <definedName name="qetryywt" hidden="1">{#N/A,#N/A,FALSE,"REPORT"}</definedName>
    <definedName name="qg" localSheetId="3" hidden="1">{#N/A,#N/A,FALSE,"RESUMEN ECON.";#N/A,#N/A,FALSE,"Costos de R.H.";#N/A,#N/A,FALSE,"COSTO HW";#N/A,#N/A,FALSE,"CUADROS";#N/A,#N/A,FALSE,"SCADA´s";#N/A,#N/A,FALSE,"PRECIOS EQUIPOS"}</definedName>
    <definedName name="qg" hidden="1">{#N/A,#N/A,FALSE,"RESUMEN ECON.";#N/A,#N/A,FALSE,"Costos de R.H.";#N/A,#N/A,FALSE,"COSTO HW";#N/A,#N/A,FALSE,"CUADROS";#N/A,#N/A,FALSE,"SCADA´s";#N/A,#N/A,FALSE,"PRECIOS EQUIPOS"}</definedName>
    <definedName name="qq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qq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qqq" localSheetId="3" hidden="1">{#N/A,#N/A,FALSE,"Pharm";#N/A,#N/A,FALSE,"WWCM"}</definedName>
    <definedName name="qqq" hidden="1">{#N/A,#N/A,FALSE,"Pharm";#N/A,#N/A,FALSE,"WWCM"}</definedName>
    <definedName name="qqqq">#REF!</definedName>
    <definedName name="qqqqqqqq" localSheetId="3" hidden="1">{"Report",#N/A,FALSE,"March Details"}</definedName>
    <definedName name="qqqqqqqq" hidden="1">{"Report",#N/A,FALSE,"March Details"}</definedName>
    <definedName name="qqwtweryey" localSheetId="3" hidden="1">{#N/A,#N/A,FALSE,"REPORT"}</definedName>
    <definedName name="qqwtweryey" hidden="1">{#N/A,#N/A,FALSE,"REPORT"}</definedName>
    <definedName name="qre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">#REF!</definedName>
    <definedName name="Qtr">#REF!</definedName>
    <definedName name="QtrDate">#REF!</definedName>
    <definedName name="Qtroperations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trShares">#REF!</definedName>
    <definedName name="Quality_of_Earnings_Month">#REF!</definedName>
    <definedName name="Quality_of_WC">#REF!</definedName>
    <definedName name="quarter" localSheetId="3" hidden="1">{#N/A,#N/A,FALSE,"Sheet8";#N/A,#N/A,FALSE,"Sheet7"}</definedName>
    <definedName name="quarter" hidden="1">{#N/A,#N/A,FALSE,"Sheet8";#N/A,#N/A,FALSE,"Sheet7"}</definedName>
    <definedName name="Quarterly" localSheetId="3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arterly1" localSheetId="3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">#REF!</definedName>
    <definedName name="Question_H1">#REF!</definedName>
    <definedName name="Question_H2">#REF!</definedName>
    <definedName name="QuoteArea">#REF!</definedName>
    <definedName name="QuoteResults">#REF!</definedName>
    <definedName name="qw" localSheetId="3" hidden="1">{#N/A,#N/A,FALSE,"REPORT"}</definedName>
    <definedName name="qw" hidden="1">{#N/A,#N/A,FALSE,"REPORT"}</definedName>
    <definedName name="qwe">#REF!</definedName>
    <definedName name="qwert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qry" localSheetId="3" hidden="1">{#N/A,#N/A,FALSE,"REPORT"}</definedName>
    <definedName name="qwertqry" hidden="1">{#N/A,#N/A,FALSE,"REPORT"}</definedName>
    <definedName name="qwetqryetytu" localSheetId="3" hidden="1">{#N/A,#N/A,FALSE,"Pharm";#N/A,#N/A,FALSE,"WWCM"}</definedName>
    <definedName name="qwetqryetytu" hidden="1">{#N/A,#N/A,FALSE,"Pharm";#N/A,#N/A,FALSE,"WWCM"}</definedName>
    <definedName name="qwue">#REF!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>#REF!</definedName>
    <definedName name="radg" localSheetId="3" hidden="1">{"FCB_ALL",#N/A,FALSE,"FCB";"GREY_ALL",#N/A,FALSE,"GREY"}</definedName>
    <definedName name="radg" hidden="1">{"FCB_ALL",#N/A,FALSE,"FCB";"GREY_ALL",#N/A,FALSE,"GREY"}</definedName>
    <definedName name="radioaveragetaxrate">#REF!</definedName>
    <definedName name="range">#REF!</definedName>
    <definedName name="RangeChange" hidden="1">#N/A</definedName>
    <definedName name="RangeRows">#REF!</definedName>
    <definedName name="Rank">#REF!</definedName>
    <definedName name="rat">#REF!</definedName>
    <definedName name="RATE">#REF!</definedName>
    <definedName name="Rate_ColumnNo">#REF!</definedName>
    <definedName name="Rate_Cost_Central_Support">#REF!</definedName>
    <definedName name="Rate_Cost_Client_Ent">#REF!</definedName>
    <definedName name="Rate_Cost_Fixed_Overhead">#REF!</definedName>
    <definedName name="Rate_Cost_Material_Purchases">#REF!</definedName>
    <definedName name="Rate_Cost_OtherDirect_Couriers">#REF!</definedName>
    <definedName name="Rate_Cost_OtherDirect_Meals">#REF!</definedName>
    <definedName name="Rate_Cost_OtherDirect_Taxis">#REF!</definedName>
    <definedName name="Rate_Cost_OtherDirect_Travel">#REF!</definedName>
    <definedName name="Rate_Cost_Scan_Rec">#REF!</definedName>
    <definedName name="Rate_Cost_Shoot">#REF!</definedName>
    <definedName name="Rate_Cost_Visas_Filing">#REF!</definedName>
    <definedName name="Rate_Cost_Visas_Legal">#REF!</definedName>
    <definedName name="Rate_Cost_Wrap">#REF!</definedName>
    <definedName name="rateofreturn">#REF!</definedName>
    <definedName name="RATES">#REF!</definedName>
    <definedName name="Ratioswitch">#REF!</definedName>
    <definedName name="rawerwerfwarf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rawerwerfwarf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RCPInvestment">#REF!</definedName>
    <definedName name="reality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1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cxv" localSheetId="3" hidden="1">{#N/A,#N/A,TRUE,"2432"}</definedName>
    <definedName name="recxv" hidden="1">{#N/A,#N/A,TRUE,"2432"}</definedName>
    <definedName name="recxy" localSheetId="3" hidden="1">{#N/A,#N/A,TRUE,"2432"}</definedName>
    <definedName name="recxy" hidden="1">{#N/A,#N/A,TRUE,"2432"}</definedName>
    <definedName name="RedefinePrintTableRange" hidden="1">#REF!</definedName>
    <definedName name="redo" localSheetId="3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wrew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financeTgtDebt">#REF!</definedName>
    <definedName name="refinancing">#REF!</definedName>
    <definedName name="regA">#REF!</definedName>
    <definedName name="reggie" localSheetId="3" hidden="1">{#N/A,#N/A,FALSE,"Pharm";#N/A,#N/A,FALSE,"WWCM"}</definedName>
    <definedName name="reggie" hidden="1">{#N/A,#N/A,FALSE,"Pharm";#N/A,#N/A,FALSE,"WWCM"}</definedName>
    <definedName name="Regnew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moved_name3" localSheetId="3" hidden="1">{0,0,"",0;0,0,0,0;0,0,0,0;0,0,0,0;0,0,0,0}</definedName>
    <definedName name="removed_name3" hidden="1">{0,0,"",0;0,0,0,0;0,0,0,0;0,0,0,0;0,0,0,0}</definedName>
    <definedName name="removed_name7" localSheetId="3" hidden="1">{0,0,"",0;0,0,0,0;0,0,0,0;0,0,0,0;0,0,0,0}</definedName>
    <definedName name="removed_name7" hidden="1">{0,0,"",0;0,0,0,0;0,0,0,0;0,0,0,0;0,0,0,0}</definedName>
    <definedName name="Rep_Month">#REF!</definedName>
    <definedName name="Rep_Month_Int">#REF!</definedName>
    <definedName name="Rep_Mth">#REF!</definedName>
    <definedName name="rep_mth_num">#REF!</definedName>
    <definedName name="Rep_Title">#REF!</definedName>
    <definedName name="Rep_Year">#REF!</definedName>
    <definedName name="Replacement_rate">#REF!</definedName>
    <definedName name="Report_Version_4">"A1"</definedName>
    <definedName name="ReportCreated">TRUE</definedName>
    <definedName name="ReportGroup" hidden="1">0</definedName>
    <definedName name="reportingmonth">#REF!</definedName>
    <definedName name="reportingperiod">#REF!</definedName>
    <definedName name="reportingyear">#REF!</definedName>
    <definedName name="reportingyear99">#REF!</definedName>
    <definedName name="rere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serve_for_Doubt">#REF!</definedName>
    <definedName name="RESOURCE_CLASS">#REF!</definedName>
    <definedName name="resources" localSheetId="3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p." localSheetId="3" hidden="1">{#N/A,#N/A,FALSE,"Pharm";#N/A,#N/A,FALSE,"WWCM"}</definedName>
    <definedName name="resp." hidden="1">{#N/A,#N/A,FALSE,"Pharm";#N/A,#N/A,FALSE,"WWCM"}</definedName>
    <definedName name="resp01">#REF!</definedName>
    <definedName name="resp10">#REF!</definedName>
    <definedName name="resp20">#REF!</definedName>
    <definedName name="resp30">#REF!</definedName>
    <definedName name="Retail" localSheetId="3" hidden="1">{"'Sheet1'!$A$5:$G$42"}</definedName>
    <definedName name="Retail" hidden="1">{"'Sheet1'!$A$5:$G$42"}</definedName>
    <definedName name="RetD_Note_Act">#REF!</definedName>
    <definedName name="RetD_Note_Pre">#REF!</definedName>
    <definedName name="retprofitq1">#REF!</definedName>
    <definedName name="retprofitq2">#REF!</definedName>
    <definedName name="retprofitq3">#REF!</definedName>
    <definedName name="retprofitq4">#REF!</definedName>
    <definedName name="retry" hidden="1">#REF!</definedName>
    <definedName name="Rev" localSheetId="3" hidden="1">{"FixedPriceAllocation",#N/A,FALSE,"FinBudget Revenue";"FixedPriceAllocation",#N/A,FALSE,"Revenue Forecast"}</definedName>
    <definedName name="Rev" hidden="1">{"FixedPriceAllocation",#N/A,FALSE,"FinBudget Revenue";"FixedPriceAllocation",#N/A,FALSE,"Revenue Forecast"}</definedName>
    <definedName name="Rev_Deductions">#REF!</definedName>
    <definedName name="Rev_GP_by_Customer">#REF!</definedName>
    <definedName name="Rev_GP_Cust">#REF!</definedName>
    <definedName name="REV_TABLE">#REF!</definedName>
    <definedName name="Revenue_Actual">#REF!</definedName>
    <definedName name="Revenue_Budget">#REF!</definedName>
    <definedName name="Revenue_CO_01">#REF!</definedName>
    <definedName name="Revenue_CO_02">#REF!</definedName>
    <definedName name="Revenue_Deductions">#REF!</definedName>
    <definedName name="revenue_MAC">#REF!</definedName>
    <definedName name="Revenue_Original_Contract">#REF!</definedName>
    <definedName name="Revenue_Overview">#REF!</definedName>
    <definedName name="Revenue_Shoot">#REF!</definedName>
    <definedName name="Revenue_TOTAL">#REF!</definedName>
    <definedName name="REVFOR">#REF!</definedName>
    <definedName name="REVIEW">#REF!</definedName>
    <definedName name="Révision">#REF!</definedName>
    <definedName name="RevRec">#REF!</definedName>
    <definedName name="rf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2e" localSheetId="3" hidden="1">{#N/A,#N/A,FALSE,"Pharm";#N/A,#N/A,FALSE,"WWCM"}</definedName>
    <definedName name="rf2e" hidden="1">{#N/A,#N/A,FALSE,"Pharm";#N/A,#N/A,FALSE,"WWCM"}</definedName>
    <definedName name="rft" localSheetId="3" hidden="1">{#N/A,#N/A,TRUE,"RESUMEN ECON.";#N/A,#N/A,TRUE,"Costos de R.H.";#N/A,#N/A,TRUE,"COSTO HW";#N/A,#N/A,TRUE,"CUADROS";#N/A,#N/A,TRUE,"SCADA´s";#N/A,#N/A,TRUE,"PRECIOS EQUIPOS"}</definedName>
    <definedName name="rft" hidden="1">{#N/A,#N/A,TRUE,"RESUMEN ECON.";#N/A,#N/A,TRUE,"Costos de R.H.";#N/A,#N/A,TRUE,"COSTO HW";#N/A,#N/A,TRUE,"CUADROS";#N/A,#N/A,TRUE,"SCADA´s";#N/A,#N/A,TRUE,"PRECIOS EQUIPOS"}</definedName>
    <definedName name="RgSource">#REF!</definedName>
    <definedName name="rh" localSheetId="3" hidden="1">{#N/A,#N/A,FALSE,"Mittelherkunft";#N/A,#N/A,FALSE,"Mittelverwendung"}</definedName>
    <definedName name="rh" hidden="1">{#N/A,#N/A,FALSE,"Mittelherkunft";#N/A,#N/A,FALSE,"Mittelverwendung"}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wapState" hidden="1">TRUE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_Refresh">#REF!</definedName>
    <definedName name="ROCACalc">#REF!</definedName>
    <definedName name="RolloverEquity">#REF!</definedName>
    <definedName name="rosins">#REF!</definedName>
    <definedName name="rownum">#REF!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rozvaha_vysledovka" localSheetId="3" hidden="1">{"glc1",#N/A,FALSE,"GLC";"glc2",#N/A,FALSE,"GLC";"glc3",#N/A,FALSE,"GLC";"glc4",#N/A,FALSE,"GLC";"glc5",#N/A,FALSE,"GLC"}</definedName>
    <definedName name="rozvaha_vysledovka" hidden="1">{"glc1",#N/A,FALSE,"GLC";"glc2",#N/A,FALSE,"GLC";"glc3",#N/A,FALSE,"GLC";"glc4",#N/A,FALSE,"GLC";"glc5",#N/A,FALSE,"GLC"}</definedName>
    <definedName name="RPA" localSheetId="3" hidden="1">{#N/A,#N/A,FALSE,"Cashflow Analysis";#N/A,#N/A,FALSE,"Sensitivity Analysis";#N/A,#N/A,FALSE,"PV";#N/A,#N/A,FALSE,"Pro Forma"}</definedName>
    <definedName name="RPA" hidden="1">{#N/A,#N/A,FALSE,"Cashflow Analysis";#N/A,#N/A,FALSE,"Sensitivity Analysis";#N/A,#N/A,FALSE,"PV";#N/A,#N/A,FALSE,"Pro Forma"}</definedName>
    <definedName name="RPA.2" localSheetId="3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r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r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rrr" localSheetId="3" hidden="1">{#N/A,#N/A,FALSE,"Pharm";#N/A,#N/A,FALSE,"WWCM"}</definedName>
    <definedName name="rrrrr" hidden="1">{#N/A,#N/A,FALSE,"Pharm";#N/A,#N/A,FALSE,"WWCM"}</definedName>
    <definedName name="rrrrrr" localSheetId="3" hidden="1">{"cash plan",#N/A,FALSE,"fccashflow"}</definedName>
    <definedName name="rrrrrr" hidden="1">{"cash plan",#N/A,FALSE,"fccashflow"}</definedName>
    <definedName name="rrrrrrrrrrrrrrrrrrrrrrrr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rrrrrrrrrrrrrrrrrrrrrr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se" localSheetId="3" hidden="1">{"FCB_ALL",#N/A,FALSE,"FCB"}</definedName>
    <definedName name="rse" hidden="1">{"FCB_ALL",#N/A,FALSE,"FCB"}</definedName>
    <definedName name="rt" localSheetId="3" hidden="1">{"inputs raw data",#N/A,TRUE,"INPUT"}</definedName>
    <definedName name="rt" hidden="1">{"inputs raw data",#N/A,TRUE,"INPUT"}</definedName>
    <definedName name="rtu" localSheetId="3" hidden="1">{#N/A,#N/A,TRUE,"RESUMEN ECON.";#N/A,#N/A,TRUE,"Costos de R.H.";#N/A,#N/A,TRUE,"COSTO HW";#N/A,#N/A,TRUE,"CUADROS";#N/A,#N/A,TRUE,"SCADA´s";#N/A,#N/A,TRUE,"PRECIOS EQUIPOS"}</definedName>
    <definedName name="rtu" hidden="1">{#N/A,#N/A,TRUE,"RESUMEN ECON.";#N/A,#N/A,TRUE,"Costos de R.H.";#N/A,#N/A,TRUE,"COSTO HW";#N/A,#N/A,TRUE,"CUADROS";#N/A,#N/A,TRUE,"SCADA´s";#N/A,#N/A,TRUE,"PRECIOS EQUIPOS"}</definedName>
    <definedName name="RunningHead" hidden="1">#REF!</definedName>
    <definedName name="rwert" localSheetId="3" hidden="1">{#N/A,#N/A,FALSE,"Pharm";#N/A,#N/A,FALSE,"WWCM"}</definedName>
    <definedName name="rwert" hidden="1">{#N/A,#N/A,FALSE,"Pharm";#N/A,#N/A,FALSE,"WWCM"}</definedName>
    <definedName name="s" localSheetId="3" hidden="1">{"Opsys",#N/A,FALSE,"NPV_OPsys";"NT",#N/A,FALSE,"NPV_NT";"DevP",#N/A,FALSE,"NPV_DevPdt";"Office",#N/A,FALSE,"NPV_Office"}</definedName>
    <definedName name="s" hidden="1">{"Opsys",#N/A,FALSE,"NPV_OPsys";"NT",#N/A,FALSE,"NPV_NT";"DevP",#N/A,FALSE,"NPV_DevPdt";"Office",#N/A,FALSE,"NPV_Office"}</definedName>
    <definedName name="sa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localSheetId="3" hidden="1">{"wpocash",#N/A,FALSE,"WPOALLT";"wpoinc",#N/A,FALSE,"WPOALLT";"wpobroad",#N/A,FALSE,"WPOALLT";"wpocable",#N/A,FALSE,"WPOALLT";"wpoexcl",#N/A,FALSE,"WPOALLT";"wponwsweek",#N/A,FALSE,"WPOALLT";"wpopost",#N/A,FALSE,"WPOALLT"}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f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gf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isiComplete">AND(#REF!&lt;&gt;"",#REF!&lt;&gt;"",#REF!&lt;&gt;"",#REF!&lt;&gt;"",#REF!&lt;&gt;"",#REF!&lt;&gt;"",#REF!&lt;&gt;"",#REF!&lt;&gt;"")</definedName>
    <definedName name="SalaireAdmissible">#REF!&lt;=#REF!</definedName>
    <definedName name="Salaries">#REF!</definedName>
    <definedName name="SalaryIncreaseFactor">#REF!</definedName>
    <definedName name="Sales_expense">#REF!</definedName>
    <definedName name="salespersons">#REF!</definedName>
    <definedName name="sally" localSheetId="3" hidden="1">{#N/A,#N/A,FALSE,"Pharm";#N/A,#N/A,FALSE,"WWCM"}</definedName>
    <definedName name="sally" hidden="1">{#N/A,#N/A,FALSE,"Pharm";#N/A,#N/A,FALSE,"WWCM"}</definedName>
    <definedName name="Sals_OT_Allows">#REF!</definedName>
    <definedName name="SAPBEXdnldView" hidden="1">"D1OFY7LJJUK2HH9ER376WIIDT"</definedName>
    <definedName name="SAPBEXhrIndnt" hidden="1">"Wide"</definedName>
    <definedName name="SAPBEXrevision" hidden="1">1</definedName>
    <definedName name="SAPBEXsysID" hidden="1">"P04"</definedName>
    <definedName name="SAPBEXwbID" hidden="1">"84MNLAZ0HDCMBFWARUK2VC28J"</definedName>
    <definedName name="SAPFuncF4Help" localSheetId="3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sdfkj" localSheetId="3" hidden="1">{"FCB_ALL",#N/A,FALSE,"FCB"}</definedName>
    <definedName name="sasdfkj" hidden="1">{"FCB_ALL",#N/A,FALSE,"FCB"}</definedName>
    <definedName name="sass" hidden="1">#REF!</definedName>
    <definedName name="save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av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BA">#REF!</definedName>
    <definedName name="sbx" localSheetId="3" hidden="1">{"Consolidated IS w Ratios",#N/A,FALSE,"Consolidated";"Consolidated CF",#N/A,FALSE,"Consolidated";"Consolidated DCF",#N/A,FALSE,"Consolidated"}</definedName>
    <definedName name="sbx" hidden="1">{"Consolidated IS w Ratios",#N/A,FALSE,"Consolidated";"Consolidated CF",#N/A,FALSE,"Consolidated";"Consolidated DCF",#N/A,FALSE,"Consolidated"}</definedName>
    <definedName name="Scale">#REF!</definedName>
    <definedName name="sccomb">#REF!</definedName>
    <definedName name="Scenario">#REF!</definedName>
    <definedName name="Scenarios">#REF!</definedName>
    <definedName name="scenariostest">#REF!</definedName>
    <definedName name="Sched_Pay">#REF!</definedName>
    <definedName name="SCHED3">#REF!</definedName>
    <definedName name="Scheduled_Extra_Payments">#REF!</definedName>
    <definedName name="Scheduled_Monthly_Payment">#REF!</definedName>
    <definedName name="ScheduledNumberOfPayments">#REF!</definedName>
    <definedName name="ScheduledPayment">#REF!</definedName>
    <definedName name="SD" localSheetId="3" hidden="1">{#N/A,#N/A,FALSE,"Pharm";#N/A,#N/A,FALSE,"WWCM"}</definedName>
    <definedName name="SD" hidden="1">{#N/A,#N/A,FALSE,"Pharm";#N/A,#N/A,FALSE,"WWCM"}</definedName>
    <definedName name="sdafe" localSheetId="3" hidden="1">{"FCB_ALL",#N/A,FALSE,"FCB";"GREY_ALL",#N/A,FALSE,"GREY"}</definedName>
    <definedName name="sdafe" hidden="1">{"FCB_ALL",#N/A,FALSE,"FCB";"GREY_ALL",#N/A,FALSE,"GREY"}</definedName>
    <definedName name="sdafgs" localSheetId="3" hidden="1">{#N/A,#N/A,FALSE,"Pharm";#N/A,#N/A,FALSE,"WWCM"}</definedName>
    <definedName name="sdafgs" hidden="1">{#N/A,#N/A,FALSE,"Pharm";#N/A,#N/A,FALSE,"WWCM"}</definedName>
    <definedName name="sdaflkej" localSheetId="3" hidden="1">{"FCB_ALL",#N/A,FALSE,"FCB";"GREY_ALL",#N/A,FALSE,"GREY"}</definedName>
    <definedName name="sdaflkej" hidden="1">{"FCB_ALL",#N/A,FALSE,"FCB";"GREY_ALL",#N/A,FALSE,"GREY"}</definedName>
    <definedName name="sdafsdafsaf" localSheetId="3" hidden="1">{"wpocash",#N/A,FALSE,"WPOALLT";"wpoinc",#N/A,FALSE,"WPOALLT";"wpobroad",#N/A,FALSE,"WPOALLT";"wpocable",#N/A,FALSE,"WPOALLT";"wpoexcl",#N/A,FALSE,"WPOALLT";"wponwsweek",#N/A,FALSE,"WPOALLT";"wpopost",#N/A,FALSE,"WPOALLT"}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localSheetId="3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d" localSheetId="3" hidden="1">{"FCB_ALL",#N/A,FALSE,"FCB";"GREY_ALL",#N/A,FALSE,"GREY"}</definedName>
    <definedName name="sdasd" hidden="1">{"FCB_ALL",#N/A,FALSE,"FCB";"GREY_ALL",#N/A,FALSE,"GREY"}</definedName>
    <definedName name="sddd">#REF!</definedName>
    <definedName name="sdf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sr" localSheetId="3" hidden="1">{"FCB_ALL",#N/A,FALSE,"FCB"}</definedName>
    <definedName name="sdfasr" hidden="1">{"FCB_ALL",#N/A,FALSE,"FCB"}</definedName>
    <definedName name="sdfdsf" localSheetId="3" hidden="1">{"FCB_ALL",#N/A,FALSE,"FCB";"GREY_ALL",#N/A,FALSE,"GREY"}</definedName>
    <definedName name="sdfdsf" hidden="1">{"FCB_ALL",#N/A,FALSE,"FCB";"GREY_ALL",#N/A,FALSE,"GREY"}</definedName>
    <definedName name="sdfg" localSheetId="3" hidden="1">{"mgmt forecast",#N/A,FALSE,"Mgmt Forecast";"dcf table",#N/A,FALSE,"Mgmt Forecast";"sensitivity",#N/A,FALSE,"Mgmt Forecast";"table inputs",#N/A,FALSE,"Mgmt Forecast";"calculations",#N/A,FALSE,"Mgmt Forecast"}</definedName>
    <definedName name="sdfg" hidden="1">{"mgmt forecast",#N/A,FALSE,"Mgmt Forecast";"dcf table",#N/A,FALSE,"Mgmt Forecast";"sensitivity",#N/A,FALSE,"Mgmt Forecast";"table inputs",#N/A,FALSE,"Mgmt Forecast";"calculations",#N/A,FALSE,"Mgmt Forecast"}</definedName>
    <definedName name="sdfga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fg" localSheetId="3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dfg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sd" localSheetId="3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sdfgsd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sdfh" localSheetId="3" hidden="1">{#N/A,#N/A,FALSE,"Pharm";#N/A,#N/A,FALSE,"WWCM"}</definedName>
    <definedName name="sdfh" hidden="1">{#N/A,#N/A,FALSE,"Pharm";#N/A,#N/A,FALSE,"WWCM"}</definedName>
    <definedName name="sdfsda" localSheetId="3" hidden="1">{"standalone1",#N/A,FALSE,"DCFBase";"standalone2",#N/A,FALSE,"DCFBase"}</definedName>
    <definedName name="sdfsda" hidden="1">{"standalone1",#N/A,FALSE,"DCFBase";"standalone2",#N/A,FALSE,"DCFBase"}</definedName>
    <definedName name="sdfsdfsdfsafsdf" localSheetId="3" hidden="1">{"FCB_ALL",#N/A,FALSE,"FCB"}</definedName>
    <definedName name="sdfsdfsdfsafsdf" hidden="1">{"FCB_ALL",#N/A,FALSE,"FCB"}</definedName>
    <definedName name="sdfvsdv" hidden="1">#REF!</definedName>
    <definedName name="sdgagf" localSheetId="3" hidden="1">{#N/A,#N/A,FALSE,"Pharm";#N/A,#N/A,FALSE,"WWCM"}</definedName>
    <definedName name="sdgagf" hidden="1">{#N/A,#N/A,FALSE,"Pharm";#N/A,#N/A,FALSE,"WWCM"}</definedName>
    <definedName name="sdgsdgfdsg" localSheetId="3" hidden="1">{"orixcsc",#N/A,FALSE,"ORIX CSC";"orixcsc2",#N/A,FALSE,"ORIX CSC"}</definedName>
    <definedName name="sdgsdgfdsg" hidden="1">{"orixcsc",#N/A,FALSE,"ORIX CSC";"orixcsc2",#N/A,FALSE,"ORIX CSC"}</definedName>
    <definedName name="sdgsgfsd" localSheetId="3" hidden="1">{"mgmt forecast",#N/A,FALSE,"Mgmt Forecast";"dcf table",#N/A,FALSE,"Mgmt Forecast";"sensitivity",#N/A,FALSE,"Mgmt Forecast";"table inputs",#N/A,FALSE,"Mgmt Forecast";"calculations",#N/A,FALSE,"Mgmt Forecast"}</definedName>
    <definedName name="sdgsgfsd" hidden="1">{"mgmt forecast",#N/A,FALSE,"Mgmt Forecast";"dcf table",#N/A,FALSE,"Mgmt Forecast";"sensitivity",#N/A,FALSE,"Mgmt Forecast";"table inputs",#N/A,FALSE,"Mgmt Forecast";"calculations",#N/A,FALSE,"Mgmt Forecast"}</definedName>
    <definedName name="sdhr" localSheetId="3" hidden="1">{"FCB_ALL",#N/A,FALSE,"FCB";"GREY_ALL",#N/A,FALSE,"GREY"}</definedName>
    <definedName name="sdhr" hidden="1">{"FCB_ALL",#N/A,FALSE,"FCB";"GREY_ALL",#N/A,FALSE,"GREY"}</definedName>
    <definedName name="sdsadasd" localSheetId="3" hidden="1">{#N/A,#N/A,FALSE,"Pharm";#N/A,#N/A,FALSE,"WWCM"}</definedName>
    <definedName name="sdsadasd" hidden="1">{#N/A,#N/A,FALSE,"Pharm";#N/A,#N/A,FALSE,"WWCM"}</definedName>
    <definedName name="sdsd" localSheetId="3" hidden="1">{#N/A,#N/A,FALSE,"REPORT"}</definedName>
    <definedName name="sdsd" hidden="1">{#N/A,#N/A,FALSE,"REPORT"}</definedName>
    <definedName name="sdsds" localSheetId="3" hidden="1">{"standalone1",#N/A,FALSE,"DCFBase";"standalone2",#N/A,FALSE,"DCFBase"}</definedName>
    <definedName name="sdsds" hidden="1">{"standalone1",#N/A,FALSE,"DCFBase";"standalone2",#N/A,FALSE,"DCFBase"}</definedName>
    <definedName name="sdz" localSheetId="3" hidden="1">{"FCB_ALL",#N/A,FALSE,"FCB"}</definedName>
    <definedName name="sdz" hidden="1">{"FCB_ALL",#N/A,FALSE,"FCB"}</definedName>
    <definedName name="secondaries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ncount" hidden="1">1</definedName>
    <definedName name="Sensitivity" hidden="1">#REF!</definedName>
    <definedName name="SepEURFX">#REF!</definedName>
    <definedName name="Server_Count">#REF!</definedName>
    <definedName name="Service">#REF!</definedName>
    <definedName name="Service_Type">#REF!</definedName>
    <definedName name="sf" localSheetId="3" hidden="1">{#N/A,#N/A,FALSE,"Sales Graph";#N/A,#N/A,FALSE,"BUC Graph";#N/A,#N/A,FALSE,"P&amp;L - YTD"}</definedName>
    <definedName name="sf" hidden="1">{#N/A,#N/A,FALSE,"Sales Graph";#N/A,#N/A,FALSE,"BUC Graph";#N/A,#N/A,FALSE,"P&amp;L - YTD"}</definedName>
    <definedName name="sfbsf" hidden="1">#REF!</definedName>
    <definedName name="sfdg" localSheetId="3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fdgsar" localSheetId="3" hidden="1">{"FCB_ALL",#N/A,FALSE,"FCB";"GREY_ALL",#N/A,FALSE,"GREY"}</definedName>
    <definedName name="sfdgsar" hidden="1">{"FCB_ALL",#N/A,FALSE,"FCB";"GREY_ALL",#N/A,FALSE,"GREY"}</definedName>
    <definedName name="sfdirect" localSheetId="3" hidden="1">{#N/A,#N/A,FALSE,"REPORT"}</definedName>
    <definedName name="sfdirect" hidden="1">{#N/A,#N/A,FALSE,"REPORT"}</definedName>
    <definedName name="SFDVB" hidden="1">#REF!</definedName>
    <definedName name="sfh" localSheetId="3" hidden="1">{"Bal Sht Wallace",#N/A,FALSE,"Wall BS";"Wall Cash Flow",#N/A,FALSE,"Wall CF Stmt";"Income Statement Wallace",#N/A,FALSE,"Wall Inc Stmt";"INc Statement Matt",#N/A,FALSE,"Moore Inc stmt";"Balance Sheets Matt",#N/A,FALSE,"Moore BS";"Cash Flow Statements Matt",#N/A,FALSE,"Moore CF Stmt"}</definedName>
    <definedName name="sfh" hidden="1">{"Bal Sht Wallace",#N/A,FALSE,"Wall BS";"Wall Cash Flow",#N/A,FALSE,"Wall CF Stmt";"Income Statement Wallace",#N/A,FALSE,"Wall Inc Stmt";"INc Statement Matt",#N/A,FALSE,"Moore Inc stmt";"Balance Sheets Matt",#N/A,FALSE,"Moore BS";"Cash Flow Statements Matt",#N/A,FALSE,"Moore CF Stmt"}</definedName>
    <definedName name="sfj" localSheetId="3" hidden="1">{"PR1","pr1",TRUE,"Sch PR-1"}</definedName>
    <definedName name="sfj" hidden="1">{"PR1","pr1",TRUE,"Sch PR-1"}</definedName>
    <definedName name="sgagaga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sgagaga" hidden="1">{#N/A,#N/A,FALSE,"Antony Financials";#N/A,#N/A,FALSE,"Cowboy Financials";#N/A,#N/A,FALSE,"Combined";#N/A,#N/A,FALSE,"Valuematrix";#N/A,#N/A,FALSE,"DCFAntony";#N/A,#N/A,FALSE,"DCFCowboy";#N/A,#N/A,FALSE,"DCFCombined"}</definedName>
    <definedName name="sgsdfgds" localSheetId="3" hidden="1">{#N/A,#N/A,FALSE,"ORIX CSC"}</definedName>
    <definedName name="sgsdfgds" hidden="1">{#N/A,#N/A,FALSE,"ORIX CSC"}</definedName>
    <definedName name="SharedMods">#REF!,#REF!,#REF!</definedName>
    <definedName name="SharedS">#REF!</definedName>
    <definedName name="Sheet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3" hidden="1">{#N/A,#N/A,FALSE,"Projections";#N/A,#N/A,FALSE,"Multiples Valuation";#N/A,#N/A,FALSE,"LBO";#N/A,#N/A,FALSE,"Multiples_Sensitivity";#N/A,#N/A,FALSE,"Summary"}</definedName>
    <definedName name="Sheet3" hidden="1">{#N/A,#N/A,FALSE,"Projections";#N/A,#N/A,FALSE,"Multiples Valuation";#N/A,#N/A,FALSE,"LBO";#N/A,#N/A,FALSE,"Multiples_Sensitivity";#N/A,#N/A,FALSE,"Summary"}</definedName>
    <definedName name="Sheet4" localSheetId="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localSheetId="3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localSheetId="3" hidden="1">{#N/A,"Base",FALSE,"Dividend";#N/A,"Conservative",FALSE,"Dividend";#N/A,"Downside",FALSE,"Dividend"}</definedName>
    <definedName name="shit" hidden="1">{#N/A,"Base",FALSE,"Dividend";#N/A,"Conservative",FALSE,"Dividend";#N/A,"Downside",FALSE,"Dividend"}</definedName>
    <definedName name="short" hidden="1">#REF!</definedName>
    <definedName name="ShowYTD">TRUE</definedName>
    <definedName name="shshhsfg" localSheetId="3" hidden="1">{"JG FE Top",#N/A,FALSE,"JG FE $";"JG FE Bottom",#N/A,FALSE,"JG FE $"}</definedName>
    <definedName name="shshhsfg" hidden="1">{"JG FE Top",#N/A,FALSE,"JG FE $";"JG FE Bottom",#N/A,FALSE,"JG FE $"}</definedName>
    <definedName name="SIG_LngApp" hidden="1">#REF!</definedName>
    <definedName name="Simple" localSheetId="3" hidden="1">{#N/A,#N/A,FALSE,"RESUMEN ECON.";#N/A,#N/A,FALSE,"Costos de R.H.";#N/A,#N/A,FALSE,"COSTO HW";#N/A,#N/A,FALSE,"CUADROS";#N/A,#N/A,FALSE,"SCADA´s";#N/A,#N/A,FALSE,"PRECIOS EQUIPOS"}</definedName>
    <definedName name="Simple" hidden="1">{#N/A,#N/A,FALSE,"RESUMEN ECON.";#N/A,#N/A,FALSE,"Costos de R.H.";#N/A,#N/A,FALSE,"COSTO HW";#N/A,#N/A,FALSE,"CUADROS";#N/A,#N/A,FALSE,"SCADA´s";#N/A,#N/A,FALSE,"PRECIOS EQUIPOS"}</definedName>
    <definedName name="SizePremData">#REF!</definedName>
    <definedName name="SizePremYears">#REF!</definedName>
    <definedName name="sk" localSheetId="3" hidden="1">{#N/A,#N/A,FALSE,"A&amp;E";#N/A,#N/A,FALSE,"HighTop";#N/A,#N/A,FALSE,"JG";#N/A,#N/A,FALSE,"RI";#N/A,#N/A,FALSE,"woHT";#N/A,#N/A,FALSE,"woHT&amp;JG"}</definedName>
    <definedName name="sk" hidden="1">{#N/A,#N/A,FALSE,"A&amp;E";#N/A,#N/A,FALSE,"HighTop";#N/A,#N/A,FALSE,"JG";#N/A,#N/A,FALSE,"RI";#N/A,#N/A,FALSE,"woHT";#N/A,#N/A,FALSE,"woHT&amp;JG"}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localSheetId="3" hidden="1">{"SUM",#N/A,FALSE,"Details (2)"}</definedName>
    <definedName name="SLT" hidden="1">{"SUM",#N/A,FALSE,"Details (2)"}</definedName>
    <definedName name="SME">#REF!</definedName>
    <definedName name="SMPS" localSheetId="3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n" localSheetId="3" hidden="1">{"HEDGES",#N/A,FALSE,"Summary";"SUMMARY",#N/A,FALSE,"Summary"}</definedName>
    <definedName name="sn" hidden="1">{"HEDGES",#N/A,FALSE,"Summary";"SUMMARY",#N/A,FALSE,"Summary"}</definedName>
    <definedName name="sofie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ftwar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9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hs23" hidden="1">#REF!</definedName>
    <definedName name="solver_rhs45" hidden="1">#REF!</definedName>
    <definedName name="solver_rhs67" hidden="1">#REF!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rt2" hidden="1">#REF!</definedName>
    <definedName name="SourceRange">#REF!</definedName>
    <definedName name="SPA">#REF!</definedName>
    <definedName name="Spec">#REF!</definedName>
    <definedName name="Spector">#REF!</definedName>
    <definedName name="SPM" localSheetId="3" hidden="1">{#N/A,#N/A,FALSE,"Cashflow Analysis";#N/A,#N/A,FALSE,"Sensitivity Analysis";#N/A,#N/A,FALSE,"PV";#N/A,#N/A,FALSE,"Pro Forma"}</definedName>
    <definedName name="SPM" hidden="1">{#N/A,#N/A,FALSE,"Cashflow Analysis";#N/A,#N/A,FALSE,"Sensitivity Analysis";#N/A,#N/A,FALSE,"PV";#N/A,#N/A,FALSE,"Pro Forma"}</definedName>
    <definedName name="SPM.2" localSheetId="3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readsheetBuilder_1" hidden="1">#REF!</definedName>
    <definedName name="SPWS_WBID">"F4F21315-2E10-4D9B-A75B-4FC2D2D3AD60"</definedName>
    <definedName name="ss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afe" hidden="1">#REF!</definedName>
    <definedName name="SSD" localSheetId="3" hidden="1">{#N/A,#N/A,FALSE,"REPORT"}</definedName>
    <definedName name="SSD" hidden="1">{#N/A,#N/A,FALSE,"REPORT"}</definedName>
    <definedName name="ssddd" localSheetId="3" hidden="1">{#N/A,#N/A,TRUE,"2432"}</definedName>
    <definedName name="ssddd" hidden="1">{#N/A,#N/A,TRUE,"2432"}</definedName>
    <definedName name="sss" localSheetId="3" hidden="1">{#N/A,#N/A,FALSE,"Pharm";#N/A,#N/A,FALSE,"WWCM"}</definedName>
    <definedName name="sss" hidden="1">{#N/A,#N/A,FALSE,"Pharm";#N/A,#N/A,FALSE,"WWCM"}</definedName>
    <definedName name="sssssss" localSheetId="3" hidden="1">{"Страница 1",#N/A,FALSE,"Модель Интенсивника";"Страница 3",#N/A,FALSE,"Модель Интенсивника"}</definedName>
    <definedName name="sssssss" hidden="1">{"Страница 1",#N/A,FALSE,"Модель Интенсивника";"Страница 3",#N/A,FALSE,"Модель Интенсивника"}</definedName>
    <definedName name="ssssssssssss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ss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t">#REF!</definedName>
    <definedName name="Staff_Contingency">#REF!</definedName>
    <definedName name="Staff_Pick">#REF!</definedName>
    <definedName name="Staff_Totals_DFA" localSheetId="3" hidden="1">{#N/A,#N/A,FALSE,"Assessment";#N/A,#N/A,FALSE,"Staffing";#N/A,#N/A,FALSE,"Hires";#N/A,#N/A,FALSE,"Assumptions"}</definedName>
    <definedName name="Staff_Totals_DFA" hidden="1">{#N/A,#N/A,FALSE,"Assessment";#N/A,#N/A,FALSE,"Staffing";#N/A,#N/A,FALSE,"Hires";#N/A,#N/A,FALSE,"Assumptions"}</definedName>
    <definedName name="staffcostsq1">#REF!</definedName>
    <definedName name="staffcostsq2">#REF!</definedName>
    <definedName name="staffcostsq3">#REF!</definedName>
    <definedName name="staffcostsq4">#REF!</definedName>
    <definedName name="Staffing_Animation_Actual">#REF!</definedName>
    <definedName name="Staffing_Animation_Budget">#REF!</definedName>
    <definedName name="Staffing_Comp_Actual">#REF!</definedName>
    <definedName name="Staffing_Comp_Budget">#REF!</definedName>
    <definedName name="Staffing_Freelance_ACTUAL">#REF!</definedName>
    <definedName name="Staffing_Freelance_Budget">#REF!</definedName>
    <definedName name="Staffing_FX_Actual">#REF!</definedName>
    <definedName name="Staffing_FX_Budget">#REF!</definedName>
    <definedName name="Staffing_Lighting_Actual">#REF!</definedName>
    <definedName name="Staffing_Lighting_Budget">#REF!</definedName>
    <definedName name="Staffing_Modeller_Actual">#REF!</definedName>
    <definedName name="Staffing_Modeller_Budget">#REF!</definedName>
    <definedName name="Staffing_Paint_Roto_Actual">#REF!</definedName>
    <definedName name="Staffing_Paint_Roto_Budget">#REF!</definedName>
    <definedName name="Staffing_Production_Actual">#REF!</definedName>
    <definedName name="Staffing_Production_Budget">#REF!</definedName>
    <definedName name="Staffing_Rigging_Actual">#REF!</definedName>
    <definedName name="Staffing_Rigging_Budget">#REF!</definedName>
    <definedName name="Staffing_Supervision_Actual">#REF!</definedName>
    <definedName name="Staffing_Supervision_Budget">#REF!</definedName>
    <definedName name="Staffing_Support_Actual">#REF!</definedName>
    <definedName name="Staffing_Support_Budget">#REF!</definedName>
    <definedName name="Staffing_TD_Actual">#REF!</definedName>
    <definedName name="Staffing_TD_Budget">#REF!</definedName>
    <definedName name="Staffing_Texture_DMP_Actual">#REF!</definedName>
    <definedName name="Staffing_Texture_DMP_Budget">#REF!</definedName>
    <definedName name="Staffing_TOIL_Actual">#REF!</definedName>
    <definedName name="Staffing_TOIL_Budget">#REF!</definedName>
    <definedName name="Staffing_Tracking_Actual">#REF!</definedName>
    <definedName name="Staffing_Tracking_Budget">#REF!</definedName>
    <definedName name="staffing2" localSheetId="3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bis" localSheetId="3" hidden="1">{#N/A,#N/A,FALSE,"Assessment";#N/A,#N/A,FALSE,"Staffing";#N/A,#N/A,FALSE,"Hires";#N/A,#N/A,FALSE,"Assumptions"}</definedName>
    <definedName name="staffing2bis" hidden="1">{#N/A,#N/A,FALSE,"Assessment";#N/A,#N/A,FALSE,"Staffing";#N/A,#N/A,FALSE,"Hires";#N/A,#N/A,FALSE,"Assumptions"}</definedName>
    <definedName name="Staffing3" localSheetId="3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nd_Alone_Costs">#REF!</definedName>
    <definedName name="stands" localSheetId="3" hidden="1">{"FCB_ALL",#N/A,FALSE,"FCB";"GREY_ALL",#N/A,FALSE,"GREY"}</definedName>
    <definedName name="stands" hidden="1">{"FCB_ALL",#N/A,FALSE,"FCB";"GREY_ALL",#N/A,FALSE,"GREY"}</definedName>
    <definedName name="stands1" localSheetId="3" hidden="1">{"FCB_ALL",#N/A,FALSE,"FCB";"GREY_ALL",#N/A,FALSE,"GREY"}</definedName>
    <definedName name="stands1" hidden="1">{"FCB_ALL",#N/A,FALSE,"FCB";"GREY_ALL",#N/A,FALSE,"GREY"}</definedName>
    <definedName name="Staril" localSheetId="3" hidden="1">{#N/A,#N/A,FALSE,"REPORT"}</definedName>
    <definedName name="Staril" hidden="1">{#N/A,#N/A,FALSE,"REPORT"}</definedName>
    <definedName name="StartDate">#REF!</definedName>
    <definedName name="StartSheet">#REF!</definedName>
    <definedName name="Statements">#REF!,#REF!</definedName>
    <definedName name="Status">#REF!</definedName>
    <definedName name="status_list">#REF!</definedName>
    <definedName name="STKTRFR">#REF!</definedName>
    <definedName name="stock_note_act">#REF!</definedName>
    <definedName name="stock_note_pre">#REF!</definedName>
    <definedName name="Stock_notes_Act">#REF!</definedName>
    <definedName name="Stock_notes_Pre">#REF!</definedName>
    <definedName name="StockMP_notes_Act">#REF!</definedName>
    <definedName name="StockMP_notes_Pre">#REF!</definedName>
    <definedName name="StockPC_notes_Act">#REF!</definedName>
    <definedName name="StockPC_notes_Pre">#REF!</definedName>
    <definedName name="StockPF_notes_Act">#REF!</definedName>
    <definedName name="StockPF_notes_Pre">#REF!</definedName>
    <definedName name="Strategic">#REF!</definedName>
    <definedName name="StratPlanAP" localSheetId="3" hidden="1">{#N/A,#N/A,FALSE,"Pharm";#N/A,#N/A,FALSE,"WWCM"}</definedName>
    <definedName name="StratPlanAP" hidden="1">{#N/A,#N/A,FALSE,"Pharm";#N/A,#N/A,FALSE,"WWCM"}</definedName>
    <definedName name="Stub" hidden="1">#REF!</definedName>
    <definedName name="stud1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ummary">#REF!</definedName>
    <definedName name="SUMMARY_BOOK" localSheetId="3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2" localSheetId="3" hidden="1">{#N/A,#N/A,FALSE,"FACTSHEETS";#N/A,#N/A,FALSE,"pump";#N/A,#N/A,FALSE,"filter"}</definedName>
    <definedName name="Summary2" hidden="1">{#N/A,#N/A,FALSE,"FACTSHEETS";#N/A,#N/A,FALSE,"pump";#N/A,#N/A,FALSE,"filter"}</definedName>
    <definedName name="SumMo">#REF!</definedName>
    <definedName name="SUP" hidden="1">#REF!</definedName>
    <definedName name="SV_ENCPT_LOGON_PWD" hidden="1">"078104085088070118116120102"</definedName>
    <definedName name="SV_ENCPT_LOGON_USER" hidden="1">"095094088070084104115102112100101110"</definedName>
    <definedName name="SVaDXdasdasf" hidden="1">#REF!</definedName>
    <definedName name="switch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Swvu.inputs._.raw._.data." hidden="1">#REF!</definedName>
    <definedName name="Swvu.summary1." hidden="1">#REF!</definedName>
    <definedName name="Swvu.summary2." hidden="1">#REF!</definedName>
    <definedName name="Swvu.summary3." hidden="1">#REF!</definedName>
    <definedName name="SX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mb">#REF!</definedName>
    <definedName name="SymbolOnOff">#REF!</definedName>
    <definedName name="Symbols">#REF!</definedName>
    <definedName name="syn" localSheetId="3" hidden="1">{#N/A,#N/A,FALSE,"Cover";#N/A,#N/A,FALSE,"Assumptions";#N/A,#N/A,FALSE,"Acquirer";#N/A,#N/A,FALSE,"Target";#N/A,#N/A,FALSE,"Income Statement";#N/A,#N/A,FALSE,"Summary Tables"}</definedName>
    <definedName name="syn" hidden="1">{#N/A,#N/A,FALSE,"Cover";#N/A,#N/A,FALSE,"Assumptions";#N/A,#N/A,FALSE,"Acquirer";#N/A,#N/A,FALSE,"Target";#N/A,#N/A,FALSE,"Income Statement";#N/A,#N/A,FALSE,"Summary Tables"}</definedName>
    <definedName name="syn_tax_rate">#REF!</definedName>
    <definedName name="synch">#REF!</definedName>
    <definedName name="synergies_yr1">#REF!</definedName>
    <definedName name="synergies_yr2">#REF!</definedName>
    <definedName name="synergies_yr3">#REF!</definedName>
    <definedName name="SynergiesOptionsTable">#REF!</definedName>
    <definedName name="T">#REF!</definedName>
    <definedName name="T_amort">#REF!</definedName>
    <definedName name="T_assets">#REF!</definedName>
    <definedName name="T_bkvalue">#REF!</definedName>
    <definedName name="T_CapEx">#REF!</definedName>
    <definedName name="T_cfps_t1">#REF!</definedName>
    <definedName name="T_cfps_t2">#REF!</definedName>
    <definedName name="T_cfps_t3">#REF!</definedName>
    <definedName name="T_debt">#REF!</definedName>
    <definedName name="T_EBITDA_t1">#REF!</definedName>
    <definedName name="T_EBITDA_t2">#REF!</definedName>
    <definedName name="T_EBITDA_t3">#REF!</definedName>
    <definedName name="T_eps_t1">#REF!</definedName>
    <definedName name="T_eps_t2">#REF!</definedName>
    <definedName name="T_eps_t3">#REF!</definedName>
    <definedName name="T_excess_cash">#REF!</definedName>
    <definedName name="t_fv">#REF!</definedName>
    <definedName name="T_goodwill">#REF!</definedName>
    <definedName name="T_int">#REF!</definedName>
    <definedName name="T_int_rate">#REF!</definedName>
    <definedName name="T_ltmcashflow">#REF!</definedName>
    <definedName name="T_ltmcfps">#REF!</definedName>
    <definedName name="T_ltmEBITDA">#REF!</definedName>
    <definedName name="T_ltmeps">#REF!</definedName>
    <definedName name="T_ltmnetinc">#REF!</definedName>
    <definedName name="T_Number">#REF!</definedName>
    <definedName name="T_optout">#REF!</definedName>
    <definedName name="T_optprice">#REF!</definedName>
    <definedName name="T_prefeq">#REF!</definedName>
    <definedName name="T_rev">#REF!</definedName>
    <definedName name="T_SGA">#REF!</definedName>
    <definedName name="T_Shares">#REF!</definedName>
    <definedName name="T_warout">#REF!</definedName>
    <definedName name="T_warprice">#REF!</definedName>
    <definedName name="t2_1" localSheetId="3" hidden="1">{"'Sheet1'!$A$5:$G$42"}</definedName>
    <definedName name="t2_1" hidden="1">{"'Sheet1'!$A$5:$G$42"}</definedName>
    <definedName name="tab">#REF!</definedName>
    <definedName name="TABL_A">#REF!</definedName>
    <definedName name="TABL_E">#REF!</definedName>
    <definedName name="table">#REF!</definedName>
    <definedName name="TableName">"Dummy"</definedName>
    <definedName name="Target_Date">#REF!</definedName>
    <definedName name="Target_Shares_Outstanding">#REF!</definedName>
    <definedName name="Target_Stock_Price">#REF!</definedName>
    <definedName name="TargetEBIT">#REF!</definedName>
    <definedName name="TargetEBITDA">#REF!</definedName>
    <definedName name="TargetEPS1">#REF!</definedName>
    <definedName name="TargetEPS2">#REF!</definedName>
    <definedName name="TargetLTMEPS">#REF!</definedName>
    <definedName name="TargetRevenue">#REF!</definedName>
    <definedName name="Tasks" localSheetId="3" hidden="1">{#N/A,#N/A,FALSE,"Assessment";#N/A,#N/A,FALSE,"Staffing";#N/A,#N/A,FALSE,"Hires";#N/A,#N/A,FALSE,"Assumptions"}</definedName>
    <definedName name="Tasks" hidden="1">{#N/A,#N/A,FALSE,"Assessment";#N/A,#N/A,FALSE,"Staffing";#N/A,#N/A,FALSE,"Hires";#N/A,#N/A,FALSE,"Assumptions"}</definedName>
    <definedName name="tax">#REF!</definedName>
    <definedName name="Tax_Base">#REF!</definedName>
    <definedName name="tax_pay_98">#REF!</definedName>
    <definedName name="tax_rate">#REF!</definedName>
    <definedName name="tax2010tele">#REF!</definedName>
    <definedName name="taxol" localSheetId="3" hidden="1">{#N/A,#N/A,FALSE,"Pharm";#N/A,#N/A,FALSE,"WWCM"}</definedName>
    <definedName name="taxol" hidden="1">{#N/A,#N/A,FALSE,"Pharm";#N/A,#N/A,FALSE,"WWCM"}</definedName>
    <definedName name="taxrate">#REF!</definedName>
    <definedName name="TaxType">#REF!</definedName>
    <definedName name="TB_A">OFFSET(#REF!,1,0,COUNTA(#REF!)-1,5)</definedName>
    <definedName name="TB_B">OFFSET(#REF!,1,0,COUNTA(#REF!)-1,5)</definedName>
    <definedName name="tct">#REF!</definedName>
    <definedName name="tctproj">#REF!</definedName>
    <definedName name="tech02">#REF!</definedName>
    <definedName name="tech03">#REF!</definedName>
    <definedName name="tech04">#REF!</definedName>
    <definedName name="tech05">#REF!</definedName>
    <definedName name="tech30">#REF!</definedName>
    <definedName name="TechCSS">#REF!</definedName>
    <definedName name="TechDEV">#REF!</definedName>
    <definedName name="TechEVS">#REF!</definedName>
    <definedName name="TechOPS">#REF!</definedName>
    <definedName name="Tem" localSheetId="3" hidden="1">{#N/A,#N/A,FALSE,"Pharm";#N/A,#N/A,FALSE,"WWCM"}</definedName>
    <definedName name="Tem" hidden="1">{#N/A,#N/A,FALSE,"Pharm";#N/A,#N/A,FALSE,"WWCM"}</definedName>
    <definedName name="temp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_EMEA_APAC_Query">#REF!</definedName>
    <definedName name="Temp_2" localSheetId="3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3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lateVersion" hidden="1">#REF!</definedName>
    <definedName name="Tempme" localSheetId="3" hidden="1">{#N/A,#N/A,FALSE,"Output";#N/A,#N/A,FALSE,"Cover Sheet";#N/A,#N/A,FALSE,"Current Mkt. Projections"}</definedName>
    <definedName name="Tempme" hidden="1">{#N/A,#N/A,FALSE,"Output";#N/A,#N/A,FALSE,"Cover Sheet";#N/A,#N/A,FALSE,"Current Mkt. Projections"}</definedName>
    <definedName name="Tempme3" localSheetId="3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localSheetId="3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o5" localSheetId="3" hidden="1">{#N/A,#N/A,FALSE,"Output";#N/A,#N/A,FALSE,"Cover Sheet";#N/A,#N/A,FALSE,"Current Mkt. Projections"}</definedName>
    <definedName name="Tempo5" hidden="1">{#N/A,#N/A,FALSE,"Output";#N/A,#N/A,FALSE,"Cover Sheet";#N/A,#N/A,FALSE,"Current Mkt. Projections"}</definedName>
    <definedName name="Tempo5a" localSheetId="3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mpq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3" hidden="1">{#N/A,#N/A,TRUE,"FD IV Portfolio Summary ";#N/A,#N/A,TRUE,"Western";#N/A,#N/A,TRUE,"Kranson";#N/A,#N/A,TRUE,"ARC";#N/A,#N/A,TRUE,"Precise";#N/A,#N/A,TRUE,"WNA"}</definedName>
    <definedName name="tempq6" hidden="1">{#N/A,#N/A,TRUE,"FD IV Portfolio Summary ";#N/A,#N/A,TRUE,"Western";#N/A,#N/A,TRUE,"Kranson";#N/A,#N/A,TRUE,"ARC";#N/A,#N/A,TRUE,"Precise";#N/A,#N/A,TRUE,"WNA"}</definedName>
    <definedName name="tempq7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q" localSheetId="3" hidden="1">{#N/A,#N/A,FALSE,"Pharm";#N/A,#N/A,FALSE,"WWCM"}</definedName>
    <definedName name="teq" hidden="1">{#N/A,#N/A,FALSE,"Pharm";#N/A,#N/A,FALSE,"WWCM"}</definedName>
    <definedName name="Tequin" localSheetId="3" hidden="1">{#N/A,#N/A,FALSE,"Pharm";#N/A,#N/A,FALSE,"WWCM"}</definedName>
    <definedName name="Tequin" hidden="1">{#N/A,#N/A,FALSE,"Pharm";#N/A,#N/A,FALSE,"WWCM"}</definedName>
    <definedName name="tequinol" localSheetId="3" hidden="1">{#N/A,#N/A,FALSE,"REPORT"}</definedName>
    <definedName name="tequinol" hidden="1">{#N/A,#N/A,FALSE,"REPORT"}</definedName>
    <definedName name="term">#REF!</definedName>
    <definedName name="term_blended">OFFSET(#REF!,0,0,#REF!,6)</definedName>
    <definedName name="Term_loan_acq">#REF!</definedName>
    <definedName name="Term_not_blended">#REF!</definedName>
    <definedName name="Term_not_blended2">#REF!</definedName>
    <definedName name="terpenes">#REF!</definedName>
    <definedName name="test" localSheetId="3" hidden="1">{#N/A,#N/A,FALSE,"Pharm";#N/A,#N/A,FALSE,"WWCM"}</definedName>
    <definedName name="test" hidden="1">{#N/A,#N/A,FALSE,"Pharm";#N/A,#N/A,FALSE,"WWCM"}</definedName>
    <definedName name="test2" hidden="1">#REF!</definedName>
    <definedName name="TestAdd">"Test RefersTo1"</definedName>
    <definedName name="TestDEV">#REF!</definedName>
    <definedName name="teste" localSheetId="3" hidden="1">{#N/A,#N/A,FALSE,"Pharm";#N/A,#N/A,FALSE,"WWCM"}</definedName>
    <definedName name="teste" hidden="1">{#N/A,#N/A,FALSE,"Pharm";#N/A,#N/A,FALSE,"WWCM"}</definedName>
    <definedName name="testlbo" hidden="1">#REF!</definedName>
    <definedName name="tetas" localSheetId="3" hidden="1">{#N/A,#N/A,FALSE,"RESUMEN ECON.";#N/A,#N/A,FALSE,"Costos de R.H.";#N/A,#N/A,FALSE,"COSTO HW";#N/A,#N/A,FALSE,"CUADROS";#N/A,#N/A,FALSE,"SCADA´s";#N/A,#N/A,FALSE,"PRECIOS EQUIPOS"}</definedName>
    <definedName name="tetas" hidden="1">{#N/A,#N/A,FALSE,"RESUMEN ECON.";#N/A,#N/A,FALSE,"Costos de R.H.";#N/A,#N/A,FALSE,"COSTO HW";#N/A,#N/A,FALSE,"CUADROS";#N/A,#N/A,FALSE,"SCADA´s";#N/A,#N/A,FALSE,"PRECIOS EQUIPOS"}</definedName>
    <definedName name="TextRefCopyRangeCount" hidden="1">10</definedName>
    <definedName name="tgrastralradio">#REF!</definedName>
    <definedName name="tgrconso">#REF!</definedName>
    <definedName name="tgrfinal">#REF!</definedName>
    <definedName name="tgrindex">#REF!</definedName>
    <definedName name="TgtCurr">#REF!</definedName>
    <definedName name="TgtDilutedSharesOS">#REF!</definedName>
    <definedName name="TgtLFY">#REF!</definedName>
    <definedName name="TgtName">#REF!</definedName>
    <definedName name="TgtSharePrice">#REF!</definedName>
    <definedName name="TgtSharesOS">#REF!</definedName>
    <definedName name="This_Month">#REF!</definedName>
    <definedName name="thisytd">#REF!</definedName>
    <definedName name="thisytd99">#REF!</definedName>
    <definedName name="thousand">1000</definedName>
    <definedName name="Ticker" hidden="1">#N/A</definedName>
    <definedName name="TickerCell">#REF!</definedName>
    <definedName name="Time" hidden="1">#REF!</definedName>
    <definedName name="Timestamp" hidden="1">#REF!</definedName>
    <definedName name="Titan" localSheetId="3" hidden="1">{"kricash",#N/A,FALSE,"INC";"kriinc",#N/A,FALSE,"INC";"krimiami",#N/A,FALSE,"INC";"kriother",#N/A,FALSE,"INC";"kripapers",#N/A,FALSE,"INC"}</definedName>
    <definedName name="Titan" hidden="1">{"kricash",#N/A,FALSE,"INC";"kriinc",#N/A,FALSE,"INC";"krimiami",#N/A,FALSE,"INC";"kriother",#N/A,FALSE,"INC";"kripapers",#N/A,FALSE,"INC"}</definedName>
    <definedName name="Title">#REF!</definedName>
    <definedName name="Title1">#REF!</definedName>
    <definedName name="Title2">#REF!</definedName>
    <definedName name="Title3">#REF!</definedName>
    <definedName name="Title4">#REF!</definedName>
    <definedName name="Titre">#REF!</definedName>
    <definedName name="tl" localSheetId="3" hidden="1">{#N/A,#N/A,FALSE,"FAB VENDORS";"BUD SUM",#N/A,FALSE,"BUD SUM WO TEX"}</definedName>
    <definedName name="tl" hidden="1">{#N/A,#N/A,FALSE,"FAB VENDORS";"BUD SUM",#N/A,FALSE,"BUD SUM WO TEX"}</definedName>
    <definedName name="TM1REBUILDOPTION">1</definedName>
    <definedName name="today" localSheetId="3" hidden="1">{#N/A,#N/A,FALSE,"Total";#N/A,#N/A,FALSE,"Compensation";#N/A,#N/A,FALSE,"T_E";#N/A,#N/A,FALSE,"Meetings";#N/A,#N/A,FALSE,"Auto Exp";#N/A,#N/A,FALSE,"Office Exp"}</definedName>
    <definedName name="today" hidden="1">{#N/A,#N/A,FALSE,"Total";#N/A,#N/A,FALSE,"Compensation";#N/A,#N/A,FALSE,"T_E";#N/A,#N/A,FALSE,"Meetings";#N/A,#N/A,FALSE,"Auto Exp";#N/A,#N/A,FALSE,"Office Exp"}</definedName>
    <definedName name="today_2" localSheetId="3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IL_Percentage">#REF!</definedName>
    <definedName name="tool" localSheetId="3" hidden="1">{#N/A,#N/A,TRUE,"2432"}</definedName>
    <definedName name="tool" hidden="1">{#N/A,#N/A,TRUE,"2432"}</definedName>
    <definedName name="tooling" localSheetId="3" hidden="1">{#N/A,#N/A,TRUE,"2432"}</definedName>
    <definedName name="tooling" hidden="1">{#N/A,#N/A,TRUE,"2432"}</definedName>
    <definedName name="tools" localSheetId="3" hidden="1">{#N/A,#N/A,TRUE,"2432"}</definedName>
    <definedName name="tools" hidden="1">{#N/A,#N/A,TRUE,"2432"}</definedName>
    <definedName name="Top_Cust_Summary">#REF!</definedName>
    <definedName name="Top_Product_Analysis">#REF!</definedName>
    <definedName name="Top_Vendors">#REF!</definedName>
    <definedName name="Topaccount">#REF!</definedName>
    <definedName name="TOT_CREDIT">#REF!</definedName>
    <definedName name="TOT_DEBIT">#REF!</definedName>
    <definedName name="Total_Assets_A">#REF!</definedName>
    <definedName name="Total_Assets_B">#REF!</definedName>
    <definedName name="total_bid_days" comment="Total Days">#REF!</definedName>
    <definedName name="Total_LandE_A">#REF!</definedName>
    <definedName name="Total_LandE_B">#REF!</definedName>
    <definedName name="Total_Pay">#REF!</definedName>
    <definedName name="total_persheetadjustment" comment="Total - Per Sheet Adjustment">#REF!</definedName>
    <definedName name="TotalEarlyPayments">SUM(#REF!)</definedName>
    <definedName name="TotalInterest">SUM(#REF!)</definedName>
    <definedName name="TotalVol">#REF!</definedName>
    <definedName name="Tpte2" hidden="1">#REF!</definedName>
    <definedName name="Tpte2_1" hidden="1">#REF!</definedName>
    <definedName name="TpteArce" hidden="1">#REF!</definedName>
    <definedName name="TpteArce_1" hidden="1">#REF!</definedName>
    <definedName name="TpteST2" hidden="1">#REF!</definedName>
    <definedName name="TpteST2_1" hidden="1">#REF!</definedName>
    <definedName name="Traffic" hidden="1">#REF!</definedName>
    <definedName name="TransactionExpenses">#REF!</definedName>
    <definedName name="TransactionValueInTgtCurr">#REF!</definedName>
    <definedName name="TravelChoices">#REF!</definedName>
    <definedName name="trevor" localSheetId="3" hidden="1">{#N/A,#N/A,FALSE,"FAB VENDORS";"BUD SUM",#N/A,FALSE,"BUD SUM WO TEX"}</definedName>
    <definedName name="trevor" hidden="1">{#N/A,#N/A,FALSE,"FAB VENDORS";"BUD SUM",#N/A,FALSE,"BUD SUM WO TEX"}</definedName>
    <definedName name="Trust2" localSheetId="3" hidden="1">{#N/A,#N/A,FALSE,"Summary";#N/A,#N/A,FALSE,"Financials";#N/A,#N/A,FALSE,"Returns";#N/A,#N/A,FALSE,"Open";#N/A,#N/A,FALSE,"Assumptions"}</definedName>
    <definedName name="Trust2" hidden="1">{#N/A,#N/A,FALSE,"Summary";#N/A,#N/A,FALSE,"Financials";#N/A,#N/A,FALSE,"Returns";#N/A,#N/A,FALSE,"Open";#N/A,#N/A,FALSE,"Assumptions"}</definedName>
    <definedName name="tryeuyit" localSheetId="3" hidden="1">{#N/A,#N/A,FALSE,"Pharm";#N/A,#N/A,FALSE,"WWCM"}</definedName>
    <definedName name="tryeuyit" hidden="1">{#N/A,#N/A,FALSE,"Pharm";#N/A,#N/A,FALSE,"WWCM"}</definedName>
    <definedName name="tt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tt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ttt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ttt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tttt" localSheetId="3" hidden="1">{"Summary",#N/A,FALSE,"Details (2)"}</definedName>
    <definedName name="tttt" hidden="1">{"Summary",#N/A,FALSE,"Details (2)"}</definedName>
    <definedName name="TU" localSheetId="3" hidden="1">{#N/A,#N/A,FALSE,"CNS_ADJ";"Balance Consolidado",#N/A,FALSE,"BCEC_CNS";#N/A,#N/A,FALSE,"USGAAP_ADJ"}</definedName>
    <definedName name="TU" hidden="1">{#N/A,#N/A,FALSE,"CNS_ADJ";"Balance Consolidado",#N/A,FALSE,"BCEC_CNS";#N/A,#N/A,FALSE,"USGAAP_ADJ"}</definedName>
    <definedName name="Tulsa" localSheetId="3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rnover" localSheetId="3" hidden="1">{#N/A,#N/A,TRUE,"2432"}</definedName>
    <definedName name="Turnover" hidden="1">{#N/A,#N/A,TRUE,"2432"}</definedName>
    <definedName name="tvhpd">#REF!</definedName>
    <definedName name="twetwe" localSheetId="3" hidden="1">{"IS FE with Ratios",#N/A,FALSE,"Far East";"PF CF Far East",#N/A,FALSE,"Far East";"DCF Far East Matrix",#N/A,FALSE,"Far East"}</definedName>
    <definedName name="twetwe" hidden="1">{"IS FE with Ratios",#N/A,FALSE,"Far East";"PF CF Far East",#N/A,FALSE,"Far East";"DCF Far East Matrix",#N/A,FALSE,"Far East"}</definedName>
    <definedName name="twetwertw" localSheetId="3" hidden="1">{"JG FE Top",#N/A,FALSE,"JG FE ¥";"JG FE Bottom",#N/A,FALSE,"JG FE ¥"}</definedName>
    <definedName name="twetwertw" hidden="1">{"JG FE Top",#N/A,FALSE,"JG FE ¥";"JG FE Bottom",#N/A,FALSE,"JG FE ¥"}</definedName>
    <definedName name="tx_rate">#REF!</definedName>
    <definedName name="tyler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pe">#REF!</definedName>
    <definedName name="tyur" localSheetId="3" hidden="1">{"NA Is w Ratios",#N/A,FALSE,"North America";"PF CFlow NA",#N/A,FALSE,"North America";"NA DCF Matrix",#N/A,FALSE,"North America"}</definedName>
    <definedName name="tyur" hidden="1">{"NA Is w Ratios",#N/A,FALSE,"North America";"PF CFlow NA",#N/A,FALSE,"North America";"NA DCF Matrix",#N/A,FALSE,"North America"}</definedName>
    <definedName name="tyut" localSheetId="3" hidden="1">{"NA Is w Ratios",#N/A,FALSE,"North America";"PF CFlow NA",#N/A,FALSE,"North America";"NA DCF Matrix",#N/A,FALSE,"North America"}</definedName>
    <definedName name="tyut" hidden="1">{"NA Is w Ratios",#N/A,FALSE,"North America";"PF CFlow NA",#N/A,FALSE,"North America";"NA DCF Matrix",#N/A,FALSE,"North America"}</definedName>
    <definedName name="tyutytyi" localSheetId="3" hidden="1">{#N/A,#N/A,FALSE,"Pharm";#N/A,#N/A,FALSE,"WWCM"}</definedName>
    <definedName name="tyutytyi" hidden="1">{#N/A,#N/A,FALSE,"Pharm";#N/A,#N/A,FALSE,"WWCM"}</definedName>
    <definedName name="tyyufkjkhjd" localSheetId="3" hidden="1">{#N/A,#N/A,FALSE,"Pharm";#N/A,#N/A,FALSE,"WWCM"}</definedName>
    <definedName name="tyyufkjkhjd" hidden="1">{#N/A,#N/A,FALSE,"Pharm";#N/A,#N/A,FALSE,"WWCM"}</definedName>
    <definedName name="u" localSheetId="3" hidden="1">{"CSheet",#N/A,FALSE,"C";"SmCap",#N/A,FALSE,"VAL1";"GulfCoast",#N/A,FALSE,"VAL1";"nav",#N/A,FALSE,"NAV";"Summary",#N/A,FALSE,"NAV"}</definedName>
    <definedName name="u" hidden="1">{"CSheet",#N/A,FALSE,"C";"SmCap",#N/A,FALSE,"VAL1";"GulfCoast",#N/A,FALSE,"VAL1";"nav",#N/A,FALSE,"NAV";"Summary",#N/A,FALSE,"NAV"}</definedName>
    <definedName name="uiknu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jyt" localSheetId="3" hidden="1">{"test2",#N/A,TRUE,"Prices"}</definedName>
    <definedName name="ujyt" hidden="1">{"test2",#N/A,TRUE,"Prices"}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1</definedName>
    <definedName name="United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PDATESUMMARY" localSheetId="3" hidden="1">{#N/A,#N/A,FALSE,"FACTSHEETS";#N/A,#N/A,FALSE,"pump";#N/A,#N/A,FALSE,"filter"}</definedName>
    <definedName name="UPDATESUMMARY" hidden="1">{#N/A,#N/A,FALSE,"FACTSHEETS";#N/A,#N/A,FALSE,"pump";#N/A,#N/A,FALSE,"filter"}</definedName>
    <definedName name="Uplift_on_consultants">#REF!</definedName>
    <definedName name="Uplift_on_contractors">#REF!</definedName>
    <definedName name="Uplift_on_DRP">#REF!</definedName>
    <definedName name="Uplift_on_indirect_support_personnel">#REF!</definedName>
    <definedName name="Uplift_on_investment">#REF!</definedName>
    <definedName name="Uplift_on_investment__hardware___software">#REF!</definedName>
    <definedName name="Uplift_on_Management">#REF!</definedName>
    <definedName name="Uplift_on_Management_2">#REF!</definedName>
    <definedName name="Uplift_on_network_passthrough">#REF!</definedName>
    <definedName name="Uplift_on_operation">#REF!</definedName>
    <definedName name="Uplift_on_passthrough">#REF!</definedName>
    <definedName name="Uplift_on_Personnel_Startup">#REF!</definedName>
    <definedName name="Uplift_on_PMO">#REF!</definedName>
    <definedName name="Uplift_on_TIER2_staff">#REF!</definedName>
    <definedName name="US_conversion_rate">#REF!</definedName>
    <definedName name="US_Hispanic__NewNet">"stationsincome"</definedName>
    <definedName name="USA">#REF!</definedName>
    <definedName name="USD_CAD">#REF!</definedName>
    <definedName name="Users">#REF!</definedName>
    <definedName name="utilization">#REF!</definedName>
    <definedName name="Utilization_max">#REF!</definedName>
    <definedName name="Utilization_min">#REF!</definedName>
    <definedName name="uu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uu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uuu" localSheetId="3" hidden="1">{#N/A,#N/A,TRUE,"2432"}</definedName>
    <definedName name="uuu" hidden="1">{#N/A,#N/A,TRUE,"2432"}</definedName>
    <definedName name="uuuuuuuuuuuu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uuuuuuuuuuuu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uyfkf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localSheetId="3" hidden="1">{#N/A,#N/A,FALSE,"Projections";#N/A,#N/A,FALSE,"Multiples Valuation";#N/A,#N/A,FALSE,"LBO";#N/A,#N/A,FALSE,"Multiples_Sensitivity";#N/A,#N/A,FALSE,"Summary"}</definedName>
    <definedName name="v" hidden="1">{#N/A,#N/A,FALSE,"Projections";#N/A,#N/A,FALSE,"Multiples Valuation";#N/A,#N/A,FALSE,"LBO";#N/A,#N/A,FALSE,"Multiples_Sensitivity";#N/A,#N/A,FALSE,"Summary"}</definedName>
    <definedName name="v_APN">#REF!</definedName>
    <definedName name="v_AST">#REF!</definedName>
    <definedName name="v_LYN">#REF!</definedName>
    <definedName name="v_OPC">#REF!</definedName>
    <definedName name="v_OPR">#REF!</definedName>
    <definedName name="v_PED">#REF!</definedName>
    <definedName name="v_RBK">#REF!</definedName>
    <definedName name="v_RBN">#REF!</definedName>
    <definedName name="v_RBU">#REF!</definedName>
    <definedName name="v_RID">#REF!</definedName>
    <definedName name="v_SCN">#REF!</definedName>
    <definedName name="v_SFD">#REF!</definedName>
    <definedName name="v_SFV">#REF!</definedName>
    <definedName name="Val_Date">#REF!</definedName>
    <definedName name="valdate">#REF!</definedName>
    <definedName name="Valuation" localSheetId="3" hidden="1">{#N/A,#N/A,FALSE,"Output";#N/A,#N/A,FALSE,"Cover Sheet";#N/A,#N/A,FALSE,"Current Mkt. Projections"}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localSheetId="3" hidden="1">{#N/A,#N/A,FALSE,"Cashflow Analysis";#N/A,#N/A,FALSE,"Sensitivity Analysis";#N/A,#N/A,FALSE,"PV";#N/A,#N/A,FALSE,"Pro Forma"}</definedName>
    <definedName name="Value.2" hidden="1">{#N/A,#N/A,FALSE,"Cashflow Analysis";#N/A,#N/A,FALSE,"Sensitivity Analysis";#N/A,#N/A,FALSE,"PV";#N/A,#N/A,FALSE,"Pro Forma"}</definedName>
    <definedName name="value1" localSheetId="3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localSheetId="3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 localSheetId="3">IF(Loan_Amount*#REF!*Loan_Years*Loan_Start&gt;0,1,0)</definedName>
    <definedName name="Values_Entered">IF(Loan_Amount*#REF!*Loan_Years*Loan_Start&gt;0,1,0)</definedName>
    <definedName name="VarDaysPA">#REF!</definedName>
    <definedName name="varianc" localSheetId="3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aRPeriod">#REF!</definedName>
    <definedName name="VAT">#REF!</definedName>
    <definedName name="vbarra" localSheetId="3" hidden="1">{"mgmt forecast",#N/A,FALSE,"Mgmt Forecast";"dcf table",#N/A,FALSE,"Mgmt Forecast";"sensitivity",#N/A,FALSE,"Mgmt Forecast";"table inputs",#N/A,FALSE,"Mgmt Forecast";"calculations",#N/A,FALSE,"Mgmt Forecast"}</definedName>
    <definedName name="vbarra" hidden="1">{"mgmt forecast",#N/A,FALSE,"Mgmt Forecast";"dcf table",#N/A,FALSE,"Mgmt Forecast";"sensitivity",#N/A,FALSE,"Mgmt Forecast";"table inputs",#N/A,FALSE,"Mgmt Forecast";"calculations",#N/A,FALSE,"Mgmt Forecast"}</definedName>
    <definedName name="vbfd" hidden="1">#REF!</definedName>
    <definedName name="vbn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vbn" hidden="1">{"Assumptions1",#N/A,FALSE,"Assumptions";"MergerPlans1","20yearamort",FALSE,"MergerPlans";"MergerPlans1","40yearamort",FALSE,"MergerPlans";"MergerPlans2",#N/A,FALSE,"MergerPlans";"inputs",#N/A,FALSE,"MergerPlans"}</definedName>
    <definedName name="Vdate">#REF!</definedName>
    <definedName name="Veneco" localSheetId="3" hidden="1">{"one",#N/A,TRUE,"Alaska";"two",#N/A,TRUE,"Alaska";"three",#N/A,TRUE,"Alaska";"four",#N/A,TRUE,"Alaska"}</definedName>
    <definedName name="Veneco" hidden="1">{"one",#N/A,TRUE,"Alaska";"two",#N/A,TRUE,"Alaska";"three",#N/A,TRUE,"Alaska";"four",#N/A,TRUE,"Alaska"}</definedName>
    <definedName name="Ver5ansDLT_Note">#REF!</definedName>
    <definedName name="VerCT_Note">#REF!</definedName>
    <definedName name="VerCT_Note_Act">#REF!</definedName>
    <definedName name="VerCT_Note_Pre">#REF!</definedName>
    <definedName name="VerEst_Note">#REF!</definedName>
    <definedName name="Version">#REF!</definedName>
    <definedName name="VertPos">#REF!</definedName>
    <definedName name="viajes" localSheetId="3" hidden="1">{#N/A,#N/A,TRUE,"RESUMEN ECON.";#N/A,#N/A,TRUE,"Costos de R.H.";#N/A,#N/A,TRUE,"COSTO HW";#N/A,#N/A,TRUE,"CUADROS";#N/A,#N/A,TRUE,"SCADA´s";#N/A,#N/A,TRUE,"PRECIOS EQUIPOS"}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localSheetId="3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ision" localSheetId="3" hidden="1">{"mgmt forecast",#N/A,FALSE,"Mgmt Forecast";"dcf table",#N/A,FALSE,"Mgmt Forecast";"sensitivity",#N/A,FALSE,"Mgmt Forecast";"table inputs",#N/A,FALSE,"Mgmt Forecast";"calculations",#N/A,FALSE,"Mgmt Forecast"}</definedName>
    <definedName name="vision" hidden="1">{"mgmt forecast",#N/A,FALSE,"Mgmt Forecast";"dcf table",#N/A,FALSE,"Mgmt Forecast";"sensitivity",#N/A,FALSE,"Mgmt Forecast";"table inputs",#N/A,FALSE,"Mgmt Forecast";"calculations",#N/A,FALSE,"Mgmt Forecast"}</definedName>
    <definedName name="visps" localSheetId="3" hidden="1">{"mgmt forecast",#N/A,FALSE,"Mgmt Forecast";"dcf table",#N/A,FALSE,"Mgmt Forecast";"sensitivity",#N/A,FALSE,"Mgmt Forecast";"table inputs",#N/A,FALSE,"Mgmt Forecast";"calculations",#N/A,FALSE,"Mgmt Forecast"}</definedName>
    <definedName name="visps" hidden="1">{"mgmt forecast",#N/A,FALSE,"Mgmt Forecast";"dcf table",#N/A,FALSE,"Mgmt Forecast";"sensitivity",#N/A,FALSE,"Mgmt Forecast";"table inputs",#N/A,FALSE,"Mgmt Forecast";"calculations",#N/A,FALSE,"Mgmt Forecast"}</definedName>
    <definedName name="vnbs" localSheetId="3" hidden="1">{"FCB_ALL",#N/A,FALSE,"FCB"}</definedName>
    <definedName name="vnbs" hidden="1">{"FCB_ALL",#N/A,FALSE,"FCB"}</definedName>
    <definedName name="VolumeCell">#REF!</definedName>
    <definedName name="VolumeComplement">#REF!</definedName>
    <definedName name="vsd" localSheetId="3" hidden="1">{"IS FE with Ratios",#N/A,FALSE,"Far East";"PF CF Far East",#N/A,FALSE,"Far East";"DCF Far East Matrix",#N/A,FALSE,"Far East"}</definedName>
    <definedName name="vsd" hidden="1">{"IS FE with Ratios",#N/A,FALSE,"Far East";"PF CF Far East",#N/A,FALSE,"Far East";"DCF Far East Matrix",#N/A,FALSE,"Far East"}</definedName>
    <definedName name="vsr" localSheetId="3" hidden="1">{"FCB_ALL",#N/A,FALSE,"FCB"}</definedName>
    <definedName name="vsr" hidden="1">{"FCB_ALL",#N/A,FALSE,"FCB"}</definedName>
    <definedName name="VTEXT">#REF!</definedName>
    <definedName name="vvvv" localSheetId="3" hidden="1">{"DCF","UPSIDE CASE",FALSE,"Sheet1";"DCF","BASE CASE",FALSE,"Sheet1";"DCF","DOWNSIDE CASE",FALSE,"Sheet1"}</definedName>
    <definedName name="vvvv" hidden="1">{"DCF","UPSIDE CASE",FALSE,"Sheet1";"DCF","BASE CASE",FALSE,"Sheet1";"DCF","DOWNSIDE CASE",FALSE,"Sheet1"}</definedName>
    <definedName name="VVVV.2" localSheetId="3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wew32" localSheetId="3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zssw" localSheetId="3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3" hidden="1">{#N/A,#N/A,FALSE,"Assessment";#N/A,#N/A,FALSE,"Staffing";#N/A,#N/A,FALSE,"Hires";#N/A,#N/A,FALSE,"Assumptions"}</definedName>
    <definedName name="w" hidden="1">{#N/A,#N/A,FALSE,"Assessment";#N/A,#N/A,FALSE,"Staffing";#N/A,#N/A,FALSE,"Hires";#N/A,#N/A,FALSE,"Assumptions"}</definedName>
    <definedName name="w_02042009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1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1_02042009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2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2_02042009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ACC">#REF!</definedName>
    <definedName name="wacc_high">#REF!</definedName>
    <definedName name="wacc_low">#REF!</definedName>
    <definedName name="waccconso">#REF!</definedName>
    <definedName name="wacchighastralradio">#REF!</definedName>
    <definedName name="wacclo">#REF!</definedName>
    <definedName name="wacclowastralradio">#REF!</definedName>
    <definedName name="WACCMethod">#REF!</definedName>
    <definedName name="wafe" localSheetId="3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ARA">#REF!</definedName>
    <definedName name="Warrant_Exercise_Price">#REF!</definedName>
    <definedName name="was" localSheetId="3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b" localSheetId="3" hidden="1">{#N/A,#N/A,FALSE,"Pharm";#N/A,#N/A,FALSE,"WWCM"}</definedName>
    <definedName name="wb" hidden="1">{#N/A,#N/A,FALSE,"Pharm";#N/A,#N/A,FALSE,"WWCM"}</definedName>
    <definedName name="wc" localSheetId="3" hidden="1">{#N/A,#N/A,FALSE,"Pharm";#N/A,#N/A,FALSE,"WWCM"}</definedName>
    <definedName name="wc" hidden="1">{#N/A,#N/A,FALSE,"Pharm";#N/A,#N/A,FALSE,"WWCM"}</definedName>
    <definedName name="wc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_DAYS">#REF!</definedName>
    <definedName name="WC_Overview" hidden="1">42312.9261342593</definedName>
    <definedName name="WCC_Rate">#REF!</definedName>
    <definedName name="WCLT">#REF!</definedName>
    <definedName name="we" localSheetId="3" hidden="1">{#N/A,#N/A,FALSE,"Pharm";#N/A,#N/A,FALSE,"WWCM"}</definedName>
    <definedName name="we" hidden="1">{#N/A,#N/A,FALSE,"Pharm";#N/A,#N/A,FALSE,"WWCM"}</definedName>
    <definedName name="WEA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localSheetId="3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">#REF!</definedName>
    <definedName name="Weight_List">#REF!</definedName>
    <definedName name="wekwn" localSheetId="3" hidden="1">{"'Edit'!$A$1:$V$2277"}</definedName>
    <definedName name="wekwn" hidden="1">{"'Edit'!$A$1:$V$2277"}</definedName>
    <definedName name="welw" localSheetId="3" hidden="1">{"'Edit'!$A$1:$V$2277"}</definedName>
    <definedName name="welw" hidden="1">{"'Edit'!$A$1:$V$2277"}</definedName>
    <definedName name="WEQQE" localSheetId="3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rere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errr" localSheetId="3" hidden="1">{#N/A,#N/A,FALSE,"Pharm";#N/A,#N/A,FALSE,"WWCM"}</definedName>
    <definedName name="werrr" hidden="1">{#N/A,#N/A,FALSE,"Pharm";#N/A,#N/A,FALSE,"WWCM"}</definedName>
    <definedName name="wertwertw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ertwertw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ertwrtwrt" localSheetId="3" hidden="1">{"Print Top",#N/A,FALSE,"Europe Model";"Print Bottom",#N/A,FALSE,"Europe Model"}</definedName>
    <definedName name="wertwrtwrt" hidden="1">{"Print Top",#N/A,FALSE,"Europe Model";"Print Bottom",#N/A,FALSE,"Europe Model"}</definedName>
    <definedName name="Westburne" localSheetId="3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g" localSheetId="3" hidden="1">{"ReportTop",#N/A,FALSE,"report top"}</definedName>
    <definedName name="wg" hidden="1">{"ReportTop",#N/A,FALSE,"report top"}</definedName>
    <definedName name="what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IF">#REF!</definedName>
    <definedName name="whatisthi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3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O" localSheetId="3" hidden="1">{#N/A,#N/A,FALSE,"SUMMARY";#N/A,#N/A,FALSE,"DETAIL";#N/A,#N/A,FALSE,"VARIANCE"}</definedName>
    <definedName name="WHO" hidden="1">{#N/A,#N/A,FALSE,"SUMMARY";#N/A,#N/A,FALSE,"DETAIL";#N/A,#N/A,FALSE,"VARIANCE"}</definedName>
    <definedName name="wholesaleforecast" localSheetId="3" hidden="1">{"SUM",#N/A,FALSE,"Details (2)"}</definedName>
    <definedName name="wholesaleforecast" hidden="1">{"SUM",#N/A,FALSE,"Details (2)"}</definedName>
    <definedName name="wmex" hidden="1">#REF!</definedName>
    <definedName name="WorkHoursInMonth">#REF!</definedName>
    <definedName name="working" localSheetId="3" hidden="1">{#N/A,#N/A,FALSE,"REPORT"}</definedName>
    <definedName name="working" hidden="1">{#N/A,#N/A,FALSE,"REPORT"}</definedName>
    <definedName name="workingcap">#REF!</definedName>
    <definedName name="WQE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wt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" localSheetId="3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localSheetId="3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ange">#REF!</definedName>
    <definedName name="wrd.2._.pagers.3" localSheetId="3" hidden="1">{"Cover",#N/A,FALSE,"Cover";"Summary",#N/A,FALSE,"Summarpage"}</definedName>
    <definedName name="wrd.2._.pagers.3" hidden="1">{"Cover",#N/A,FALSE,"Cover";"Summary",#N/A,FALSE,"Summarpage"}</definedName>
    <definedName name="wrd.2_.pagers.3" localSheetId="3" hidden="1">{"Cover",#N/A,FALSE,"Cover";"Summary",#N/A,FALSE,"Summarpage"}</definedName>
    <definedName name="wrd.2_.pagers.3" hidden="1">{"Cover",#N/A,FALSE,"Cover";"Summary",#N/A,FALSE,"Summarpage"}</definedName>
    <definedName name="wre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localSheetId="3" hidden="1">{#N/A,#N/A,FALSE,"Sales"}</definedName>
    <definedName name="wrn" hidden="1">{#N/A,#N/A,FALSE,"Sales"}</definedName>
    <definedName name="wrn.10yp._.balance._.sheet." localSheetId="3" hidden="1">{"10yp balance sheet",#N/A,FALSE,"Celtel alternative 6"}</definedName>
    <definedName name="wrn.10yp._.balance._.sheet." hidden="1">{"10yp balance sheet",#N/A,FALSE,"Celtel alternative 6"}</definedName>
    <definedName name="wrn.10yp._.capex." localSheetId="3" hidden="1">{"10yp capex",#N/A,FALSE,"Celtel alternative 6"}</definedName>
    <definedName name="wrn.10yp._.capex." hidden="1">{"10yp capex",#N/A,FALSE,"Celtel alternative 6"}</definedName>
    <definedName name="wrn.10yp._.customers." localSheetId="3" hidden="1">{"10yp customers",#N/A,FALSE,"Celtel alternative 6"}</definedName>
    <definedName name="wrn.10yp._.customers." hidden="1">{"10yp customers",#N/A,FALSE,"Celtel alternative 6"}</definedName>
    <definedName name="wrn.10yp._.graphs." localSheetId="3" hidden="1">{"10yp graphs",#N/A,FALSE,"Market Data"}</definedName>
    <definedName name="wrn.10yp._.graphs." hidden="1">{"10yp graphs",#N/A,FALSE,"Market Data"}</definedName>
    <definedName name="wrn.10yp._.key._.data." localSheetId="3" hidden="1">{"10yp key data",#N/A,FALSE,"Market Data"}</definedName>
    <definedName name="wrn.10yp._.key._.data." hidden="1">{"10yp key data",#N/A,FALSE,"Market Data"}</definedName>
    <definedName name="wrn.10yp._.profit._.and._.loss." localSheetId="3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3" hidden="1">{"10yp tariffs",#N/A,FALSE,"Celtel alternative 6"}</definedName>
    <definedName name="wrn.10yp._.tariffs." hidden="1">{"10yp tariffs",#N/A,FALSE,"Celtel alternative 6"}</definedName>
    <definedName name="wrn.111111" localSheetId="3" hidden="1">{#N/A,#N/A,FALSE,"Pharm";#N/A,#N/A,FALSE,"WWCM"}</definedName>
    <definedName name="wrn.111111" hidden="1">{#N/A,#N/A,FALSE,"Pharm";#N/A,#N/A,FALSE,"WWCM"}</definedName>
    <definedName name="wrn.12_30._.Adv._.Book." localSheetId="3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3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localSheetId="3" hidden="1">{#N/A,#N/A,FALSE,"PRO FORMA FINANCIALS"}</definedName>
    <definedName name="wrn.1294BS." hidden="1">{#N/A,#N/A,FALSE,"PRO FORMA FINANCIALS"}</definedName>
    <definedName name="wrn.1294BSADJUST." localSheetId="3" hidden="1">{#N/A,#N/A,FALSE,"PRO FORMA FINANCIALS"}</definedName>
    <definedName name="wrn.1294BSADJUST." hidden="1">{#N/A,#N/A,FALSE,"PRO FORMA FINANCIALS"}</definedName>
    <definedName name="wrn.1294IS." localSheetId="3" hidden="1">{#N/A,#N/A,FALSE,"PRO FORMA FINANCIALS"}</definedName>
    <definedName name="wrn.1294IS." hidden="1">{#N/A,#N/A,FALSE,"PRO FORMA FINANCIALS"}</definedName>
    <definedName name="wrn.1294ISADJUST." localSheetId="3" hidden="1">{#N/A,#N/A,FALSE,"PRO FORMA FINANCIALS"}</definedName>
    <definedName name="wrn.1294ISADJUST." hidden="1">{#N/A,#N/A,FALSE,"PRO FORMA FINANCIALS"}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9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_.Supplementary." localSheetId="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2._.pagers.2" localSheetId="3" hidden="1">{"Cover",#N/A,FALSE,"Cover";"Summary",#N/A,FALSE,"Summarpage"}</definedName>
    <definedName name="wrn.2._.pagers.2" hidden="1">{"Cover",#N/A,FALSE,"Cover";"Summary",#N/A,FALSE,"Summarpage"}</definedName>
    <definedName name="wrn.2._.pagers.3" localSheetId="3" hidden="1">{"Cover",#N/A,FALSE,"Cover";"Summary",#N/A,FALSE,"Summarpage"}</definedName>
    <definedName name="wrn.2._.pagers.3" hidden="1">{"Cover",#N/A,FALSE,"Cover";"Summary",#N/A,FALSE,"Summarpage"}</definedName>
    <definedName name="wrn.2._.pagers.4" localSheetId="3" hidden="1">{"Cover",#N/A,FALSE,"Cover";"Summary",#N/A,FALSE,"Summarpage"}</definedName>
    <definedName name="wrn.2._.pagers.4" hidden="1">{"Cover",#N/A,FALSE,"Cover";"Summary",#N/A,FALSE,"Summarpage"}</definedName>
    <definedName name="wrn.2._.pagers.5" localSheetId="3" hidden="1">{"Cover",#N/A,FALSE,"Cover";"Summary",#N/A,FALSE,"Summarpage"}</definedName>
    <definedName name="wrn.2._.pagers.5" hidden="1">{"Cover",#N/A,FALSE,"Cover";"Summary",#N/A,FALSE,"Summarpage"}</definedName>
    <definedName name="wrn.2._.pagers.6" localSheetId="3" hidden="1">{"Cover",#N/A,FALSE,"Cover";"Summary",#N/A,FALSE,"Summarpage"}</definedName>
    <definedName name="wrn.2._.pagers.6" hidden="1">{"Cover",#N/A,FALSE,"Cover";"Summary",#N/A,FALSE,"Summarpage"}</definedName>
    <definedName name="wrn.2._.pagers.8" localSheetId="3" hidden="1">{"Cover",#N/A,FALSE,"Cover";"Summary",#N/A,FALSE,"Summarpage"}</definedName>
    <definedName name="wrn.2._.pagers.8" hidden="1">{"Cover",#N/A,FALSE,"Cover";"Summary",#N/A,FALSE,"Summarpage"}</definedName>
    <definedName name="wrn.2._pagers.4" localSheetId="3" hidden="1">{"Cover",#N/A,FALSE,"Cover";"Summary",#N/A,FALSE,"Summarpage"}</definedName>
    <definedName name="wrn.2._pagers.4" hidden="1">{"Cover",#N/A,FALSE,"Cover";"Summary",#N/A,FALSE,"Summarpage"}</definedName>
    <definedName name="wrn.3.00._.Adv.._.Board." localSheetId="3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localSheetId="3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495BS." localSheetId="3" hidden="1">{#N/A,#N/A,FALSE,"PRO FORMA FINANCIALS"}</definedName>
    <definedName name="wrn.495BS." hidden="1">{#N/A,#N/A,FALSE,"PRO FORMA FINANCIALS"}</definedName>
    <definedName name="wrn.495BSADJUST." localSheetId="3" hidden="1">{#N/A,#N/A,FALSE,"PRO FORMA FINANCIALS"}</definedName>
    <definedName name="wrn.495BSADJUST." hidden="1">{#N/A,#N/A,FALSE,"PRO FORMA FINANCIALS"}</definedName>
    <definedName name="wrn.495IS." localSheetId="3" hidden="1">{#N/A,#N/A,FALSE,"PRO FORMA FINANCIALS"}</definedName>
    <definedName name="wrn.495IS." hidden="1">{#N/A,#N/A,FALSE,"PRO FORMA FINANCIALS"}</definedName>
    <definedName name="wrn.495ISADJUST." localSheetId="3" hidden="1">{#N/A,#N/A,FALSE,"PRO FORMA FINANCIALS"}</definedName>
    <definedName name="wrn.495ISADJUST." hidden="1">{#N/A,#N/A,FALSE,"PRO FORMA FINANCIALS"}</definedName>
    <definedName name="wrn.5._.Year._.Plan." localSheetId="3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0._.50.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730." localSheetId="3" hidden="1">{#N/A,#N/A,FALSE,"REPORT"}</definedName>
    <definedName name="wrn.730." hidden="1">{#N/A,#N/A,FALSE,"REPORT"}</definedName>
    <definedName name="wrn.731" localSheetId="3" hidden="1">{#N/A,#N/A,FALSE,"REPORT"}</definedName>
    <definedName name="wrn.731" hidden="1">{#N/A,#N/A,FALSE,"REPORT"}</definedName>
    <definedName name="wrn.750." localSheetId="3" hidden="1">{#N/A,#N/A,FALSE,"REPORT"}</definedName>
    <definedName name="wrn.750." hidden="1">{#N/A,#N/A,FALSE,"REPORT"}</definedName>
    <definedName name="wrn.7501" localSheetId="3" hidden="1">{#N/A,#N/A,FALSE,"REPORT"}</definedName>
    <definedName name="wrn.7501" hidden="1">{#N/A,#N/A,FALSE,"REPORT"}</definedName>
    <definedName name="wrn.760.16." localSheetId="3" hidden="1">{#N/A,#N/A,FALSE,"REPORT"}</definedName>
    <definedName name="wrn.760.16." hidden="1">{#N/A,#N/A,FALSE,"REPORT"}</definedName>
    <definedName name="wrn.7900" localSheetId="3" hidden="1">{#N/A,#N/A,FALSE,"REPORT"}</definedName>
    <definedName name="wrn.7900" hidden="1">{#N/A,#N/A,FALSE,"REPORT"}</definedName>
    <definedName name="wrn.9_30._.Adv._.Board." localSheetId="3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3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localSheetId="3" hidden="1">{#N/A,#N/A,FALSE,"REPORT"}</definedName>
    <definedName name="wrn.905" hidden="1">{#N/A,#N/A,FALSE,"REPORT"}</definedName>
    <definedName name="wrn.94PV." localSheetId="3" hidden="1">{"Page1",#N/A,FALSE,"94PV";"Page2",#N/A,FALSE,"94PV"}</definedName>
    <definedName name="wrn.94PV." hidden="1">{"Page1",#N/A,FALSE,"94PV";"Page2",#N/A,FALSE,"94PV"}</definedName>
    <definedName name="wrn.99999" localSheetId="3" hidden="1">{#N/A,#N/A,FALSE,"REPORT"}</definedName>
    <definedName name="wrn.99999" hidden="1">{#N/A,#N/A,FALSE,"REPORT"}</definedName>
    <definedName name="wrn.A_VALUATION." localSheetId="3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a" localSheetId="3" hidden="1">{#N/A,#N/A,FALSE,"Pharm";#N/A,#N/A,FALSE,"WWCM"}</definedName>
    <definedName name="wrn.aaa" hidden="1">{#N/A,#N/A,FALSE,"Pharm";#N/A,#N/A,FALSE,"WWCM"}</definedName>
    <definedName name="wrn.aaaaaaa" localSheetId="3" hidden="1">{#N/A,#N/A,FALSE,"Pharm";#N/A,#N/A,FALSE,"WWCM"}</definedName>
    <definedName name="wrn.aaaaaaa" hidden="1">{#N/A,#N/A,FALSE,"Pharm";#N/A,#N/A,FALSE,"WWCM"}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localSheetId="3" hidden="1">{"turnover",#N/A,FALSE;"profits",#N/A,FALSE;"cash",#N/A,FALSE}</definedName>
    <definedName name="wrn.Accounts." hidden="1">{"turnover",#N/A,FALSE;"profits",#N/A,FALSE;"cash",#N/A,FALSE}</definedName>
    <definedName name="wrn.ACCOUNTS._.PAYABLE." localSheetId="3" hidden="1">{#N/A,#N/A,FALSE,"CC-1 Accounts Payable";#N/A,#N/A,FALSE,"CC-2 Search for Unrecorded Liab"}</definedName>
    <definedName name="wrn.ACCOUNTS._.PAYABLE." hidden="1">{#N/A,#N/A,FALSE,"CC-1 Accounts Payable";#N/A,#N/A,FALSE,"CC-2 Search for Unrecorded Liab"}</definedName>
    <definedName name="wrn.Accr_Dil." localSheetId="3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etion." localSheetId="3" hidden="1">{"Accretion",#N/A,FALSE,"Assum"}</definedName>
    <definedName name="wrn.Accretion." hidden="1">{"Accretion",#N/A,FALSE,"Assum"}</definedName>
    <definedName name="wrn.ACCRUED._.EXPENSES." localSheetId="3" hidden="1">{#N/A,#N/A,FALSE,"EE-1 Othr Acts. Pbl &amp; Accr. Exp";#N/A,#N/A,FALSE,"FF-1 Payroll Taxes";#N/A,#N/A,FALSE,"HH-1 Employee Benefit Plans"}</definedName>
    <definedName name="wrn.ACCRUED._.EXPENSES." hidden="1">{#N/A,#N/A,FALSE,"EE-1 Othr Acts. Pbl &amp; Accr. Exp";#N/A,#N/A,FALSE,"FF-1 Payroll Taxes";#N/A,#N/A,FALSE,"HH-1 Employee Benefit Plans"}</definedName>
    <definedName name="wrn.ACI." localSheetId="3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localSheetId="3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1" localSheetId="3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localSheetId="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3" hidden="1">{"Acq_matrix",#N/A,FALSE,"Acquisition Matrix"}</definedName>
    <definedName name="wrn.Acquisition_matrix." hidden="1">{"Acq_matrix",#N/A,FALSE,"Acquisition Matrix"}</definedName>
    <definedName name="wrn.AcqVal." localSheetId="3" hidden="1">{#N/A,#N/A,FALSE,"Acq-Val";#N/A,#N/A,FALSE,"Acq-Mult Val"}</definedName>
    <definedName name="wrn.AcqVal." hidden="1">{#N/A,#N/A,FALSE,"Acq-Val";#N/A,#N/A,FALSE,"Acq-Mult Val"}</definedName>
    <definedName name="wrn.Actual._.Data._.Entry." localSheetId="3" hidden="1">{#N/A,#N/A,FALSE,"Sales"}</definedName>
    <definedName name="wrn.Actual._.Data._.Entry." hidden="1">{#N/A,#N/A,FALSE,"Sales"}</definedName>
    <definedName name="wrn.adj95." localSheetId="3" hidden="1">{"adj95mult",#N/A,FALSE,"COMPCO";"adj95est",#N/A,FALSE,"COMPCO"}</definedName>
    <definedName name="wrn.adj95." hidden="1">{"adj95mult",#N/A,FALSE,"COMPCO";"adj95est",#N/A,FALSE,"COMPCO"}</definedName>
    <definedName name="wrn.adj95a" localSheetId="3" hidden="1">{"adj95mult",#N/A,FALSE,"COMPCO";"adj95est",#N/A,FALSE,"COMPCO"}</definedName>
    <definedName name="wrn.adj95a" hidden="1">{"adj95mult",#N/A,FALSE,"COMPCO";"adj95est",#N/A,FALSE,"COMPCO"}</definedName>
    <definedName name="wrn.Admin._.Schedules." localSheetId="3" hidden="1">{#N/A,#N/A,TRUE,"Corp";#N/A,#N/A,TRUE,"Direct";#N/A,#N/A,TRUE,"Allocations"}</definedName>
    <definedName name="wrn.Admin._.Schedules." hidden="1">{#N/A,#N/A,TRUE,"Corp";#N/A,#N/A,TRUE,"Direct";#N/A,#N/A,TRUE,"Allocations"}</definedName>
    <definedName name="wrn.AGING._.ALL." localSheetId="3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3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3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3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3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localSheetId="3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._.Rev.._.Review." localSheetId="3" hidden="1">{"Rev sum",#N/A,FALSE,"Rev &amp; Exp Recog";"rev1",#N/A,FALSE,"Rev &amp; Exp Recog";"rev2",#N/A,FALSE,"Rev &amp; Exp Recog";"rev3",#N/A,FALSE,"Rev &amp; Exp Recog"}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AN.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3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{#N/A,#N/A,FALSE,"cpt"}</definedName>
    <definedName name="wrn.all." hidden="1">{#N/A,#N/A,FALSE,"cpt"}</definedName>
    <definedName name="wrn.All._.Company._.Analyses." localSheetId="3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Financials." localSheetId="3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localSheetId="3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3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SHEETS.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Views." localSheetId="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PAPERS." localSheetId="3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1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02042009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1_1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_02042009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3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localSheetId="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localSheetId="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localSheetId="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_1" localSheetId="3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3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4" localSheetId="3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3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3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3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3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output." localSheetId="3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Analytic." localSheetId="3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exes._.de._.coûts." localSheetId="3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ual_n_Quarterly." localSheetId="3" hidden="1">{"Annual",#N/A,FALSE,"Sales &amp; Market";"Quarterly",#N/A,FALSE,"Sales &amp; Market"}</definedName>
    <definedName name="wrn.Annual_n_Quarterly." hidden="1">{"Annual",#N/A,FALSE,"Sales &amp; Market";"Quarterly",#N/A,FALSE,"Sales &amp; Market"}</definedName>
    <definedName name="wrn.AnnualRentRoll" localSheetId="3" hidden="1">{"AnnualRentRoll",#N/A,FALSE,"RentRoll"}</definedName>
    <definedName name="wrn.AnnualRentRoll" hidden="1">{"AnnualRentRoll",#N/A,FALSE,"RentRoll"}</definedName>
    <definedName name="wrn.AnnualRentRoll." localSheetId="3" hidden="1">{"AnnualRentRoll",#N/A,FALSE,"RentRoll"}</definedName>
    <definedName name="wrn.AnnualRentRoll." hidden="1">{"AnnualRentRoll",#N/A,FALSE,"RentRoll"}</definedName>
    <definedName name="wrn.Anteilig._.alle._.Perioden." localSheetId="3" hidden="1">{"Alle Perioden",#N/A,FALSE,"Erf";"Alle Perioden",#N/A,FALSE,"Ang";"Alle Perioden",#N/A,FALSE,"BV";"Alle Perioden",#N/A,FALSE,"BE";"Alle Perioden",#N/A,FALSE,"Re";"Alle Perioden",#N/A,FALSE,"Vol"}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localSheetId="3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localSheetId="3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." localSheetId="3" hidden="1">{#N/A,#N/A,FALSE,"OUT  AREC"}</definedName>
    <definedName name="wrn.ar." hidden="1">{#N/A,#N/A,FALSE,"OUT  AREC"}</definedName>
    <definedName name="wrn.AR._.PACKAGE." localSheetId="3" hidden="1">{#N/A,#N/A,FALSE,"BR-Gross";#N/A,#N/A,FALSE,"AGING COMP";#N/A,#N/A,FALSE,"BR-Net";#N/A,#N/A,FALSE,"RECSUB";#N/A,#N/A,FALSE,"BILL94";#N/A,#N/A,FALSE,"L.D.S. Rep 1"}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localSheetId="3" hidden="1">{#N/A,#N/A,FALSE,"Asia"}</definedName>
    <definedName name="wrn.Asia._.Total._.Variance." hidden="1">{#N/A,#N/A,FALSE,"Asia"}</definedName>
    <definedName name="wrn.assumptions." localSheetId="3" hidden="1">{"baseassum",#N/A,FALSE,"BASEDCF";"bassum2",#N/A,FALSE,"BASEDCF";"hmix",#N/A,FALSE,"BASEDCF"}</definedName>
    <definedName name="wrn.assumptions." hidden="1">{"baseassum",#N/A,FALSE,"BASEDCF";"bassum2",#N/A,FALSE,"BASEDCF";"hmix",#N/A,FALSE,"BASEDCF"}</definedName>
    <definedName name="wrn.Auto._.Comp." localSheetId="3" hidden="1">{#N/A,#N/A,FALSE,"Sheet1"}</definedName>
    <definedName name="wrn.Auto._.Comp." hidden="1">{#N/A,#N/A,FALSE,"Sheet1"}</definedName>
    <definedName name="wrn.away." localSheetId="3" hidden="1">{"away stand alones",#N/A,FALSE,"Target"}</definedName>
    <definedName name="wrn.away." hidden="1">{"away stand alones",#N/A,FALSE,"Target"}</definedName>
    <definedName name="wrn.Back._.Page." localSheetId="3" hidden="1">{"Back Page",#N/A,FALSE,"Front and Back"}</definedName>
    <definedName name="wrn.Back._.Page." hidden="1">{"Back Page",#N/A,FALSE,"Front and Back"}</definedName>
    <definedName name="wrn.backup." localSheetId="3" hidden="1">{"background",#N/A,FALSE,"CS First Boston Merger Model";"inputs",#N/A,FALSE,"CS First Boston Merger Model"}</definedName>
    <definedName name="wrn.backup." hidden="1">{"background",#N/A,FALSE,"CS First Boston Merger Model";"inputs",#N/A,FALSE,"CS First Boston Merger Model"}</definedName>
    <definedName name="wrn.balance._.sheet." localSheetId="3" hidden="1">{"bs",#N/A,FALSE,"SCF"}</definedName>
    <definedName name="wrn.balance._.sheet." hidden="1">{"bs",#N/A,FALSE,"SCF"}</definedName>
    <definedName name="wrn.Balance._.Sheets." localSheetId="3" hidden="1">{#N/A,#N/A,FALSE,"Bal sht";"Qtrly Bal Sht",#N/A,FALSE,"Bal sht - QTR"}</definedName>
    <definedName name="wrn.Balance._.Sheets." hidden="1">{#N/A,#N/A,FALSE,"Bal sht";"Qtrly Bal Sht",#N/A,FALSE,"Bal sht - QTR"}</definedName>
    <definedName name="wrn.Bank._.Report." localSheetId="3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rranca." localSheetId="3" hidden="1">{#N/A,#N/A,FALSE,"Barranca"}</definedName>
    <definedName name="wrn.Barranca." hidden="1">{#N/A,#N/A,FALSE,"Barranca"}</definedName>
    <definedName name="wrn.Basic." localSheetId="3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fin." localSheetId="3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s." localSheetId="3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ce._.plan." localSheetId="3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wrn.Bce._.plan." hidden="1">{#N/A,#N/A,FALSE,"Cover";#N/A,#N/A,FALSE,"Main";#N/A,#N/A,FALSE,"Guid";#N/A,#N/A,FALSE,"Summary";#N/A,#N/A,FALSE,"Monthly";#N/A,#N/A,FALSE,"Bridge Q4";#N/A,#N/A,FALSE,"Q4";#N/A,#N/A,FALSE,"Bridge-global";#N/A,#N/A,FALSE,"Bridge"}</definedName>
    <definedName name="wrn.bcgrates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D._.FINAL." localSheetId="3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localSheetId="3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ewegungsbilanz." localSheetId="3" hidden="1">{#N/A,#N/A,FALSE,"Mittelherkunft";#N/A,#N/A,FALSE,"Mittelverwendung"}</definedName>
    <definedName name="wrn.Bewegungsbilanz." hidden="1">{#N/A,#N/A,FALSE,"Mittelherkunft";#N/A,#N/A,FALSE,"Mittelverwendung"}</definedName>
    <definedName name="wrn.BID." localSheetId="3" hidden="1">{"PAGE1",#N/A,FALSE,"BID (3)";"PAGE2",#N/A,FALSE,"BID (3)"}</definedName>
    <definedName name="wrn.BID." hidden="1">{"PAGE1",#N/A,FALSE,"BID (3)";"PAGE2",#N/A,FALSE,"BID (3)"}</definedName>
    <definedName name="wrn.BidCo." localSheetId="3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z." localSheetId="3" hidden="1">{#N/A,#N/A,FALSE,"Layout Aktiva";#N/A,#N/A,FALSE,"Layout Passiva"}</definedName>
    <definedName name="wrn.Bilanz." hidden="1">{#N/A,#N/A,FALSE,"Layout Aktiva";#N/A,#N/A,FALSE,"Layout Passiva"}</definedName>
    <definedName name="wrn.bm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localSheetId="3" hidden="1">{#N/A,#N/A,FALSE,"Cover";#N/A,#N/A,FALSE,"Main";#N/A,#N/A,FALSE,"Q4 (ex. Excel)";#N/A,#N/A,FALSE,"Summary (ex. Excel)";#N/A,#N/A,FALSE,"Guid";#N/A,#N/A,FALSE,"Monthly (ex. Excel)"}</definedName>
    <definedName name="wrn.Board." hidden="1">{#N/A,#N/A,FALSE,"Cover";#N/A,#N/A,FALSE,"Main";#N/A,#N/A,FALSE,"Q4 (ex. Excel)";#N/A,#N/A,FALSE,"Summary (ex. Excel)";#N/A,#N/A,FALSE,"Guid";#N/A,#N/A,FALSE,"Monthly (ex. Excel)"}</definedName>
    <definedName name="wrn.BUDGET." localSheetId="3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localSheetId="3" hidden="1">{#N/A,#N/A,FALSE,"Mill 5"}</definedName>
    <definedName name="wrn.Budget._.Analysis." hidden="1">{#N/A,#N/A,FALSE,"Mill 5"}</definedName>
    <definedName name="wrn.budget._.balance._.sheet." localSheetId="3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3" hidden="1">{"budget992000 capex",#N/A,FALSE,"Celtel alternative 6"}</definedName>
    <definedName name="wrn.budget._.capex." hidden="1">{"budget992000 capex",#N/A,FALSE,"Celtel alternative 6"}</definedName>
    <definedName name="wrn.budget._.customers." localSheetId="3" hidden="1">{"budget992000_customers",#N/A,FALSE,"Celtel alternative 6"}</definedName>
    <definedName name="wrn.budget._.customers." hidden="1">{"budget992000_customers",#N/A,FALSE,"Celtel alternative 6"}</definedName>
    <definedName name="wrn.budget._.profit._.and._.loss." localSheetId="3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hidden="1">{"budget992000 tariff and usage",#N/A,FALSE,"Celtel alternative 6"}</definedName>
    <definedName name="wrn.Buildups.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localSheetId="3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AG." localSheetId="3" hidden="1">{#N/A,#N/A,FALSE,"CAG"}</definedName>
    <definedName name="wrn.CAG." hidden="1">{#N/A,#N/A,FALSE,"CAG"}</definedName>
    <definedName name="wrn.CANWEST._.GLOBAL." localSheetId="3" hidden="1">{"BS",#N/A,FALSE;"RE",#N/A,FALSE;"IS",#N/A,FALSE;"CASH",#N/A,FALSE}</definedName>
    <definedName name="wrn.CANWEST._.GLOBAL." hidden="1">{"BS",#N/A,FALSE;"RE",#N/A,FALSE;"IS",#N/A,FALSE;"CASH",#N/A,FALSE}</definedName>
    <definedName name="wrn.Cap._.Budget9_27." localSheetId="3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PITAL._.LEASES." localSheetId="3" hidden="1">{#N/A,#N/A,FALSE,"NN-1 Capital Leases"}</definedName>
    <definedName name="wrn.CAPITAL._.LEASES." hidden="1">{#N/A,#N/A,FALSE,"NN-1 Capital Leases"}</definedName>
    <definedName name="wrn.Cardiovasculars." localSheetId="3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terco." localSheetId="3" hidden="1">{#N/A,#N/A,FALSE,"Carterco"}</definedName>
    <definedName name="wrn.Carterco." hidden="1">{#N/A,#N/A,FALSE,"Carterco"}</definedName>
    <definedName name="wrn.CASH." localSheetId="3" hidden="1">{#N/A,#N/A,FALSE,"A-1 Bank Reconcilation";#N/A,#N/A,FALSE,"A-2 Outstanding Checks";#N/A,#N/A,FALSE,"A-3 Savings Accounts";#N/A,#N/A,FALSE,"A-4 Certificates of Deposit";#N/A,#N/A,FALSE,"A-5 Bank Transfer Schedule"}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localSheetId="3" hidden="1">{#N/A,#N/A,FALSE,"Layout Cash Flow"}</definedName>
    <definedName name="wrn.Cash._.Flow." hidden="1">{#N/A,#N/A,FALSE,"Layout Cash Flow"}</definedName>
    <definedName name="wrn.Cash._.Plan." localSheetId="3" hidden="1">{"cash plan",#N/A,FALSE,"fccashflow"}</definedName>
    <definedName name="wrn.Cash._.Plan." hidden="1">{"cash plan",#N/A,FALSE,"fccashflow"}</definedName>
    <definedName name="wrn.CEA._.Budget._.months._.sterling." localSheetId="3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ntral._.Nervous._.System." localSheetId="3" hidden="1">{#N/A,#N/A,FALSE,"CNS";#N/A,#N/A,FALSE,"Serz";#N/A,#N/A,FALSE,"Ace"}</definedName>
    <definedName name="wrn.Central._.Nervous._.System." hidden="1">{#N/A,#N/A,FALSE,"CNS";#N/A,#N/A,FALSE,"Serz";#N/A,#N/A,FALSE,"Ace"}</definedName>
    <definedName name="wrn.cf." localSheetId="3" hidden="1">{"one",#N/A,FALSE,"cf";"two",#N/A,FALSE,"cf"}</definedName>
    <definedName name="wrn.cf." hidden="1">{"one",#N/A,FALSE,"cf";"two",#N/A,FALSE,"cf"}</definedName>
    <definedName name="wrn.cf.2" localSheetId="3" hidden="1">{"one",#N/A,FALSE,"cf";"two",#N/A,FALSE,"cf"}</definedName>
    <definedName name="wrn.cf.2" hidden="1">{"one",#N/A,FALSE,"cf";"two",#N/A,FALSE,"cf"}</definedName>
    <definedName name="wrn.cf.3" localSheetId="3" hidden="1">{"one",#N/A,FALSE,"cf";"two",#N/A,FALSE,"cf"}</definedName>
    <definedName name="wrn.cf.3" hidden="1">{"one",#N/A,FALSE,"cf";"two",#N/A,FALSE,"cf"}</definedName>
    <definedName name="wrn.CGIC._.PLICO._.Statutory._.Results." localSheetId="3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rt._.Printouts." localSheetId="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IS." localSheetId="3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localSheetId="3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3" hidden="1">{"client cfbs",#N/A,FALSE,"Client"}</definedName>
    <definedName name="wrn.Client._.cfbs." hidden="1">{"client cfbs",#N/A,FALSE,"Client"}</definedName>
    <definedName name="wrn.Client._.is." localSheetId="3" hidden="1">{"client is",#N/A,FALSE,"Client"}</definedName>
    <definedName name="wrn.Client._.is." hidden="1">{"client is",#N/A,FALSE,"Client"}</definedName>
    <definedName name="wrn.Client._.stats." localSheetId="3" hidden="1">{"client stats",#N/A,FALSE,"Client"}</definedName>
    <definedName name="wrn.Client._.stats." hidden="1">{"client stats",#N/A,FALSE,"Client"}</definedName>
    <definedName name="wrn.Client3." localSheetId="3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localSheetId="3" hidden="1">{#N/A,#N/A,FALSE,"FAB VENDORS";"BUD SUM",#N/A,FALSE,"BUD SUM WO TEX"}</definedName>
    <definedName name="WRN.CM" hidden="1">{#N/A,#N/A,FALSE,"FAB VENDORS";"BUD SUM",#N/A,FALSE,"BUD SUM WO TEX"}</definedName>
    <definedName name="WRN.CM1" localSheetId="3" hidden="1">{#N/A,#N/A,FALSE,"FAB VENDORS";"BUD SUM",#N/A,FALSE,"BUD SUM WO TEX"}</definedName>
    <definedName name="WRN.CM1" hidden="1">{#N/A,#N/A,FALSE,"FAB VENDORS";"BUD SUM",#N/A,FALSE,"BUD SUM WO TEX"}</definedName>
    <definedName name="wrn.Combination." localSheetId="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3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3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p._.and._.Prices." localSheetId="3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mparisons." localSheetId="3" hidden="1">{#N/A,#N/A,FALSE," IS Comparison";#N/A,#N/A,FALSE,"BS Comparison";#N/A,#N/A,FALSE," SCF Comparison"}</definedName>
    <definedName name="wrn.Comparisons." hidden="1">{#N/A,#N/A,FALSE," IS Comparison";#N/A,#N/A,FALSE,"BS Comparison";#N/A,#N/A,FALSE," SCF Comparison"}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Compco._.Only." localSheetId="3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2" localSheetId="3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localSheetId="3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3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localSheetId="3" hidden="1">{#N/A,#N/A,FALSE,"Comps"}</definedName>
    <definedName name="wrn.Comps." hidden="1">{#N/A,#N/A,FALSE,"Comps"}</definedName>
    <definedName name="wrn.comps._.and._.DCF_LBO." localSheetId="3" hidden="1">{#N/A,#N/A,FALSE,"MKT.COMPS";#N/A,#N/A,FALSE,"DCF - LBO"}</definedName>
    <definedName name="wrn.comps._.and._.DCF_LBO." hidden="1">{#N/A,#N/A,FALSE,"MKT.COMPS";#N/A,#N/A,FALSE,"DCF - LBO"}</definedName>
    <definedName name="wrn.comps._1" localSheetId="3" hidden="1">{#N/A,#N/A,FALSE,"Comp"}</definedName>
    <definedName name="wrn.comps._1" hidden="1">{#N/A,#N/A,FALSE,"Comp"}</definedName>
    <definedName name="wrn.comps._1_1" localSheetId="3" hidden="1">{#N/A,#N/A,FALSE,"Comp"}</definedName>
    <definedName name="wrn.comps._1_1" hidden="1">{#N/A,#N/A,FALSE,"Comp"}</definedName>
    <definedName name="wrn.comps._1_2" localSheetId="3" hidden="1">{#N/A,#N/A,FALSE,"Comp"}</definedName>
    <definedName name="wrn.comps._1_2" hidden="1">{#N/A,#N/A,FALSE,"Comp"}</definedName>
    <definedName name="wrn.comps._1_3" localSheetId="3" hidden="1">{#N/A,#N/A,FALSE,"Comp"}</definedName>
    <definedName name="wrn.comps._1_3" hidden="1">{#N/A,#N/A,FALSE,"Comp"}</definedName>
    <definedName name="wrn.comps._1_4" localSheetId="3" hidden="1">{#N/A,#N/A,FALSE,"Comp"}</definedName>
    <definedName name="wrn.comps._1_4" hidden="1">{#N/A,#N/A,FALSE,"Comp"}</definedName>
    <definedName name="wrn.comps._2" localSheetId="3" hidden="1">{#N/A,#N/A,FALSE,"Comp"}</definedName>
    <definedName name="wrn.comps._2" hidden="1">{#N/A,#N/A,FALSE,"Comp"}</definedName>
    <definedName name="wrn.comps._3" localSheetId="3" hidden="1">{#N/A,#N/A,FALSE,"Comp"}</definedName>
    <definedName name="wrn.comps._3" hidden="1">{#N/A,#N/A,FALSE,"Comp"}</definedName>
    <definedName name="wrn.comps._4" localSheetId="3" hidden="1">{#N/A,#N/A,FALSE,"Comp"}</definedName>
    <definedName name="wrn.comps._4" hidden="1">{#N/A,#N/A,FALSE,"Comp"}</definedName>
    <definedName name="wrn.comps._5" localSheetId="3" hidden="1">{#N/A,#N/A,FALSE,"Comp"}</definedName>
    <definedName name="wrn.comps._5" hidden="1">{#N/A,#N/A,FALSE,"Comp"}</definedName>
    <definedName name="wrn.comps.whatisthis" localSheetId="3" hidden="1">{#N/A,#N/A,FALSE,"Comp"}</definedName>
    <definedName name="wrn.comps.whatisthis" hidden="1">{#N/A,#N/A,FALSE,"Comp"}</definedName>
    <definedName name="wrn.comps.whatisthis_1" localSheetId="3" hidden="1">{#N/A,#N/A,FALSE,"Comp"}</definedName>
    <definedName name="wrn.comps.whatisthis_1" hidden="1">{#N/A,#N/A,FALSE,"Comp"}</definedName>
    <definedName name="wrn.comps.whatisthis_1_1" localSheetId="3" hidden="1">{#N/A,#N/A,FALSE,"Comp"}</definedName>
    <definedName name="wrn.comps.whatisthis_1_1" hidden="1">{#N/A,#N/A,FALSE,"Comp"}</definedName>
    <definedName name="wrn.comps.whatisthis_1_2" localSheetId="3" hidden="1">{#N/A,#N/A,FALSE,"Comp"}</definedName>
    <definedName name="wrn.comps.whatisthis_1_2" hidden="1">{#N/A,#N/A,FALSE,"Comp"}</definedName>
    <definedName name="wrn.comps.whatisthis_1_3" localSheetId="3" hidden="1">{#N/A,#N/A,FALSE,"Comp"}</definedName>
    <definedName name="wrn.comps.whatisthis_1_3" hidden="1">{#N/A,#N/A,FALSE,"Comp"}</definedName>
    <definedName name="wrn.comps.whatisthis_1_4" localSheetId="3" hidden="1">{#N/A,#N/A,FALSE,"Comp"}</definedName>
    <definedName name="wrn.comps.whatisthis_1_4" hidden="1">{#N/A,#N/A,FALSE,"Comp"}</definedName>
    <definedName name="wrn.comps.whatisthis_2" localSheetId="3" hidden="1">{#N/A,#N/A,FALSE,"Comp"}</definedName>
    <definedName name="wrn.comps.whatisthis_2" hidden="1">{#N/A,#N/A,FALSE,"Comp"}</definedName>
    <definedName name="wrn.comps.whatisthis_3" localSheetId="3" hidden="1">{#N/A,#N/A,FALSE,"Comp"}</definedName>
    <definedName name="wrn.comps.whatisthis_3" hidden="1">{#N/A,#N/A,FALSE,"Comp"}</definedName>
    <definedName name="wrn.comps.whatisthis_4" localSheetId="3" hidden="1">{#N/A,#N/A,FALSE,"Comp"}</definedName>
    <definedName name="wrn.comps.whatisthis_4" hidden="1">{#N/A,#N/A,FALSE,"Comp"}</definedName>
    <definedName name="wrn.comps.whatisthis_5" localSheetId="3" hidden="1">{#N/A,#N/A,FALSE,"Comp"}</definedName>
    <definedName name="wrn.comps.whatisthis_5" hidden="1">{#N/A,#N/A,FALSE,"Comp"}</definedName>
    <definedName name="wrn.CONSOLIDACIÓN." localSheetId="3" hidden="1">{#N/A,#N/A,FALSE,"CNS_ADJ";"Balance Consolidado",#N/A,FALSE,"BCEC_CNS";#N/A,#N/A,FALSE,"USGAAP_ADJ"}</definedName>
    <definedName name="wrn.CONSOLIDACIÓN." hidden="1">{#N/A,#N/A,FALSE,"CNS_ADJ";"Balance Consolidado",#N/A,FALSE,"BCEC_CNS";#N/A,#N/A,FALSE,"USGAAP_ADJ"}</definedName>
    <definedName name="wrn.consolidated." localSheetId="3" hidden="1">{"income",#N/A,FALSE,"CONSOLIDATED";"value",#N/A,FALSE,"CONSOLIDATED"}</definedName>
    <definedName name="wrn.consolidated." hidden="1">{"income",#N/A,FALSE,"CONSOLIDATED";"value",#N/A,FALSE,"CONSOLIDATED"}</definedName>
    <definedName name="wrn.Consolidated._.Set." localSheetId="3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ing." localSheetId="3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ON.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umer._.Medicines.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ibution." localSheetId="3" hidden="1">{#N/A,#N/A,FALSE,"Contribution Analysis"}</definedName>
    <definedName name="wrn.contribution." hidden="1">{#N/A,#N/A,FALSE,"Contribution Analysis"}</definedName>
    <definedName name="wrn.CORPO." localSheetId="3" hidden="1">{#N/A,#N/A,FALSE,"DIV.CORPO"}</definedName>
    <definedName name="wrn.CORPO." hidden="1">{#N/A,#N/A,FALSE,"DIV.CORPO"}</definedName>
    <definedName name="wrn.Corporate." localSheetId="3" hidden="1">{"Corporate",#N/A,FALSE,"Corporate Profile"}</definedName>
    <definedName name="wrn.Corporate." hidden="1">{"Corporate",#N/A,FALSE,"Corporate Profile"}</definedName>
    <definedName name="wrn.CORR." localSheetId="3" hidden="1">{"INCSTMT1",#N/A,FALSE,"COR";"INCSTMT2",#N/A,FALSE,"COR"}</definedName>
    <definedName name="wrn.CORR." hidden="1">{"INCSTMT1",#N/A,FALSE,"COR";"INCSTMT2",#N/A,FALSE,"COR"}</definedName>
    <definedName name="wrn.cotop." localSheetId="3" hidden="1">{"ReportTop",#N/A,FALSE,"report top"}</definedName>
    <definedName name="wrn.cotop." hidden="1">{"ReportTop",#N/A,FALSE,"report top"}</definedName>
    <definedName name="wrn.cotop2." localSheetId="3" hidden="1">{"ReportTop",#N/A,FALSE,"report top"}</definedName>
    <definedName name="wrn.cotop2." hidden="1">{"ReportTop",#N/A,FALSE,"report top"}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localSheetId="3" hidden="1">{#N/A,#N/A,FALSE,"CPB"}</definedName>
    <definedName name="wrn.CPB." hidden="1">{#N/A,#N/A,FALSE,"CPB"}</definedName>
    <definedName name="wrn.Credit._.Summary." localSheetId="3" hidden="1">{#N/A,#N/A,FALSE,"Credit Summary"}</definedName>
    <definedName name="wrn.Credit._.Summary." hidden="1">{#N/A,#N/A,FALSE,"Credit Summary"}</definedName>
    <definedName name="wrn.CSC." localSheetId="3" hidden="1">{"Output1",#N/A,FALSE,"Output";"Ratios1",#N/A,FALSE,"Ratios"}</definedName>
    <definedName name="wrn.CSC." hidden="1">{"Output1",#N/A,FALSE,"Output";"Ratios1",#N/A,FALSE,"Ratios"}</definedName>
    <definedName name="wrn.csc2." localSheetId="3" hidden="1">{#N/A,#N/A,FALSE,"ORIX CSC"}</definedName>
    <definedName name="wrn.csc2." hidden="1">{#N/A,#N/A,FALSE,"ORIX CSC"}</definedName>
    <definedName name="wrn.CW." localSheetId="3" hidden="1">{#N/A,#N/A,FALSE,"FAB VENDORS";"BUD SUM",#N/A,FALSE,"BUD SUM WO TEX"}</definedName>
    <definedName name="wrn.CW." hidden="1">{#N/A,#N/A,FALSE,"FAB VENDORS";"BUD SUM",#N/A,FALSE,"BUD SUM WO TEX"}</definedName>
    <definedName name="wrn.DAILY._.SALES." localSheetId="3" hidden="1">{"New York",#N/A,FALSE,"NY";"London Et Al",#N/A,FALSE,"NY";"Cash Balance",#N/A,FALSE,"NY"}</definedName>
    <definedName name="wrn.DAILY._.SALES." hidden="1">{"New York",#N/A,FALSE,"NY";"London Et Al",#N/A,FALSE,"NY";"Cash Balance",#N/A,FALSE,"NY"}</definedName>
    <definedName name="wrn.DATA." localSheetId="3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base." localSheetId="3" hidden="1">{"subs",#N/A,FALSE,"database ";"proportional",#N/A,FALSE,"database "}</definedName>
    <definedName name="wrn.database." hidden="1">{"subs",#N/A,FALSE,"database ";"proportional",#N/A,FALSE,"database "}</definedName>
    <definedName name="wrn.database.?" localSheetId="3" hidden="1">{"subs",#N/A,FALSE,"database ";"proportional",#N/A,FALSE,"database "}</definedName>
    <definedName name="wrn.database.?" hidden="1">{"subs",#N/A,FALSE,"database ";"proportional",#N/A,FALSE,"database "}</definedName>
    <definedName name="wrn.DataVPN." localSheetId="3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localSheetId="3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 hidden="1">{"DCF1",#N/A,FALSE,"SIERRA DCF";"MATRIX1",#N/A,FALSE,"SIERRA DCF"}</definedName>
    <definedName name="wrn.DCF." hidden="1">{"DCF1",#N/A,FALSE,"SIERRA DCF";"MATRIX1",#N/A,FALSE,"SIERRA DCF"}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localSheetId="3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.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3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matrix." localSheetId="3" hidden="1">{"depmatrix",#N/A,FALSE,"DECATUR-DIMMIT"}</definedName>
    <definedName name="wrn.depmatrix." hidden="1">{"depmatrix",#N/A,FALSE,"DECATUR-DIMMIT"}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Detail._.Balance._.Sheet." localSheetId="3" hidden="1">{#N/A,#N/A,FALSE,"Detail"}</definedName>
    <definedName name="wrn.Detail._.Balance._.Sheet." hidden="1">{#N/A,#N/A,FALSE,"Detail"}</definedName>
    <definedName name="wrn.Detail._.Income._.Statement." localSheetId="3" hidden="1">{"Facility Detail",#N/A,FALSE,"P&amp;L Detail"}</definedName>
    <definedName name="wrn.Detail._.Income._.Statement." hidden="1">{"Facility Detail",#N/A,FALSE,"P&amp;L Detail"}</definedName>
    <definedName name="wrn.Detail_Projection." localSheetId="3" hidden="1">{#N/A,#N/A,FALSE,"Detail YTD"}</definedName>
    <definedName name="wrn.Detail_Projection." hidden="1">{#N/A,#N/A,FALSE,"Detail YTD"}</definedName>
    <definedName name="wrn.Detailed._.P._.and._.L." localSheetId="3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vdeal." localSheetId="3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il_anal." localSheetId="3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." localSheetId="3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stribution." localSheetId="3" hidden="1">{#N/A,#N/A,FALSE,"Total";#N/A,#N/A,FALSE,"Compensation";#N/A,#N/A,FALSE,"T_E";#N/A,#N/A,FALSE,"Meetings";#N/A,#N/A,FALSE,"Auto Exp";#N/A,#N/A,FALSE,"Office Exp"}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localSheetId="3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jall." localSheetId="3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localSheetId="3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3" hidden="1">{"EVA",#N/A,FALSE,"EVA";"WACC",#N/A,FALSE,"WACC"}</definedName>
    <definedName name="wrn.Economic._.Value._.Added._.Analysis." hidden="1">{"EVA",#N/A,FALSE,"EVA";"WACC",#N/A,FALSE,"WACC"}</definedName>
    <definedName name="wrn.ecpall." localSheetId="3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on." localSheetId="3" hidden="1">{#N/A,#N/A,FALSE,"Sheet1";#N/A,#N/A,FALSE,"totalp&amp;L";#N/A,#N/A,FALSE,"totalassump";#N/A,#N/A,FALSE,"basep&amp;L";#N/A,#N/A,FALSE,"baseassump";#N/A,#N/A,FALSE,"sum slide"}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E4._.Budget._.months._.sterling." localSheetId="3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localSheetId="3" hidden="1">{#N/A,#N/A,TRUE,"1";#N/A,#N/A,TRUE,"1.2";#N/A,#N/A,TRUE,"2";#N/A,#N/A,TRUE,"4";#N/A,#N/A,TRUE,"11";#N/A,#N/A,TRUE,"11.9";#N/A,#N/A,TRUE,"A";#N/A,#N/A,TRUE,"B";#N/A,#N/A,TRUE,"C"}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localSheetId="3" hidden="1">{"Alle Perioden",#N/A,FALSE,"Erf";"Alle Perioden",#N/A,FALSE,"BV100";"Alle Perioden",#N/A,FALSE,"BE100";"Alle Perioden",#N/A,FALSE,"Re100";"Alle Perioden",#N/A,FALSE,"Vol100"}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localSheetId="3" hidden="1">{"Erste elf Perioden",#N/A,FALSE,"Erf";"Erste elf Perioden",#N/A,FALSE,"BV100";"Erste elf Perioden",#N/A,FALSE,"BE100";"Erste elf Perioden",#N/A,FALSE,"Re100";"Erste elf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mployee._.Efficiency." localSheetId="3" hidden="1">{"Employee Efficiency",#N/A,FALSE,"Benchmarking"}</definedName>
    <definedName name="wrn.Employee._.Efficiency." hidden="1">{"Employee Efficiency",#N/A,FALSE,"Benchmarking"}</definedName>
    <definedName name="wrn.Enitre._.Model." localSheetId="3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ntire._.Model.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TATS." localSheetId="3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urope._.Base." localSheetId="3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3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verything.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Executive._.Reports." localSheetId="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itAndSalesAssumptions." localSheetId="3" hidden="1">{#N/A,#N/A,FALSE,"ExitStratigy"}</definedName>
    <definedName name="wrn.ExitAndSalesAssumptions." hidden="1">{#N/A,#N/A,FALSE,"ExitStratigy"}</definedName>
    <definedName name="wrn.EXPENSES." localSheetId="3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acility._.Profit._.and._.Loss." localSheetId="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r._.East._.Set." localSheetId="3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c" localSheetId="3" hidden="1">{"FCB_ALL",#N/A,FALSE,"FCB"}</definedName>
    <definedName name="wrn.fc" hidden="1">{"FCB_ALL",#N/A,FALSE,"FCB"}</definedName>
    <definedName name="wrn.fc12" localSheetId="3" hidden="1">{"FCB_ALL",#N/A,FALSE,"FCB"}</definedName>
    <definedName name="wrn.fc12" hidden="1">{"FCB_ALL",#N/A,FALSE,"FCB"}</definedName>
    <definedName name="wrn.fcb" localSheetId="3" hidden="1">{"FCB_ALL",#N/A,FALSE,"FCB"}</definedName>
    <definedName name="wrn.fcb" hidden="1">{"FCB_ALL",#N/A,FALSE,"FCB"}</definedName>
    <definedName name="wrn.FCB." localSheetId="3" hidden="1">{"FCB_ALL",#N/A,FALSE,"FCB"}</definedName>
    <definedName name="wrn.FCB." hidden="1">{"FCB_ALL",#N/A,FALSE,"FCB"}</definedName>
    <definedName name="wrn.fcb._dcf" localSheetId="3" hidden="1">{"FCB_ALL",#N/A,FALSE,"FCB"}</definedName>
    <definedName name="wrn.fcb._dcf" hidden="1">{"FCB_ALL",#N/A,FALSE,"FCB"}</definedName>
    <definedName name="wrn.fcb.1" localSheetId="3" hidden="1">{"FCB_ALL",#N/A,FALSE,"FCB"}</definedName>
    <definedName name="wrn.fcb.1" hidden="1">{"FCB_ALL",#N/A,FALSE,"FCB"}</definedName>
    <definedName name="wrn.fcb.9" localSheetId="3" hidden="1">{"FCB_ALL",#N/A,FALSE,"FCB"}</definedName>
    <definedName name="wrn.fcb.9" hidden="1">{"FCB_ALL",#N/A,FALSE,"FCB"}</definedName>
    <definedName name="wrn.fcb1" localSheetId="3" hidden="1">{"FCB_ALL",#N/A,FALSE,"FCB"}</definedName>
    <definedName name="wrn.fcb1" hidden="1">{"FCB_ALL",#N/A,FALSE,"FCB"}</definedName>
    <definedName name="wrn.fcb10" localSheetId="3" hidden="1">{"FCB_ALL",#N/A,FALSE,"FCB"}</definedName>
    <definedName name="wrn.fcb10" hidden="1">{"FCB_ALL",#N/A,FALSE,"FCB"}</definedName>
    <definedName name="wrn.fcb11" localSheetId="3" hidden="1">{"FCB_ALL",#N/A,FALSE,"FCB"}</definedName>
    <definedName name="wrn.fcb11" hidden="1">{"FCB_ALL",#N/A,FALSE,"FCB"}</definedName>
    <definedName name="wrn.fcb2" localSheetId="3" hidden="1">{"FCB_ALL",#N/A,FALSE,"FCB"}</definedName>
    <definedName name="wrn.fcb2" hidden="1">{"FCB_ALL",#N/A,FALSE,"FCB"}</definedName>
    <definedName name="wrn.fcb2_dcf" localSheetId="3" hidden="1">{"FCB_ALL",#N/A,FALSE,"FCB"}</definedName>
    <definedName name="wrn.fcb2_dcf" hidden="1">{"FCB_ALL",#N/A,FALSE,"FCB"}</definedName>
    <definedName name="wrn.fcb3" localSheetId="3" hidden="1">{"FCB_ALL",#N/A,FALSE,"FCB"}</definedName>
    <definedName name="wrn.fcb3" hidden="1">{"FCB_ALL",#N/A,FALSE,"FCB"}</definedName>
    <definedName name="wrn.fcb4" localSheetId="3" hidden="1">{"FCB_ALL",#N/A,FALSE,"FCB"}</definedName>
    <definedName name="wrn.fcb4" hidden="1">{"FCB_ALL",#N/A,FALSE,"FCB"}</definedName>
    <definedName name="wrn.fcb5" localSheetId="3" hidden="1">{"FCB_ALL",#N/A,FALSE,"FCB"}</definedName>
    <definedName name="wrn.fcb5" hidden="1">{"FCB_ALL",#N/A,FALSE,"FCB"}</definedName>
    <definedName name="wrn.fcb6" localSheetId="3" hidden="1">{"FCB_ALL",#N/A,FALSE,"FCB"}</definedName>
    <definedName name="wrn.fcb6" hidden="1">{"FCB_ALL",#N/A,FALSE,"FCB"}</definedName>
    <definedName name="wrn.fcb7" localSheetId="3" hidden="1">{"FCB_ALL",#N/A,FALSE,"FCB"}</definedName>
    <definedName name="wrn.fcb7" hidden="1">{"FCB_ALL",#N/A,FALSE,"FCB"}</definedName>
    <definedName name="wrn.fcb8" localSheetId="3" hidden="1">{"FCB_ALL",#N/A,FALSE,"FCB"}</definedName>
    <definedName name="wrn.fcb8" hidden="1">{"FCB_ALL",#N/A,FALSE,"FCB"}</definedName>
    <definedName name="wrn.fcb9" localSheetId="3" hidden="1">{"FCB_ALL",#N/A,FALSE,"FCB"}</definedName>
    <definedName name="wrn.fcb9" hidden="1">{"FCB_ALL",#N/A,FALSE,"FCB"}</definedName>
    <definedName name="wrn.FDII6_01PortReview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3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localSheetId="3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_.Copy." localSheetId="3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s." localSheetId="3" hidden="1">{#N/A,#N/A,FALSE,"Summary";#N/A,#N/A,FALSE,"Process";#N/A,#N/A,FALSE,"Utility";#N/A,#N/A,FALSE,"Crude Tanks";#N/A,#N/A,FALSE,"Product"}</definedName>
    <definedName name="wrn.Finals." hidden="1">{#N/A,#N/A,FALSE,"Summary";#N/A,#N/A,FALSE,"Process";#N/A,#N/A,FALSE,"Utility";#N/A,#N/A,FALSE,"Crude Tanks";#N/A,#N/A,FALSE,"Product"}</definedName>
    <definedName name="wrn.Finanalysis." localSheetId="3" hidden="1">{"finana",#N/A,FALSE,"Fin"}</definedName>
    <definedName name="wrn.Finanalysis." hidden="1">{"finana",#N/A,FALSE,"Fin"}</definedName>
    <definedName name="wrn.financial._.model." localSheetId="3" hidden="1">{#N/A,#N/A,FALSE,"Financials";#N/A,#N/A,FALSE,"B.S.";#N/A,#N/A,FALSE,"Costs";#N/A,#N/A,FALSE,"Fixed Assets";#N/A,#N/A,FALSE,"DCF";#N/A,#N/A,FALSE,"AVP"}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package." localSheetId="3" hidden="1">{#N/A,#N/A,FALSE,"BALANCE SHEET";#N/A,#N/A,FALSE,"IS";#N/A,#N/A,FALSE,"ISCOMPAR";#N/A,#N/A,FALSE,"ADD RETMAR";#N/A,#N/A,FALSE,"VARIOUS COMP";#N/A,#N/A,FALSE,"RATIOS";#N/A,#N/A,FALSE,"GRAPHS"}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s." localSheetId="3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Statements." localSheetId="3" hidden="1">{#N/A,#N/A,TRUE,"COVER";#N/A,#N/A,TRUE,"BS";#N/A,#N/A,TRUE,"IS";#N/A,#N/A,TRUE,"CF"}</definedName>
    <definedName name="wrn.Financial._.Statements." hidden="1">{#N/A,#N/A,TRUE,"COVER";#N/A,#N/A,TRUE,"BS";#N/A,#N/A,TRUE,"IS";#N/A,#N/A,TRUE,"CF"}</definedName>
    <definedName name="wrn.Financial_Package." localSheetId="3" hidden="1">{#N/A,#N/A,FALSE,"Cover";#N/A,#N/A,FALSE,"TOC";#N/A,#N/A,FALSE,"IS";#N/A,#N/A,FALSE,"Mo. IS";#N/A,#N/A,FALSE,"Cont By Div";#N/A,#N/A,FALSE,"BS";#N/A,#N/A,FALSE,"CF";#N/A,#N/A,FALSE,"Inventory"}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s." localSheetId="3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inancials_long." localSheetId="3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zbedarfsrechnung." localSheetId="3" hidden="1">{#N/A,#N/A,FALSE,"Finanzbedarfsrechnung"}</definedName>
    <definedName name="wrn.Finanzbedarfsrechnung." hidden="1">{#N/A,#N/A,FALSE,"Finanzbedarfsrechnung"}</definedName>
    <definedName name="wrn.finmodel." localSheetId="3" hidden="1">{#N/A,#N/A,FALSE,"Fin Model"}</definedName>
    <definedName name="wrn.finmodel." hidden="1">{#N/A,#N/A,FALSE,"Fin Model"}</definedName>
    <definedName name="wrn.finmodel._1" localSheetId="3" hidden="1">{#N/A,#N/A,FALSE,"Fin Model"}</definedName>
    <definedName name="wrn.finmodel._1" hidden="1">{#N/A,#N/A,FALSE,"Fin Model"}</definedName>
    <definedName name="wrn.finmodel._1_1" localSheetId="3" hidden="1">{#N/A,#N/A,FALSE,"Fin Model"}</definedName>
    <definedName name="wrn.finmodel._1_1" hidden="1">{#N/A,#N/A,FALSE,"Fin Model"}</definedName>
    <definedName name="wrn.finmodel._1_2" localSheetId="3" hidden="1">{#N/A,#N/A,FALSE,"Fin Model"}</definedName>
    <definedName name="wrn.finmodel._1_2" hidden="1">{#N/A,#N/A,FALSE,"Fin Model"}</definedName>
    <definedName name="wrn.finmodel._1_3" localSheetId="3" hidden="1">{#N/A,#N/A,FALSE,"Fin Model"}</definedName>
    <definedName name="wrn.finmodel._1_3" hidden="1">{#N/A,#N/A,FALSE,"Fin Model"}</definedName>
    <definedName name="wrn.finmodel._1_4" localSheetId="3" hidden="1">{#N/A,#N/A,FALSE,"Fin Model"}</definedName>
    <definedName name="wrn.finmodel._1_4" hidden="1">{#N/A,#N/A,FALSE,"Fin Model"}</definedName>
    <definedName name="wrn.finmodel._2" localSheetId="3" hidden="1">{#N/A,#N/A,FALSE,"Fin Model"}</definedName>
    <definedName name="wrn.finmodel._2" hidden="1">{#N/A,#N/A,FALSE,"Fin Model"}</definedName>
    <definedName name="wrn.finmodel._3" localSheetId="3" hidden="1">{#N/A,#N/A,FALSE,"Fin Model"}</definedName>
    <definedName name="wrn.finmodel._3" hidden="1">{#N/A,#N/A,FALSE,"Fin Model"}</definedName>
    <definedName name="wrn.finmodel._4" localSheetId="3" hidden="1">{#N/A,#N/A,FALSE,"Fin Model"}</definedName>
    <definedName name="wrn.finmodel._4" hidden="1">{#N/A,#N/A,FALSE,"Fin Model"}</definedName>
    <definedName name="wrn.finmodel._5" localSheetId="3" hidden="1">{#N/A,#N/A,FALSE,"Fin Model"}</definedName>
    <definedName name="wrn.finmodel._5" hidden="1">{#N/A,#N/A,FALSE,"Fin Model"}</definedName>
    <definedName name="wrn.first2." localSheetId="3" hidden="1">{#N/A,#N/A,FALSE,"sum-don";#N/A,#N/A,FALSE,"inc-don"}</definedName>
    <definedName name="wrn.first2." hidden="1">{#N/A,#N/A,FALSE,"sum-don";#N/A,#N/A,FALSE,"inc-don"}</definedName>
    <definedName name="wrn.first3." localSheetId="3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3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ve._.Year._.Model.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3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localSheetId="3" hidden="1">{"Five Year Record",#N/A,FALSE,"Front and Back"}</definedName>
    <definedName name="wrn.Five._.Year._.Record." hidden="1">{"Five Year Record",#N/A,FALSE,"Front and Back"}</definedName>
    <definedName name="wrn.fleck." localSheetId="3" hidden="1">{"first",#N/A,FALSE,"FLEXPAC2";"second",#N/A,FALSE,"FLEXPAC2"}</definedName>
    <definedName name="wrn.fleck." hidden="1">{"first",#N/A,FALSE,"FLEXPAC2";"second",#N/A,FALSE,"FLEXPAC2"}</definedName>
    <definedName name="wrn.fleckcompac." localSheetId="3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OUR._.CASES." localSheetId="3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ont._.Page." localSheetId="3" hidden="1">{"Front Page",#N/A,FALSE,"Front and Back"}</definedName>
    <definedName name="wrn.Front._.Page." hidden="1">{"Front Page",#N/A,FALSE,"Front and Back"}</definedName>
    <definedName name="wrn.FS_2005." localSheetId="3" hidden="1">{"BS-Yearly",#N/A,TRUE,"BS-Year";"BS-Monthly-2005",#N/A,TRUE,"BS"}</definedName>
    <definedName name="wrn.FS_2005." hidden="1">{"BS-Yearly",#N/A,TRUE,"BS-Year";"BS-Monthly-2005",#N/A,TRUE,"BS"}</definedName>
    <definedName name="wrn.FSAPR." localSheetId="3" hidden="1">{#N/A,#N/A,TRUE,"COVER";#N/A,#N/A,TRUE,"BS";#N/A,#N/A,TRUE,"APR-01";#N/A,#N/A,TRUE,"CF"}</definedName>
    <definedName name="wrn.FSAPR." hidden="1">{#N/A,#N/A,TRUE,"COVER";#N/A,#N/A,TRUE,"BS";#N/A,#N/A,TRUE,"APR-01";#N/A,#N/A,TRUE,"CF"}</definedName>
    <definedName name="wrn.Full." localSheetId="3" hidden="1">{"Comp1",#N/A,FALSE,"COMP";"Comp2",#N/A,FALSE,"COMP";"Comp3",#N/A,FALSE,"COMP";"Comp4",#N/A,FALSE,"COMP"}</definedName>
    <definedName name="wrn.Full." hidden="1">{"Comp1",#N/A,FALSE,"COMP";"Comp2",#N/A,FALSE,"COMP";"Comp3",#N/A,FALSE,"COMP";"Comp4",#N/A,FALSE,"COMP"}</definedName>
    <definedName name="wrn.Full._.Budget." localSheetId="3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localSheetId="3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Monty.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localSheetId="3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localSheetId="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localSheetId="3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_Model." localSheetId="3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Template.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nd._.II." localSheetId="3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3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3" hidden="1">{#N/A,#N/A,TRUE,"FD IV Portfolio Summary ";#N/A,#N/A,TRUE,"Western";#N/A,#N/A,TRUE,"Kranson";#N/A,#N/A,TRUE,"ARC";#N/A,#N/A,TRUE,"Precise";#N/A,#N/A,TRUE,"WNA"}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" localSheetId="3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localSheetId="3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localSheetId="3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97SBP." localSheetId="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CIall." localSheetId="3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neral._.OTC." localSheetId="3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3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3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ographic._.Trends." localSheetId="3" hidden="1">{"Geographic P1",#N/A,FALSE,"Division &amp; Geog"}</definedName>
    <definedName name="wrn.Geographic._.Trends." hidden="1">{"Geographic P1",#N/A,FALSE,"Division &amp; Geog"}</definedName>
    <definedName name="wrn.Gesamtausdruck._.alle._.Perioden." localSheetId="3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localSheetId="3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localSheetId="3" hidden="1">{#N/A,#N/A,FALSE,"GIS"}</definedName>
    <definedName name="wrn.GIS." hidden="1">{#N/A,#N/A,FALSE,"GIS"}</definedName>
    <definedName name="wrn.glc." localSheetId="3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promonte." localSheetId="3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raph." localSheetId="3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localSheetId="3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oup." localSheetId="3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_.budget._.months._.only." localSheetId="3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localSheetId="3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GuV." localSheetId="3" hidden="1">{#N/A,#N/A,FALSE,"Layout GuV"}</definedName>
    <definedName name="wrn.GuV." hidden="1">{#N/A,#N/A,FALSE,"Layout GuV"}</definedName>
    <definedName name="wrn.HAMMOND.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localSheetId="3" hidden="1">{#N/A,#N/A,FALSE,"Output";#N/A,#N/A,FALSE,"Cover Sheet";#N/A,#N/A,FALSE,"Current Mkt. Projections"}</definedName>
    <definedName name="wrn.Handout." hidden="1">{#N/A,#N/A,FALSE,"Output";#N/A,#N/A,FALSE,"Cover Sheet";#N/A,#N/A,FALSE,"Current Mkt. Projections"}</definedName>
    <definedName name="wrn.HEAT." localSheetId="3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istorical." localSheetId="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localSheetId="3" hidden="1">{"rev_history_revenueDetail",#N/A,FALSE,"historical rev us";"rev_history_minutesDetail",#N/A,FALSE,"historical rev us"}</definedName>
    <definedName name="wrn.historical._.rev._.backup." hidden="1">{"rev_history_revenueDetail",#N/A,FALSE,"historical rev us";"rev_history_minutesDetail",#N/A,FALSE,"historical rev us"}</definedName>
    <definedName name="wrn.HNZ." localSheetId="3" hidden="1">{#N/A,#N/A,FALSE,"HNZ"}</definedName>
    <definedName name="wrn.HNZ." hidden="1">{#N/A,#N/A,FALSE,"HNZ"}</definedName>
    <definedName name="wrn.HSSH._.budget._.months._.NLG." localSheetId="3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localSheetId="3" hidden="1">{"CASHFLOW",#N/A,FALSE,"Northpointe"}</definedName>
    <definedName name="wrn.III." hidden="1">{"CASHFLOW",#N/A,FALSE,"Northpointe"}</definedName>
    <definedName name="wrn.III1." localSheetId="3" hidden="1">{"CASHFLOW",#N/A,FALSE,"Northpointe"}</definedName>
    <definedName name="wrn.III1." hidden="1">{"CASHFLOW",#N/A,FALSE,"Northpointe"}</definedName>
    <definedName name="wrn.Ilijan._.Print." localSheetId="3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localSheetId="3" hidden="1">{"imp_Sommaire",#N/A,FALSE,"REV IMMOBILIER"}</definedName>
    <definedName name="wrn.imp_sommaire." hidden="1">{"imp_Sommaire",#N/A,FALSE,"REV IMMOBILIER"}</definedName>
    <definedName name="wrn.imp_Tous." localSheetId="3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localSheetId="3" hidden="1">{#N/A,#N/A,FALSE}</definedName>
    <definedName name="wrn.Income._.Statement." hidden="1">{#N/A,#N/A,FALSE}</definedName>
    <definedName name="wrn.Income._.Statement._1" localSheetId="3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localSheetId="3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localSheetId="3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localSheetId="3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localSheetId="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localSheetId="3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localSheetId="3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localSheetId="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localSheetId="3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localSheetId="3" hidden="1">{"Income Statement",#N/A,FALSE,"P&amp;L - $";"Quarterly Income Statement",#N/A,FALSE,"P&amp;L Detail"}</definedName>
    <definedName name="wrn.Income._.Statements." hidden="1">{"Income Statement",#N/A,FALSE,"P&amp;L - $";"Quarterly Income Statement",#N/A,FALSE,"P&amp;L Detail"}</definedName>
    <definedName name="wrn.INDEPS." localSheetId="3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fectious._.Diseases.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localSheetId="3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itial._.Strat._.Plan." localSheetId="3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Initial._.Strat._.Plan." hidden="1">{#N/A,#N/A,FALSE,"Bridge - Waterfall";#N/A,#N/A,FALSE,"3 year view Monty";#N/A,#N/A,FALSE,"3 year view (presentaion)";#N/A,#N/A,FALSE,"Opportunities";#N/A,#N/A,FALSE,"3 year view";#N/A,#N/A,FALSE,"Summary";#N/A,#N/A,FALSE,"CAPEX-FCF-EP";#N/A,#N/A,FALSE,"DE Ratio";#N/A,#N/A,FALSE,"Sensitivity"}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localSheetId="3" hidden="1">{#N/A,#N/A,FALSE,"inputs";#N/A,#N/A,FALSE,"inputs"}</definedName>
    <definedName name="wrn.Input._.Print._.Area." hidden="1">{#N/A,#N/A,FALSE,"inputs";#N/A,#N/A,FALSE,"inputs"}</definedName>
    <definedName name="wrn.Instructor._.Tips." localSheetId="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ANGIBLES." localSheetId="3" hidden="1">{#N/A,#N/A,FALSE,"T-1 Intangibles"}</definedName>
    <definedName name="wrn.INTANGIBLES." hidden="1">{#N/A,#N/A,FALSE,"T-1 Intangibles"}</definedName>
    <definedName name="wrn.INTEREST." localSheetId="3" hidden="1">{#N/A,#N/A,FALSE,"0700 Interest Expense";#N/A,#N/A,FALSE,"0700-1 Summary of Interest Earn"}</definedName>
    <definedName name="wrn.INTEREST." hidden="1">{#N/A,#N/A,FALSE,"0700 Interest Expense";#N/A,#N/A,FALSE,"0700-1 Summary of Interest Earn"}</definedName>
    <definedName name="wrn.Internal._.is." localSheetId="3" hidden="1">{"internal is",#N/A,FALSE,"Model"}</definedName>
    <definedName name="wrn.Internal._.is." hidden="1">{"internal is",#N/A,FALSE,"Model"}</definedName>
    <definedName name="wrn.Internal._.Report._.for._.Martha." localSheetId="3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localSheetId="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VENTORY." localSheetId="3" hidden="1">{#N/A,#N/A,FALSE,"F-1 Inventory Price Test-RM";#N/A,#N/A,FALSE,"F-2 Inventory-Test Count"}</definedName>
    <definedName name="wrn.INVENTORY." hidden="1">{#N/A,#N/A,FALSE,"F-1 Inventory Price Test-RM";#N/A,#N/A,FALSE,"F-2 Inventory-Test Count"}</definedName>
    <definedName name="wrn.IPO." localSheetId="3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localSheetId="3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3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._.Q96." localSheetId="3" hidden="1">{"IS Q96",#N/A,FALSE,"Income Statement"}</definedName>
    <definedName name="wrn.IS._.Q96." hidden="1">{"IS Q96",#N/A,FALSE,"Income Statement"}</definedName>
    <definedName name="wrn.IS._.Q97." localSheetId="3" hidden="1">{"IS Q97",#N/A,FALSE,"Income Statement"}</definedName>
    <definedName name="wrn.IS._.Q97." hidden="1">{"IS Q97",#N/A,FALSE,"Income Statement"}</definedName>
    <definedName name="wrn.IS._.Years." localSheetId="3" hidden="1">{"IS Years",#N/A,FALSE,"Income Statement"}</definedName>
    <definedName name="wrn.IS._.Years." hidden="1">{"IS Years",#N/A,FALSE,"Income Statement"}</definedName>
    <definedName name="wrn.IS_BS_SCF." localSheetId="3" hidden="1">{#N/A,#N/A,FALSE,"Income Statement";#N/A,#N/A,FALSE,"Balance Sheet";#N/A,#N/A,FALSE,"Cash Flow"}</definedName>
    <definedName name="wrn.IS_BS_SCF." hidden="1">{#N/A,#N/A,FALSE,"Income Statement";#N/A,#N/A,FALSE,"Balance Sheet";#N/A,#N/A,FALSE,"Cash Flow"}</definedName>
    <definedName name="wrn.ISCG._.model." localSheetId="3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V." localSheetId="3" hidden="1">{"CASHFLOW",#N/A,FALSE,"Northpointe"}</definedName>
    <definedName name="wrn.IV." hidden="1">{"CASHFLOW",#N/A,FALSE,"Northpointe"}</definedName>
    <definedName name="wrn.JG._.FE._.Dollar." localSheetId="3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3" hidden="1">{"JG FE Top",#N/A,FALSE,"JG FE ¥";"JG FE Bottom",#N/A,FALSE,"JG FE ¥"}</definedName>
    <definedName name="wrn.JG._.FE._.Yen." hidden="1">{"JG FE Top",#N/A,FALSE,"JG FE ¥";"JG FE Bottom",#N/A,FALSE,"JG FE ¥"}</definedName>
    <definedName name="wrn.JODM._.Graphs." localSheetId="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localSheetId="3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localSheetId="3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ry." localSheetId="3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st._.Sorts." localSheetId="3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k" localSheetId="3" hidden="1">{#N/A,#N/A,FALSE,"AD_Purchase";#N/A,#N/A,FALSE,"Credit";#N/A,#N/A,FALSE,"PF Acquisition";#N/A,#N/A,FALSE,"PF Offering"}</definedName>
    <definedName name="wrn.k" hidden="1">{#N/A,#N/A,FALSE,"AD_Purchase";#N/A,#N/A,FALSE,"Credit";#N/A,#N/A,FALSE,"PF Acquisition";#N/A,#N/A,FALSE,"PF Offering"}</definedName>
    <definedName name="wrn.K." localSheetId="3" hidden="1">{#N/A,#N/A,FALSE,"K"}</definedName>
    <definedName name="wrn.K." hidden="1">{#N/A,#N/A,FALSE,"K"}</definedName>
    <definedName name="wrn.K3._.Annual." localSheetId="3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3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enorderprint." localSheetId="3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omplettausdruck." localSheetId="3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localSheetId="3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lbo.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localSheetId="3" hidden="1">{"LBO Summary",#N/A,FALSE,"Summary"}</definedName>
    <definedName name="wrn.LBO._.Summary." hidden="1">{"LBO Summary",#N/A,FALSE,"Summary"}</definedName>
    <definedName name="wrn.lbo2.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apfrog._.Financials." localSheetId="3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IFE._.INS.._.LOANS." localSheetId="3" hidden="1">{#N/A,#N/A,FALSE,"TT-1 Officers' Life Insurance"}</definedName>
    <definedName name="wrn.LIFE._.INS.._.LOANS." hidden="1">{#N/A,#N/A,FALSE,"TT-1 Officers' Life Insurance"}</definedName>
    <definedName name="wrn.Line._.Efficiency." localSheetId="3" hidden="1">{"Line Efficiency",#N/A,FALSE,"Benchmarking"}</definedName>
    <definedName name="wrn.Line._.Efficiency." hidden="1">{"Line Efficiency",#N/A,FALSE,"Benchmarking"}</definedName>
    <definedName name="wrn.LM._.Gear." localSheetId="3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Information." localSheetId="3" hidden="1">{#N/A,#N/A,FALSE,"LoanAssumptions"}</definedName>
    <definedName name="wrn.LoanInformation." hidden="1">{#N/A,#N/A,FALSE,"LoanAssumptions"}</definedName>
    <definedName name="wrn.LONG._.TERM._.DEBT." localSheetId="3" hidden="1">{#N/A,#N/A,FALSE,"MM-1 Long Term Debt"}</definedName>
    <definedName name="wrn.LONG._.TERM._.DEBT." hidden="1">{#N/A,#N/A,FALSE,"MM-1 Long Term Debt"}</definedName>
    <definedName name="wrn.LP._.Committee._.Book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localSheetId="3" hidden="1">{"LUX_ASSET",#N/A,FALSE,"CII-Q494.XLS";"LUX_LIAB",#N/A,FALSE,"CII-Q494.XLS";"LUX_INC",#N/A,FALSE,"CII-Q494.XLS";"LUXje",#N/A,FALSE,"CII-Q494.XLS"}</definedName>
    <definedName name="wrn.LUXCOS." hidden="1">{"LUX_ASSET",#N/A,FALSE,"CII-Q494.XLS";"LUX_LIAB",#N/A,FALSE,"CII-Q494.XLS";"LUX_INC",#N/A,FALSE,"CII-Q494.XLS";"LUXje",#N/A,FALSE,"CII-Q494.XLS"}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Main._.Fields.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localSheetId="3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localSheetId="3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localSheetId="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ch._.Financial._.Statements." localSheetId="3" hidden="1">{"P&amp;L",#N/A,FALSE,"BU P&amp;L YTD";"BS",#N/A,FALSE,"BU P&amp;L YTD";"P&amp;L Mar",#N/A,FALSE,"BU P&amp;L YTD";"P&amp;L YTD",#N/A,FALSE,"BU P&amp;L YTD"}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gins." localSheetId="3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ario" localSheetId="3" hidden="1">{"Area1",#N/A,TRUE,"Obiettivo";"Area2",#N/A,TRUE,"Dati per Direzione"}</definedName>
    <definedName name="wrn.mario" hidden="1">{"Area1",#N/A,TRUE,"Obiettivo";"Area2",#N/A,TRUE,"Dati per Direzione"}</definedName>
    <definedName name="wrn.Mario." localSheetId="3" hidden="1">{"Area1",#N/A,TRUE,"Obiettivo";"Area2",#N/A,TRUE,"Dati per Direzione"}</definedName>
    <definedName name="wrn.Mario." hidden="1">{"Area1",#N/A,TRUE,"Obiettivo";"Area2",#N/A,TRUE,"Dati per Direzione"}</definedName>
    <definedName name="wrn.MARKETABLE._.SEC.." localSheetId="3" hidden="1">{#N/A,#N/A,FALSE,"B-1 Mkt. Sec. - Int.";#N/A,#N/A,FALSE,"B-2 Mkt. Sec. - Val.";#N/A,#N/A,FALSE,"B-3 Mkt. Sec. - Gain (Loss)"}</definedName>
    <definedName name="wrn.MARKETABLE._.SEC.." hidden="1">{#N/A,#N/A,FALSE,"B-1 Mkt. Sec. - Int.";#N/A,#N/A,FALSE,"B-2 Mkt. Sec. - Val.";#N/A,#N/A,FALSE,"B-3 Mkt. Sec. - Gain (Loss)"}</definedName>
    <definedName name="wrn.MCCRK." localSheetId="3" hidden="1">{#N/A,#N/A,FALSE,"MCCRK"}</definedName>
    <definedName name="wrn.MCCRK." hidden="1">{#N/A,#N/A,FALSE,"MCCRK"}</definedName>
    <definedName name="wrn.megaprint." localSheetId="3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rge." localSheetId="3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1" localSheetId="3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localSheetId="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analysis." localSheetId="3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localSheetId="3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localSheetId="3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localSheetId="3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localSheetId="3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PLANS.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hpall." localSheetId="3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localSheetId="3" hidden="1">{#N/A,#N/A,TRUE,"RESUMEN ECON.";#N/A,#N/A,TRUE,"Costos de R.H.";#N/A,#N/A,TRUE,"COSTO HW";#N/A,#N/A,TRUE,"CUADROS";#N/A,#N/A,TRUE,"SCADA´s";#N/A,#N/A,TRUE,"PRECIOS EQUIPOS"}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ini_print." localSheetId="3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ODEL." localSheetId="3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nth._.End._.Print._.Out." localSheetId="3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_END." localSheetId="3" hidden="1">{#N/A,#N/A,FALSE,"SUMMARY";#N/A,#N/A,FALSE,"DETAIL";#N/A,#N/A,FALSE,"VARIANCE"}</definedName>
    <definedName name="wrn.MONTH_END." hidden="1">{#N/A,#N/A,FALSE,"SUMMARY";#N/A,#N/A,FALSE,"DETAIL";#N/A,#N/A,FALSE,"VARIANCE"}</definedName>
    <definedName name="wrn.MONTHLY._.INVENTORY._.SCHEDULE." localSheetId="3" hidden="1">{#N/A,#N/A,FALSE,"Sheet1";#N/A,#N/A,FALSE,"Sheet2";#N/A,#N/A,FALSE,"Sheet3";#N/A,#N/A,FALSE,"Sheet4";#N/A,#N/A,FALSE,"Sheet5";#N/A,#N/A,FALSE,"Sheet6"}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Report." localSheetId="3" hidden="1">{#N/A,#N/A,TRUE,"Summary";#N/A,#N/A,TRUE,"Appliances Summary";#N/A,#N/A,TRUE,"MRC Summary";#N/A,#N/A,TRUE,"Appliances";#N/A,#N/A,TRUE,"Appliances_YTD_Previous Mth";#N/A,#N/A,TRUE,"Mr. Coffee";#N/A,#N/A,TRUE,"MRC_YTD Prev Mth"}</definedName>
    <definedName name="wrn.Monthly._.Report." hidden="1">{#N/A,#N/A,TRUE,"Summary";#N/A,#N/A,TRUE,"Appliances Summary";#N/A,#N/A,TRUE,"MRC Summary";#N/A,#N/A,TRUE,"Appliances";#N/A,#N/A,TRUE,"Appliances_YTD_Previous Mth";#N/A,#N/A,TRUE,"Mr. Coffee";#N/A,#N/A,TRUE,"MRC_YTD Prev Mth"}</definedName>
    <definedName name="wrn.MonthlyRentRoll." localSheetId="3" hidden="1">{"MonthlyRentRoll",#N/A,FALSE,"RentRoll"}</definedName>
    <definedName name="wrn.MonthlyRentRoll." hidden="1">{"MonthlyRentRoll",#N/A,FALSE,"RentRoll"}</definedName>
    <definedName name="wrn.Months." localSheetId="3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localSheetId="3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localSheetId="3" hidden="1">{#N/A,#N/A,FALSE,"NA"}</definedName>
    <definedName name="wrn.NA." hidden="1">{#N/A,#N/A,FALSE,"NA"}</definedName>
    <definedName name="wrn.NA._.Model._.T._.and._.B." localSheetId="3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3" hidden="1">{"NA Top",#N/A,FALSE,"NA-ULV";"NA Bottom",#N/A,FALSE,"NA-ULV"}</definedName>
    <definedName name="wrn.NA_ULV._.Tand._.B." hidden="1">{"NA Top",#N/A,FALSE,"NA-ULV";"NA Bottom",#N/A,FALSE,"NA-ULV"}</definedName>
    <definedName name="wrn.NAME." localSheetId="3" hidden="1">{#N/A,#N/A,FALSE,"LEASES"}</definedName>
    <definedName name="wrn.NAME." hidden="1">{#N/A,#N/A,FALSE,"LEASES"}</definedName>
    <definedName name="wrn.Name1" localSheetId="3" hidden="1">{#N/A,#N/A,FALSE,"LEASES"}</definedName>
    <definedName name="wrn.Name1" hidden="1">{#N/A,#N/A,FALSE,"LEASES"}</definedName>
    <definedName name="wrn.Neds." localSheetId="3" hidden="1">{"page1",#N/A,TRUE,"PRICING";"page2",#N/A,TRUE,"PRICING"}</definedName>
    <definedName name="wrn.Neds." hidden="1">{"page1",#N/A,TRUE,"PRICING";"page2",#N/A,TRUE,"PRICING"}</definedName>
    <definedName name="wrn.Netbacks." localSheetId="3" hidden="1">{"Netbacks",#N/A,FALSE,"Netbacks"}</definedName>
    <definedName name="wrn.Netbacks." hidden="1">{"Netbacks",#N/A,FALSE,"Netbacks"}</definedName>
    <definedName name="wrn.network.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localSheetId="3" hidden="1">{"new1",#N/A,FALSE,"FLEXPAC2";"new2",#N/A,FALSE,"FLEXPAC2"}</definedName>
    <definedName name="wrn.new." hidden="1">{"new1",#N/A,FALSE,"FLEXPAC2";"new2",#N/A,FALSE,"FLEXPAC2"}</definedName>
    <definedName name="wrn.newest." localSheetId="3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orth._.America._.Set." localSheetId="3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OTES._.REC.." localSheetId="3" hidden="1">{#N/A,#N/A,FALSE,"H-1 Notes Receivable"}</definedName>
    <definedName name="wrn.NOTES._.REC.." hidden="1">{#N/A,#N/A,FALSE,"H-1 Notes Receivable"}</definedName>
    <definedName name="wrn.ntfinance." localSheetId="3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uevahoja." localSheetId="3" hidden="1">{#N/A,#N/A,FALSE,"CNS_ADJ";"Balance Consolidado",#N/A,FALSE,"BCEC_CNS";#N/A,#N/A,FALSE,"USGAAP_ADJ"}</definedName>
    <definedName name="wrn.nuevahoja." hidden="1">{#N/A,#N/A,FALSE,"CNS_ADJ";"Balance Consolidado",#N/A,FALSE,"BCEC_CNS";#N/A,#N/A,FALSE,"USGAAP_ADJ"}</definedName>
    <definedName name="wrn.nytaann." localSheetId="3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cology." localSheetId="3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peratingAssumtions." localSheetId="3" hidden="1">{#N/A,#N/A,FALSE,"OperatingAssumptions"}</definedName>
    <definedName name="wrn.OperatingAssumtions." hidden="1">{#N/A,#N/A,FALSE,"OperatingAssumptions"}</definedName>
    <definedName name="wrn.OPSUMM." localSheetId="3" hidden="1">{#N/A,#N/A,FALSE,"BAGOSLEA"}</definedName>
    <definedName name="wrn.OPSUMM." hidden="1">{#N/A,#N/A,FALSE,"BAGOSLEA"}</definedName>
    <definedName name="wrn.OTC._.Market._.Report." localSheetId="3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ER._.INCOME." localSheetId="3" hidden="1">{#N/A,#N/A,FALSE,"0600-1 Other Income (Expense)"}</definedName>
    <definedName name="wrn.OTHER._.INCOME." hidden="1">{#N/A,#N/A,FALSE,"0600-1 Other Income (Expense)"}</definedName>
    <definedName name="wrn.Other._.Pharm." localSheetId="3" hidden="1">{#N/A,#N/A,FALSE,"Other";#N/A,#N/A,FALSE,"Ace";#N/A,#N/A,FALSE,"Derm"}</definedName>
    <definedName name="wrn.Other._.Pharm." hidden="1">{#N/A,#N/A,FALSE,"Other";#N/A,#N/A,FALSE,"Ace";#N/A,#N/A,FALSE,"Derm"}</definedName>
    <definedName name="wrn.OUTPUT." localSheetId="3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" localSheetId="3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acker._.1.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localSheetId="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localSheetId="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localSheetId="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localSheetId="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ing._.Compco." localSheetId="3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enn._.PSC._.part._.1.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localSheetId="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localSheetId="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harm._.Market._.Report." localSheetId="3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in." localSheetId="3" hidden="1">{"Phase in summary",#N/A,FALSE,"P&amp;L Phased"}</definedName>
    <definedName name="wrn.Phase._.in." hidden="1">{"Phase in summary",#N/A,FALSE,"P&amp;L Phased"}</definedName>
    <definedName name="wrn.pl." localSheetId="3" hidden="1">{#N/A,#N/A,FALSE,"Exhibits 5-7"}</definedName>
    <definedName name="wrn.pl." hidden="1">{#N/A,#N/A,FALSE,"Exhibits 5-7"}</definedName>
    <definedName name="wrn.PL._.Detail." localSheetId="3" hidden="1">{#N/A,#N/A,FALSE,"P&amp;L Detail";#N/A,#N/A,FALSE,"P&amp;L Detail";#N/A,#N/A,FALSE,"P&amp;L Detail"}</definedName>
    <definedName name="wrn.PL._.Detail." hidden="1">{#N/A,#N/A,FALSE,"P&amp;L Detail";#N/A,#N/A,FALSE,"P&amp;L Detail";#N/A,#N/A,FALSE,"P&amp;L Detail"}</definedName>
    <definedName name="wrn.pl._.distribution." localSheetId="3" hidden="1">{#N/A,#N/A,FALSE,"A. Inc Stmt";#N/A,#N/A,FALSE,"A1 Qtly Inc Stmt"}</definedName>
    <definedName name="wrn.pl._.distribution." hidden="1">{#N/A,#N/A,FALSE,"A. Inc Stmt";#N/A,#N/A,FALSE,"A1 Qtly Inc Stmt"}</definedName>
    <definedName name="wrn.pl._.distribution._02042009" localSheetId="3" hidden="1">{#N/A,#N/A,FALSE,"A. Inc Stmt";#N/A,#N/A,FALSE,"A1 Qtly Inc Stmt"}</definedName>
    <definedName name="wrn.pl._.distribution._02042009" hidden="1">{#N/A,#N/A,FALSE,"A. Inc Stmt";#N/A,#N/A,FALSE,"A1 Qtly Inc Stmt"}</definedName>
    <definedName name="wrn.PLAN._.2002._.to._.2004." localSheetId="3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LAN._.2002._.to._.2004." hidden="1">{#N/A,#N/A,FALSE,"Cover";#N/A,#N/A,FALSE,"3 YEAR VIEW";#N/A,#N/A,FALSE,"Summary";#N/A,#N/A,FALSE,"Monthly";#N/A,#N/A,FALSE,"2002";#N/A,#N/A,FALSE,"Bridge 2002";#N/A,#N/A,FALSE,"Risk mngmt";#N/A,#N/A,FALSE,"Proposed Guid";#N/A,#N/A,FALSE,"EBITDA DRAG";#N/A,#N/A,FALSE,"Assumptions";#N/A,#N/A,FALSE,"BCH";#N/A,#N/A,FALSE,"Aliant";#N/A,#N/A,FALSE,"ExpressVu";#N/A,#N/A,FALSE,"TCC";#N/A,#N/A,FALSE,"Emergis";#N/A,#N/A,FALSE,"BGM";#N/A,#N/A,FALSE,"CGI";#N/A,#N/A,FALSE,"Excel";#N/A,#N/A,FALSE,"BCI";#N/A,#N/A,FALSE,"Telesat";#N/A,#N/A,FALSE,"Venture Other";#N/A,#N/A,FALSE,"Corp";#N/A,#N/A,FALSE,"Elimin"}</definedName>
    <definedName name="wrn.plbscf." localSheetId="3" hidden="1">{"p_l",#N/A,FALSE,"Summary Accounts"}</definedName>
    <definedName name="wrn.plbscf." hidden="1">{"p_l",#N/A,FALSE,"Summary Accounts"}</definedName>
    <definedName name="wrn.PLC._.Co.._.budget._.months." localSheetId="3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localSheetId="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rait._.letter._.is." localSheetId="3" hidden="1">{"portrait letter is",#N/A,FALSE,"Model"}</definedName>
    <definedName name="wrn.Portrait._.letter._.is." hidden="1">{"portrait letter is",#N/A,FALSE,"Model"}</definedName>
    <definedName name="wrn.ppp" localSheetId="3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r3sty." localSheetId="3" hidden="1">{#N/A,#N/A,FALSE,"intag";#N/A,#N/A,FALSE,"budg";#N/A,#N/A,FALSE,"samtl"}</definedName>
    <definedName name="wrn.pr3sty." hidden="1">{#N/A,#N/A,FALSE,"intag";#N/A,#N/A,FALSE,"budg";#N/A,#N/A,FALSE,"samtl"}</definedName>
    <definedName name="wrn.PREPAIDS." localSheetId="3" hidden="1">{#N/A,#N/A,FALSE,"G-1 Prepaid Expenses-Other";#N/A,#N/A,FALSE,"G-2 Prepaid Property Taxes";#N/A,#N/A,FALSE,"G-3 Prepaid Insurance "}</definedName>
    <definedName name="wrn.PREPAIDS." hidden="1">{#N/A,#N/A,FALSE,"G-1 Prepaid Expenses-Other";#N/A,#N/A,FALSE,"G-2 Prepaid Property Taxes";#N/A,#N/A,FALSE,"G-3 Prepaid Insurance "}</definedName>
    <definedName name="wrn.PRES_OUT." localSheetId="3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3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3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3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3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3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localSheetId="3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meCo." localSheetId="3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2._.all." localSheetId="3" hidden="1">{#N/A,#N/A,FALSE,"Pharm";#N/A,#N/A,FALSE,"WWCM"}</definedName>
    <definedName name="wrn.prin2._.all." hidden="1">{#N/A,#N/A,FALSE,"Pharm";#N/A,#N/A,FALSE,"WWCM"}</definedName>
    <definedName name="wrn.prin3" localSheetId="3" hidden="1">{#N/A,#N/A,FALSE,"Pharm";#N/A,#N/A,FALSE,"WWCM"}</definedName>
    <definedName name="wrn.prin3" hidden="1">{#N/A,#N/A,FALSE,"Pharm";#N/A,#N/A,FALSE,"WWCM"}</definedName>
    <definedName name="wrn.print" localSheetId="3" hidden="1">{#N/A,#N/A,FALSE,"Pharm";#N/A,#N/A,FALSE,"WWCM"}</definedName>
    <definedName name="wrn.print" hidden="1">{#N/A,#N/A,FALSE,"Pharm";#N/A,#N/A,FALSE,"WWCM"}</definedName>
    <definedName name="wrn.Print." localSheetId="3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" localSheetId="3" hidden="1">{#N/A,#N/A,FALSE,"Pharm";#N/A,#N/A,FALSE,"WWCM"}</definedName>
    <definedName name="wrn.PRINT._.ALL." hidden="1">{#N/A,#N/A,FALSE,"Pharm";#N/A,#N/A,FALSE,"WWCM"}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localSheetId="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2" localSheetId="3" hidden="1">{#N/A,#N/A,FALSE,"Pharm";#N/A,#N/A,FALSE,"WWCM"}</definedName>
    <definedName name="wrn.PRINT._.ALL.2" hidden="1">{#N/A,#N/A,FALSE,"Pharm";#N/A,#N/A,FALSE,"WWCM"}</definedName>
    <definedName name="wrn.print._.all2" localSheetId="3" hidden="1">{#N/A,#N/A,FALSE,"Pharm";#N/A,#N/A,FALSE,"WWCM"}</definedName>
    <definedName name="wrn.print._.all2" hidden="1">{#N/A,#N/A,FALSE,"Pharm";#N/A,#N/A,FALSE,"WWCM"}</definedName>
    <definedName name="wrn.Print._.Disk." localSheetId="3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ONC._.CONS._.TOTALS." localSheetId="3" hidden="1">{"DONC CONS RPT",#N/A,TRUE,"Doncaster"}</definedName>
    <definedName name="wrn.PRINT._.DONC._.CONS._.TOTALS." hidden="1">{"DONC CONS RPT",#N/A,TRUE,"Doncaster"}</definedName>
    <definedName name="wrn.Print._.Europe._.TandB." localSheetId="3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3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Out._.1." localSheetId="3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pages." localSheetId="3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aw._data._.entry2." localSheetId="3" hidden="1">{"inputs raw data",#N/A,TRUE,"INPUT"}</definedName>
    <definedName name="wrn.print._.raw._data._.entry2." hidden="1">{"inputs raw data",#N/A,TRUE,"INPUT"}</definedName>
    <definedName name="wrn.Print._.Report." localSheetId="3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localSheetId="3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_Hedges." localSheetId="3" hidden="1">{"HEDGES",#N/A,FALSE,"Summary";"SUMMARY",#N/A,FALSE,"Summary"}</definedName>
    <definedName name="wrn.Print._.Sum_Hedges." hidden="1">{"HEDGES",#N/A,FALSE,"Summary";"SUMMARY",#N/A,FALSE,"Summary"}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2" localSheetId="3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all1." localSheetId="3" hidden="1">{#N/A,#N/A,FALSE,"Pharm";#N/A,#N/A,FALSE,"WWCM"}</definedName>
    <definedName name="wrn.print._all1." hidden="1">{#N/A,#N/A,FALSE,"Pharm";#N/A,#N/A,FALSE,"WWCM"}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 localSheetId="3" hidden="1">{#N/A,#N/A,FALSE,"Pharm";#N/A,#N/A,FALSE,"WWCM"}</definedName>
    <definedName name="wrn.print2" hidden="1">{#N/A,#N/A,FALSE,"Pharm";#N/A,#N/A,FALSE,"WWCM"}</definedName>
    <definedName name="wrn.PRINT2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localSheetId="3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3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all12monthreports.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localSheetId="3" hidden="1">{"printceo5",#N/A,FALSE,"CEO";"prints15",#N/A,FALSE,"S1";"printdepr5",#N/A,FALSE,"DEPR"}</definedName>
    <definedName name="wrn.printall5." hidden="1">{"printceo5",#N/A,FALSE,"CEO";"prints15",#N/A,FALSE,"S1";"printdepr5",#N/A,FALSE,"DEPR"}</definedName>
    <definedName name="wrn.printqtr." localSheetId="3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localSheetId="3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ucts" localSheetId="3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3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orma." localSheetId="3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ROPERTY._.AND._.EQUIP.." localSheetId="3" hidden="1">{#N/A,#N/A,FALSE,"M-1 Property and Equipment";#N/A,#N/A,FALSE,"M-2 Asset Additions";#N/A,#N/A,FALSE,"M-3 Property Disposals"}</definedName>
    <definedName name="wrn.PROPERTY._.AND._.EQUIP.." hidden="1">{#N/A,#N/A,FALSE,"M-1 Property and Equipment";#N/A,#N/A,FALSE,"M-2 Asset Additions";#N/A,#N/A,FALSE,"M-3 Property Disposals"}</definedName>
    <definedName name="wrn.PropertyInformation." localSheetId="3" hidden="1">{#N/A,#N/A,FALSE,"PropertyInfo"}</definedName>
    <definedName name="wrn.PropertyInformation." hidden="1">{#N/A,#N/A,FALSE,"PropertyInfo"}</definedName>
    <definedName name="wrn.pror" localSheetId="3" hidden="1">{#N/A,#N/A,FALSE,"Pharm";#N/A,#N/A,FALSE,"WWCM"}</definedName>
    <definedName name="wrn.pror" hidden="1">{#N/A,#N/A,FALSE,"Pharm";#N/A,#N/A,FALSE,"WWCM"}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UEBA." localSheetId="3" hidden="1">{#N/A,#N/A,TRUE,"2432"}</definedName>
    <definedName name="wrn.PRUEBA." hidden="1">{#N/A,#N/A,TRUE,"2432"}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Pulp.2" localSheetId="3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3" hidden="1">{"Pulp Production",#N/A,FALSE,"Pulp";"Pulp Earnings",#N/A,FALSE,"Pulp"}</definedName>
    <definedName name="wrn.Pulp.3" hidden="1">{"Pulp Production",#N/A,FALSE,"Pulp";"Pulp Earnings",#N/A,FALSE,"Pulp"}</definedName>
    <definedName name="wrn.Pulp.3.2" localSheetId="3" hidden="1">{"Pulp Production",#N/A,FALSE,"Pulp";"Pulp Earnings",#N/A,FALSE,"Pulp"}</definedName>
    <definedName name="wrn.Pulp.3.2" hidden="1">{"Pulp Production",#N/A,FALSE,"Pulp";"Pulp Earnings",#N/A,FALSE,"Pulp"}</definedName>
    <definedName name="wrn.Pulp.3.4" localSheetId="3" hidden="1">{"Pulp Production",#N/A,FALSE,"Pulp";"Pulp Earnings",#N/A,FALSE,"Pulp"}</definedName>
    <definedName name="wrn.Pulp.3.4" hidden="1">{"Pulp Production",#N/A,FALSE,"Pulp";"Pulp Earnings",#N/A,FALSE,"Pulp"}</definedName>
    <definedName name="wrn.Pulp.3.6" localSheetId="3" hidden="1">{"Pulp Production",#N/A,FALSE,"Pulp";"Pulp Earnings",#N/A,FALSE,"Pulp"}</definedName>
    <definedName name="wrn.Pulp.3.6" hidden="1">{"Pulp Production",#N/A,FALSE,"Pulp";"Pulp Earnings",#N/A,FALSE,"Pulp"}</definedName>
    <definedName name="wrn.Pulp.4" localSheetId="3" hidden="1">{"Pulp Production",#N/A,FALSE,"Pulp";"Pulp Earnings",#N/A,FALSE,"Pulp"}</definedName>
    <definedName name="wrn.Pulp.4" hidden="1">{"Pulp Production",#N/A,FALSE,"Pulp";"Pulp Earnings",#N/A,FALSE,"Pulp"}</definedName>
    <definedName name="wrn.Pulp.5" localSheetId="3" hidden="1">{"Pulp Production",#N/A,FALSE,"Pulp";"Pulp Earnings",#N/A,FALSE,"Pulp"}</definedName>
    <definedName name="wrn.Pulp.5" hidden="1">{"Pulp Production",#N/A,FALSE,"Pulp";"Pulp Earnings",#N/A,FALSE,"Pulp"}</definedName>
    <definedName name="wrn.Pulp.6" localSheetId="3" hidden="1">{"Pulp Production",#N/A,FALSE,"Pulp";"Pulp Earnings",#N/A,FALSE,"Pulp"}</definedName>
    <definedName name="wrn.Pulp.6" hidden="1">{"Pulp Production",#N/A,FALSE,"Pulp";"Pulp Earnings",#N/A,FALSE,"Pulp"}</definedName>
    <definedName name="wrn.Pulp.7" localSheetId="3" hidden="1">{"Pulp Production",#N/A,FALSE,"Pulp";"Pulp Earnings",#N/A,FALSE,"Pulp"}</definedName>
    <definedName name="wrn.Pulp.7" hidden="1">{"Pulp Production",#N/A,FALSE,"Pulp";"Pulp Earnings",#N/A,FALSE,"Pulp"}</definedName>
    <definedName name="wrn.Pulp.8" localSheetId="3" hidden="1">{"Pulp Production",#N/A,FALSE,"Pulp";"Pulp Earnings",#N/A,FALSE,"Pulp"}</definedName>
    <definedName name="wrn.Pulp.8" hidden="1">{"Pulp Production",#N/A,FALSE,"Pulp";"Pulp Earnings",#N/A,FALSE,"Pulp"}</definedName>
    <definedName name="wrn.Pulp.9" localSheetId="3" hidden="1">{"Pulp Production",#N/A,FALSE,"Pulp";"Pulp Earnings",#N/A,FALSE,"Pulp"}</definedName>
    <definedName name="wrn.Pulp.9" hidden="1">{"Pulp Production",#N/A,FALSE,"Pulp";"Pulp Earnings",#N/A,FALSE,"Pulp"}</definedName>
    <definedName name="wrn.Pump.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R._.1._.INCOME._.STATEMENT." localSheetId="3" hidden="1">{"QTR 1 INC STMT",#N/A,FALSE,"INCOME STATEMENT";"QTR 1 SUPP",#N/A,FALSE,"SUPPLEMENTAL"}</definedName>
    <definedName name="wrn.QTR._.1._.INCOME._.STATEMENT." hidden="1">{"QTR 1 INC STMT",#N/A,FALSE,"INCOME STATEMENT";"QTR 1 SUPP",#N/A,FALSE,"SUPPLEMENTAL"}</definedName>
    <definedName name="wrn.QTR._.1._.MCS." localSheetId="3" hidden="1">{"QTR 1 MELT",#N/A,FALSE,"MELT SHOP";"QTR 1 SCARF",#N/A,FALSE,"SCARFING";"QTR 1 OLD SLAB",#N/A,FALSE,"SLAB PREPARATION";"QTR 1 NEW ROLLING",#N/A,FALSE,"PLATE FINISHING &amp; ROLLING";"QTR 1 COIL ROLL",#N/A,FALSE,"COIL FINISHING &amp; ROLLING ";"QTR 1 NEW PLATE",#N/A,FALSE,"FINISHED PLATE INVENTORY";"QTR 1 COIL",#N/A,FALSE,"FINISHED COIL INVENTORY ";"QTR 1 HT GREEN",#N/A,FALSE,"HEAT TREAT - GREEN";"QTR 1 HT TREATED",#N/A,FALSE,"HEAT TREAT - TREATED"}</definedName>
    <definedName name="wrn.QTR._.1._.MCS." hidden="1">{"QTR 1 MELT",#N/A,FALSE,"MELT SHOP";"QTR 1 SCARF",#N/A,FALSE,"SCARFING";"QTR 1 OLD SLAB",#N/A,FALSE,"SLAB PREPARATION";"QTR 1 NEW ROLLING",#N/A,FALSE,"PLATE FINISHING &amp; ROLLING";"QTR 1 COIL ROLL",#N/A,FALSE,"COIL FINISHING &amp; ROLLING ";"QTR 1 NEW PLATE",#N/A,FALSE,"FINISHED PLATE INVENTORY";"QTR 1 COIL",#N/A,FALSE,"FINISHED COIL INVENTORY ";"QTR 1 HT GREEN",#N/A,FALSE,"HEAT TREAT - GREEN";"QTR 1 HT TREATED",#N/A,FALSE,"HEAT TREAT - TREATED"}</definedName>
    <definedName name="wrn.QTR._.2._.INCOME._.STATEMENT." localSheetId="3" hidden="1">{"QTR 2 INC STMT",#N/A,FALSE,"INCOME STATEMENT";"QTR 2 SUPP",#N/A,FALSE,"SUPPLEMENTAL"}</definedName>
    <definedName name="wrn.QTR._.2._.INCOME._.STATEMENT." hidden="1">{"QTR 2 INC STMT",#N/A,FALSE,"INCOME STATEMENT";"QTR 2 SUPP",#N/A,FALSE,"SUPPLEMENTAL"}</definedName>
    <definedName name="wrn.QTR._.2._.MCS." localSheetId="3" hidden="1">{"QTR 2 SCRAP",#N/A,FALSE,"SCRAP";"QTR 2 HBI",#N/A,FALSE,"HBI";"QTR 2 PIG IRON",#N/A,FALSE,"PIG IRON";"QTR 2 MELT",#N/A,FALSE,"MELT SHOP";"QTR 2 SCARF",#N/A,FALSE,"SCARFING";"QTR 2 OLD SLAB",#N/A,FALSE,"SLAB PREPARATION-OLD";"QTR 2 NEW SLAB",#N/A,FALSE,"SLAB PREPARATION-NEW";"QTR 2 OLD ROLLING",#N/A,FALSE,"PLATE FINISHING &amp; ROLLING-OLD";"QTR 2 NEW ROLLING",#N/A,FALSE,"PLATE FINISHING &amp; ROLLING-NEW";"QTR 2 COIL ROLL",#N/A,FALSE,"COIL FINISHING &amp; ROLLING ";"QTR 2 OLD PLATE",#N/A,FALSE,"FINISHED PLATE INVENTORY-OLD";"QTR 2 NEW PLATE",#N/A,FALSE,"FINISHED PLATE INVENTORY-NEW";"QTR 2 COIL",#N/A,FALSE,"FINISHED COIL INVENTORY ";"QTR 2 HT GREEN",#N/A,FALSE,"HEAT TREAT - GREEN";"QTR 2 HT TREATED",#N/A,FALSE,"HEAT TREAT - TREATED"}</definedName>
    <definedName name="wrn.QTR._.2._.MCS." hidden="1">{"QTR 2 SCRAP",#N/A,FALSE,"SCRAP";"QTR 2 HBI",#N/A,FALSE,"HBI";"QTR 2 PIG IRON",#N/A,FALSE,"PIG IRON";"QTR 2 MELT",#N/A,FALSE,"MELT SHOP";"QTR 2 SCARF",#N/A,FALSE,"SCARFING";"QTR 2 OLD SLAB",#N/A,FALSE,"SLAB PREPARATION-OLD";"QTR 2 NEW SLAB",#N/A,FALSE,"SLAB PREPARATION-NEW";"QTR 2 OLD ROLLING",#N/A,FALSE,"PLATE FINISHING &amp; ROLLING-OLD";"QTR 2 NEW ROLLING",#N/A,FALSE,"PLATE FINISHING &amp; ROLLING-NEW";"QTR 2 COIL ROLL",#N/A,FALSE,"COIL FINISHING &amp; ROLLING ";"QTR 2 OLD PLATE",#N/A,FALSE,"FINISHED PLATE INVENTORY-OLD";"QTR 2 NEW PLATE",#N/A,FALSE,"FINISHED PLATE INVENTORY-NEW";"QTR 2 COIL",#N/A,FALSE,"FINISHED COIL INVENTORY ";"QTR 2 HT GREEN",#N/A,FALSE,"HEAT TREAT - GREEN";"QTR 2 HT TREATED",#N/A,FALSE,"HEAT TREAT - TREATED"}</definedName>
    <definedName name="wrn.QTR._.3._.INCOME._.STATEMENT." localSheetId="3" hidden="1">{"QTR 3 INC STMT",#N/A,FALSE,"INCOME STATEMENT";"QTR 3 SUPP",#N/A,FALSE,"SUPPLEMENTAL"}</definedName>
    <definedName name="wrn.QTR._.3._.INCOME._.STATEMENT." hidden="1">{"QTR 3 INC STMT",#N/A,FALSE,"INCOME STATEMENT";"QTR 3 SUPP",#N/A,FALSE,"SUPPLEMENTAL"}</definedName>
    <definedName name="wrn.QTR._.3._.MCS." localSheetId="3" hidden="1">{"QTR 3 SCRAP",#N/A,FALSE,"SCRAP";"QTR 3 PIG IRON",#N/A,FALSE,"PIG IRON";"QTR 3 HBI",#N/A,FALSE,"HBI";"QTR 3 MELT",#N/A,FALSE,"MELT SHOP";"QTR 3 SCARF",#N/A,FALSE,"SCARFING";"QTR 3 OLD SLAB",#N/A,FALSE,"SLAB PREPARATION-OLD";"QTR 3 NEW SLAB",#N/A,FALSE,"SLAB PREPARATION-NEW";"QTR 3 OLD ROLLING",#N/A,FALSE,"PLATE FINISHING &amp; ROLLING-OLD";"QTR 3 NEW ROLLING",#N/A,FALSE,"PLATE FINISHING &amp; ROLLING-NEW";"QTR 3 COIL ROLL",#N/A,FALSE,"COIL FINISHING &amp; ROLLING ";"QTR 3 OLD PLATE",#N/A,FALSE,"FINISHED PLATE INVENTORY-OLD";"QTR 3 NEW PLATE",#N/A,FALSE,"FINISHED PLATE INVENTORY-NEW";"QTR 3 COIL",#N/A,FALSE,"FINISHED COIL INVENTORY ";"QTR 3 HT GREEN",#N/A,FALSE,"HEAT TREAT - GREEN";"QTR 3 HT TREATED",#N/A,FALSE,"HEAT TREAT - TREATED"}</definedName>
    <definedName name="wrn.QTR._.3._.MCS." hidden="1">{"QTR 3 SCRAP",#N/A,FALSE,"SCRAP";"QTR 3 PIG IRON",#N/A,FALSE,"PIG IRON";"QTR 3 HBI",#N/A,FALSE,"HBI";"QTR 3 MELT",#N/A,FALSE,"MELT SHOP";"QTR 3 SCARF",#N/A,FALSE,"SCARFING";"QTR 3 OLD SLAB",#N/A,FALSE,"SLAB PREPARATION-OLD";"QTR 3 NEW SLAB",#N/A,FALSE,"SLAB PREPARATION-NEW";"QTR 3 OLD ROLLING",#N/A,FALSE,"PLATE FINISHING &amp; ROLLING-OLD";"QTR 3 NEW ROLLING",#N/A,FALSE,"PLATE FINISHING &amp; ROLLING-NEW";"QTR 3 COIL ROLL",#N/A,FALSE,"COIL FINISHING &amp; ROLLING ";"QTR 3 OLD PLATE",#N/A,FALSE,"FINISHED PLATE INVENTORY-OLD";"QTR 3 NEW PLATE",#N/A,FALSE,"FINISHED PLATE INVENTORY-NEW";"QTR 3 COIL",#N/A,FALSE,"FINISHED COIL INVENTORY ";"QTR 3 HT GREEN",#N/A,FALSE,"HEAT TREAT - GREEN";"QTR 3 HT TREATED",#N/A,FALSE,"HEAT TREAT - TREATED"}</definedName>
    <definedName name="wrn.QTR._.4._.INCOME._.STATEMENT." localSheetId="3" hidden="1">{"QTR 4 INC STMT",#N/A,FALSE,"INCOME STATEMENT";"QTR 4 SUPP",#N/A,FALSE,"SUPPLEMENTAL"}</definedName>
    <definedName name="wrn.QTR._.4._.INCOME._.STATEMENT." hidden="1">{"QTR 4 INC STMT",#N/A,FALSE,"INCOME STATEMENT";"QTR 4 SUPP",#N/A,FALSE,"SUPPLEMENTAL"}</definedName>
    <definedName name="wrn.QTR._.4._.MCS." localSheetId="3" hidden="1">{"QTR 4 SCRAP",#N/A,FALSE,"SCRAP";"QTR 4 HBI",#N/A,FALSE,"HBI";"QTR 4 PIG IRON",#N/A,FALSE,"PIG IRON";"QTR 4 MELT",#N/A,FALSE,"MELT SHOP";"QTR 4 SCARF",#N/A,FALSE,"SCARFING";"QTR 4 OLD SLAB",#N/A,FALSE,"SLAB PREPARATION-OLD";"QTR 4 NEW SLAB",#N/A,FALSE,"SLAB PREPARATION-NEW";"QTR 4 OLD ROLLING",#N/A,FALSE,"PLATE FINISHING &amp; ROLLING-OLD";"QTR 4 NEW ROLLING",#N/A,FALSE,"PLATE FINISHING &amp; ROLLING-NEW";"QTR 4 COIL ROLL",#N/A,FALSE,"COIL FINISHING &amp; ROLLING ";"QTR 4 OLD PLATE",#N/A,FALSE,"FINISHED PLATE INVENTORY-OLD";"QTR 4 NEW PLATE",#N/A,FALSE,"FINISHED PLATE INVENTORY-NEW";"QTR 4 COIL",#N/A,FALSE,"FINISHED COIL INVENTORY ";"QTR 4 HT GREEN",#N/A,FALSE,"HEAT TREAT - GREEN";"QTR 4 HT TREATED",#N/A,FALSE,"HEAT TREAT - TREATED"}</definedName>
    <definedName name="wrn.QTR._.4._.MCS." hidden="1">{"QTR 4 SCRAP",#N/A,FALSE,"SCRAP";"QTR 4 HBI",#N/A,FALSE,"HBI";"QTR 4 PIG IRON",#N/A,FALSE,"PIG IRON";"QTR 4 MELT",#N/A,FALSE,"MELT SHOP";"QTR 4 SCARF",#N/A,FALSE,"SCARFING";"QTR 4 OLD SLAB",#N/A,FALSE,"SLAB PREPARATION-OLD";"QTR 4 NEW SLAB",#N/A,FALSE,"SLAB PREPARATION-NEW";"QTR 4 OLD ROLLING",#N/A,FALSE,"PLATE FINISHING &amp; ROLLING-OLD";"QTR 4 NEW ROLLING",#N/A,FALSE,"PLATE FINISHING &amp; ROLLING-NEW";"QTR 4 COIL ROLL",#N/A,FALSE,"COIL FINISHING &amp; ROLLING ";"QTR 4 OLD PLATE",#N/A,FALSE,"FINISHED PLATE INVENTORY-OLD";"QTR 4 NEW PLATE",#N/A,FALSE,"FINISHED PLATE INVENTORY-NEW";"QTR 4 COIL",#N/A,FALSE,"FINISHED COIL INVENTORY ";"QTR 4 HT GREEN",#N/A,FALSE,"HEAT TREAT - GREEN";"QTR 4 HT TREATED",#N/A,FALSE,"HEAT TREAT - TREATED"}</definedName>
    <definedName name="wrn.QTRLY._.MCS." localSheetId="3" hidden="1">{"QTRLY SCRAP",#N/A,FALSE,"SCRAP";"QTRLY PIG IRON",#N/A,FALSE,"PIG IRON";"QTRLY HBI",#N/A,FALSE,"HBI";"QTRLY MELT",#N/A,FALSE,"MELT SHOP";"QTRLY SCARF",#N/A,FALSE,"SCARFING";"QTRLY OLD SLAB",#N/A,FALSE,"SLAB PREPARATION-OLD";"QTRLY NEW SLAB",#N/A,FALSE,"SLAB PREPARATION-NEW";"QTRLY OLD ROLLING",#N/A,FALSE,"PLATE FINISHING &amp; ROLLING-OLD";"QTRLY NEW ROLLING",#N/A,FALSE,"PLATE FINISHING &amp; ROLLING-NEW";"QTRLY COIL ROLL",#N/A,FALSE,"COIL FINISHING &amp; ROLLING ";"QTRLY OLD PLATE",#N/A,FALSE,"FINISHED PLATE INVENTORY-OLD";"QTRLY NEW PLATE",#N/A,FALSE,"FINISHED PLATE INVENTORY-NEW";"QTRLY COIL",#N/A,FALSE,"FINISHED COIL INVENTORY ";"QTRLY HT GREEN",#N/A,FALSE,"HEAT TREAT - GREEN";"QTRLY HT TREATED",#N/A,FALSE,"HEAT TREAT - TREATED"}</definedName>
    <definedName name="wrn.QTRLY._.MCS." hidden="1">{"QTRLY SCRAP",#N/A,FALSE,"SCRAP";"QTRLY PIG IRON",#N/A,FALSE,"PIG IRON";"QTRLY HBI",#N/A,FALSE,"HBI";"QTRLY MELT",#N/A,FALSE,"MELT SHOP";"QTRLY SCARF",#N/A,FALSE,"SCARFING";"QTRLY OLD SLAB",#N/A,FALSE,"SLAB PREPARATION-OLD";"QTRLY NEW SLAB",#N/A,FALSE,"SLAB PREPARATION-NEW";"QTRLY OLD ROLLING",#N/A,FALSE,"PLATE FINISHING &amp; ROLLING-OLD";"QTRLY NEW ROLLING",#N/A,FALSE,"PLATE FINISHING &amp; ROLLING-NEW";"QTRLY COIL ROLL",#N/A,FALSE,"COIL FINISHING &amp; ROLLING ";"QTRLY OLD PLATE",#N/A,FALSE,"FINISHED PLATE INVENTORY-OLD";"QTRLY NEW PLATE",#N/A,FALSE,"FINISHED PLATE INVENTORY-NEW";"QTRLY COIL",#N/A,FALSE,"FINISHED COIL INVENTORY ";"QTRLY HT GREEN",#N/A,FALSE,"HEAT TREAT - GREEN";"QTRLY HT TREATED",#N/A,FALSE,"HEAT TREAT - TREATED"}</definedName>
    <definedName name="wrn.QUARTERLY._.INCOME._.STATEMENT." localSheetId="3" hidden="1">{"QTRLY INC STMT",#N/A,FALSE,"INCOME STATEMENT";"QTRLY SUPP",#N/A,FALSE,"SUPPLEMENTAL"}</definedName>
    <definedName name="wrn.QUARTERLY._.INCOME._.STATEMENT." hidden="1">{"QTRLY INC STMT",#N/A,FALSE,"INCOME STATEMENT";"QTRLY SUPP",#N/A,FALSE,"SUPPLEMENTAL"}</definedName>
    <definedName name="wrn.Quarters." localSheetId="3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quick." localSheetId="3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RANKED._.REC._.LLC." localSheetId="3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localSheetId="3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localSheetId="3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pport._.complet." localSheetId="3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détaillé." localSheetId="3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sommaire." localSheetId="3" hidden="1">{#N/A,#N/A,TRUE,"Bilan";#N/A,#N/A,TRUE,"Résultats";#N/A,#N/A,TRUE,"Trésorerie";#N/A,#N/A,TRUE,"DLT";#N/A,#N/A,TRUE,"Situation"}</definedName>
    <definedName name="wrn.Rapport._.sommaire." hidden="1">{#N/A,#N/A,TRUE,"Bilan";#N/A,#N/A,TRUE,"Résultats";#N/A,#N/A,TRUE,"Trésorerie";#N/A,#N/A,TRUE,"DLT";#N/A,#N/A,TRUE,"Situation"}</definedName>
    <definedName name="wrn.Rate._.Reports." localSheetId="3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atios." localSheetId="3" hidden="1">{"ratios",#N/A,FALSE,"Summary Accounts"}</definedName>
    <definedName name="wrn.ratios." hidden="1">{"ratios",#N/A,FALSE,"Summary Accounts"}</definedName>
    <definedName name="wrn.RECEIVABLES." localSheetId="3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3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lvals." localSheetId="3" hidden="1">{"weekly",#N/A,FALSE,"HLTH_BND";"weekly",#N/A,FALSE,"PAP_BOND";#N/A,#N/A,FALSE,"RET_BND";"weekly",#N/A,FALSE,"CHM_BND";#N/A,#N/A,FALSE,"MOVIES";#N/A,#N/A,FALSE,"CABLE";#N/A,#N/A,FALSE,"BDCSTRV"}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2." localSheetId="3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set._.with._.311.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3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ummary." localSheetId="3" hidden="1">{#N/A,#N/A,FALSE,"March Details"}</definedName>
    <definedName name="wrn.Report._.Summary." hidden="1">{#N/A,#N/A,FALSE,"March Details"}</definedName>
    <definedName name="wrn.Report_PR_1." localSheetId="3" hidden="1">{"PR1","pr1",TRUE,"Sch PR-1"}</definedName>
    <definedName name="wrn.Report_PR_1." hidden="1">{"PR1","pr1",TRUE,"Sch PR-1"}</definedName>
    <definedName name="wrn.Report1." localSheetId="3" hidden="1">{#N/A,#N/A,TRUE,"Pivots-Employee";#N/A,"Scenario1",TRUE,"Assumptions Summary"}</definedName>
    <definedName name="wrn.Report1." hidden="1">{#N/A,#N/A,TRUE,"Pivots-Employee";#N/A,"Scenario1",TRUE,"Assumptions Summary"}</definedName>
    <definedName name="wrn.REPORTING._.PACKAGE.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localSheetId="3" hidden="1">{"summary",#N/A,FALSE,"3 yr average";"comps",#N/A,FALSE,"3 yr average"}</definedName>
    <definedName name="wrn.reports." hidden="1">{"summary",#N/A,FALSE,"3 yr average";"comps",#N/A,FALSE,"3 yr average"}</definedName>
    <definedName name="wrn.RESERVE._.SCHEDULE." localSheetId="3" hidden="1">{#N/A,#N/A,FALSE,"Sheet8";#N/A,#N/A,FALSE,"Sheet7"}</definedName>
    <definedName name="wrn.RESERVE._.SCHEDULE." hidden="1">{#N/A,#N/A,FALSE,"Sheet8";#N/A,#N/A,FALSE,"Sheet7"}</definedName>
    <definedName name="wrn.Results." localSheetId="3" hidden="1">{#N/A,#N/A,FALSE,"PR report 1";#N/A,#N/A,FALSE,"PR report 2";#N/A,#N/A,FALSE,"PR report 3";#N/A,#N/A,FALSE,"HBE Rev";#N/A,#N/A,FALSE,"PR report 4";#N/A,#N/A,FALSE,"Wiggin Rev";#N/A,#N/A,FALSE,"NH Rev"}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" localSheetId="3" hidden="1">{"FixedPriceAllocation",#N/A,FALSE,"FinBudget Revenue";"FixedPriceAllocation",#N/A,FALSE,"Revenue Forecast"}</definedName>
    <definedName name="wrn.Revenue." hidden="1">{"FixedPriceAllocation",#N/A,FALSE,"FinBudget Revenue";"FixedPriceAllocation",#N/A,FALSE,"Revenue Forecast"}</definedName>
    <definedName name="wrn.revenue._.historical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localSheetId="3" hidden="1">{#N/A,#N/A,TRUE,"Overview";#N/A,#N/A,TRUE,"New Gen"}</definedName>
    <definedName name="wrn.Revised._.Cap._.Budget." hidden="1">{#N/A,#N/A,TRUE,"Overview";#N/A,#N/A,TRUE,"New Gen"}</definedName>
    <definedName name="wrn.Revised._.Capital._.Budget." localSheetId="3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evs." localSheetId="3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cobayo._.I." localSheetId="3" hidden="1">{#N/A,#N/A,FALSE,"RESUMEN ECON.";#N/A,#N/A,FALSE,"Costos de R.H.";#N/A,#N/A,FALSE,"COSTO HW";#N/A,#N/A,FALSE,"CUADROS";#N/A,#N/A,FALSE,"SCADA´s";#N/A,#N/A,FALSE,"PRECIOS EQUIPOS"}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ppert." localSheetId="3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localSheetId="3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R._.book." localSheetId="3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wrn.RR._.book.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n._.Pedro." localSheetId="3" hidden="1">{#N/A,#N/A,FALSE,"San Pedro"}</definedName>
    <definedName name="wrn.San._.Pedro." hidden="1">{#N/A,#N/A,FALSE,"San Pedro"}</definedName>
    <definedName name="wrn.SB_PRES." localSheetId="3" hidden="1">{#N/A,#N/A,TRUE,"Sheet16"}</definedName>
    <definedName name="wrn.SB_PRES." hidden="1">{#N/A,#N/A,TRUE,"Sheet16"}</definedName>
    <definedName name="wrn.SBEI." localSheetId="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ensitivity." localSheetId="3" hidden="1">{"sensitivity",#N/A,FALSE,"Sensitivity"}</definedName>
    <definedName name="wrn.sensitivity." hidden="1">{"sensitivity",#N/A,FALSE,"Sensitivity"}</definedName>
    <definedName name="wrn.Set." localSheetId="3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HORT." localSheetId="3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Form._.Print._.Out.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localSheetId="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HSUBINT." localSheetId="3" hidden="1">{#N/A,#N/A,FALSE,"allocation"}</definedName>
    <definedName name="wrn.SHSUBINT." hidden="1">{#N/A,#N/A,FALSE,"allocation"}</definedName>
    <definedName name="wrn.Side._.by._.Side." localSheetId="3" hidden="1">{"Side 99",#N/A,FALSE,"S&amp;U Side by Side"}</definedName>
    <definedName name="wrn.Side._.by._.Side." hidden="1">{"Side 99",#N/A,FALSE,"S&amp;U Side by Side"}</definedName>
    <definedName name="wrn.SKSCS1.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muck." localSheetId="3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mmaire." localSheetId="3" hidden="1">{#N/A,#N/A,TRUE,"Summary";#N/A,#N/A,TRUE,"NARRATIF";#N/A,#N/A,TRUE,"SALES";#N/A,#N/A,TRUE,"NOPAT";#N/A,#N/A,TRUE,"CASH";#N/A,#N/A,TRUE,"UA";#N/A,#N/A,TRUE,"spares"}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localSheetId="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localSheetId="3" hidden="1">{#N/A,#N/A,TRUE,"Staffnos &amp; cost"}</definedName>
    <definedName name="wrn.Staff._.cost1998." hidden="1">{#N/A,#N/A,TRUE,"Staffnos &amp; cost"}</definedName>
    <definedName name="wrn.Staffcost." localSheetId="3" hidden="1">{#N/A,#N/A,FALSE,"Staffnos &amp; cost"}</definedName>
    <definedName name="wrn.Staffcost." hidden="1">{#N/A,#N/A,FALSE,"Staffnos &amp; cost"}</definedName>
    <definedName name="wrn.Staffing." localSheetId="3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3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3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" localSheetId="3" hidden="1">{"FCB_ALL",#N/A,FALSE,"FCB";"GREY_ALL",#N/A,FALSE,"GREY"}</definedName>
    <definedName name="wrn.stand_alone_both" hidden="1">{"FCB_ALL",#N/A,FALSE,"FCB";"GREY_ALL",#N/A,FALSE,"GREY"}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nd_alone_both._dcf" localSheetId="3" hidden="1">{"FCB_ALL",#N/A,FALSE,"FCB";"GREY_ALL",#N/A,FALSE,"GREY"}</definedName>
    <definedName name="wrn.Stand_alone_both._dcf" hidden="1">{"FCB_ALL",#N/A,FALSE,"FCB";"GREY_ALL",#N/A,FALSE,"GREY"}</definedName>
    <definedName name="wrn.stand_alone_both.1" localSheetId="3" hidden="1">{"FCB_ALL",#N/A,FALSE,"FCB";"GREY_ALL",#N/A,FALSE,"GREY"}</definedName>
    <definedName name="wrn.stand_alone_both.1" hidden="1">{"FCB_ALL",#N/A,FALSE,"FCB";"GREY_ALL",#N/A,FALSE,"GREY"}</definedName>
    <definedName name="wrn.stand_alone_both1" localSheetId="3" hidden="1">{"FCB_ALL",#N/A,FALSE,"FCB";"GREY_ALL",#N/A,FALSE,"GREY"}</definedName>
    <definedName name="wrn.stand_alone_both1" hidden="1">{"FCB_ALL",#N/A,FALSE,"FCB";"GREY_ALL",#N/A,FALSE,"GREY"}</definedName>
    <definedName name="wrn.stand_alone_both9" localSheetId="3" hidden="1">{"FCB_ALL",#N/A,FALSE,"FCB";"GREY_ALL",#N/A,FALSE,"GREY"}</definedName>
    <definedName name="wrn.stand_alone_both9" hidden="1">{"FCB_ALL",#N/A,FALSE,"FCB";"GREY_ALL",#N/A,FALSE,"GREY"}</definedName>
    <definedName name="wrn.standaloneboth1" localSheetId="3" hidden="1">{"FCB_ALL",#N/A,FALSE,"FCB";"GREY_ALL",#N/A,FALSE,"GREY"}</definedName>
    <definedName name="wrn.standaloneboth1" hidden="1">{"FCB_ALL",#N/A,FALSE,"FCB";"GREY_ALL",#N/A,FALSE,"GREY"}</definedName>
    <definedName name="wrn.Standard._.Exhibit." localSheetId="3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3" hidden="1">{#N/A,#N/A,FALSE,"CostOfService";#N/A,#N/A,FALSE,"BalanceSheet";#N/A,#N/A,FALSE,"IncomeStmt";#N/A,#N/A,FALSE,"CashFlow";#N/A,#N/A,FALSE,"RateBase"}</definedName>
    <definedName name="wrn.Statements." hidden="1">{#N/A,#N/A,FALSE,"CostOfService";#N/A,#N/A,FALSE,"BalanceSheet";#N/A,#N/A,FALSE,"IncomeStmt";#N/A,#N/A,FALSE,"CashFlow";#N/A,#N/A,FALSE,"RateBase"}</definedName>
    <definedName name="wrn.statemetns1." localSheetId="3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localSheetId="3" hidden="1">{"Std Poor",#N/A,FALSE,"S&amp;P";"Sum Stats",#N/A,FALSE,"Stats"}</definedName>
    <definedName name="wrn.Statistics." hidden="1">{"Std Poor",#N/A,FALSE,"S&amp;P";"Sum Stats",#N/A,FALSE,"Stats"}</definedName>
    <definedName name="wrn.Status.">#REF!</definedName>
    <definedName name="wrn.STETSON." localSheetId="3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localSheetId="3" hidden="1">{#N/A,#N/A,FALSE,"WW-1 Stockholders' Equity"}</definedName>
    <definedName name="wrn.STOCKHOLDERS._.EQUITY." hidden="1">{#N/A,#N/A,FALSE,"WW-1 Stockholders' Equity"}</definedName>
    <definedName name="wrn.Structure." localSheetId="3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." localSheetId="3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arry_96_980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of._.Details2." localSheetId="3" hidden="1">{"Summary",#N/A,FALSE,"Details (2)"}</definedName>
    <definedName name="wrn.Summary._.of._.Details2." hidden="1">{"Summary",#N/A,FALSE,"Details (2)"}</definedName>
    <definedName name="wrn.Summary._1" localSheetId="3" hidden="1">{"Summary",#N/A,FALSE,"Summary"}</definedName>
    <definedName name="wrn.Summary._1" hidden="1">{"Summary",#N/A,FALSE,"Summary"}</definedName>
    <definedName name="wrn.Summary._1_1" localSheetId="3" hidden="1">{"Summary",#N/A,FALSE,"Summary"}</definedName>
    <definedName name="wrn.Summary._1_1" hidden="1">{"Summary",#N/A,FALSE,"Summary"}</definedName>
    <definedName name="wrn.Summary._1_2" localSheetId="3" hidden="1">{"Summary",#N/A,FALSE,"Summary"}</definedName>
    <definedName name="wrn.Summary._1_2" hidden="1">{"Summary",#N/A,FALSE,"Summary"}</definedName>
    <definedName name="wrn.Summary._1_3" localSheetId="3" hidden="1">{"Summary",#N/A,FALSE,"Summary"}</definedName>
    <definedName name="wrn.Summary._1_3" hidden="1">{"Summary",#N/A,FALSE,"Summary"}</definedName>
    <definedName name="wrn.Summary._1_4" localSheetId="3" hidden="1">{"Summary",#N/A,FALSE,"Summary"}</definedName>
    <definedName name="wrn.Summary._1_4" hidden="1">{"Summary",#N/A,FALSE,"Summary"}</definedName>
    <definedName name="wrn.Summary._2" localSheetId="3" hidden="1">{"Summary",#N/A,FALSE,"Summary"}</definedName>
    <definedName name="wrn.Summary._2" hidden="1">{"Summary",#N/A,FALSE,"Summary"}</definedName>
    <definedName name="wrn.Summary._3" localSheetId="3" hidden="1">{"Summary",#N/A,FALSE,"Summary"}</definedName>
    <definedName name="wrn.Summary._3" hidden="1">{"Summary",#N/A,FALSE,"Summary"}</definedName>
    <definedName name="wrn.Summary._4" localSheetId="3" hidden="1">{"Summary",#N/A,FALSE,"Summary"}</definedName>
    <definedName name="wrn.Summary._4" hidden="1">{"Summary",#N/A,FALSE,"Summary"}</definedName>
    <definedName name="wrn.Summary._5" localSheetId="3" hidden="1">{"Summary",#N/A,FALSE,"Summary"}</definedName>
    <definedName name="wrn.Summary._5" hidden="1">{"Summary",#N/A,FALSE,"Summary"}</definedName>
    <definedName name="wrn.summary_95_890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ANDbackup." localSheetId="3" hidden="1">{#N/A,#N/A,FALSE,"Prem_Sum";#N/A,#N/A,FALSE,"Prem"}</definedName>
    <definedName name="wrn.summaryANDbackup." hidden="1">{#N/A,#N/A,FALSE,"Prem_Sum";#N/A,#N/A,FALSE,"Prem"}</definedName>
    <definedName name="wrn.SummaryPgs." localSheetId="3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._.Information." localSheetId="3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Supplemental_Reports." localSheetId="3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Target." localSheetId="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3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LBO." localSheetId="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3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3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iff._.Analysis." localSheetId="3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3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XATION." localSheetId="3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calc." localSheetId="3" hidden="1">{#N/A,#N/A,FALSE,"TAXCALC";#N/A,#N/A,FALSE,"TAXCALC"}</definedName>
    <definedName name="wrn.taxcalc." hidden="1">{#N/A,#N/A,FALSE,"TAXCALC";#N/A,#N/A,FALSE,"TAXCALC"}</definedName>
    <definedName name="wrn.tel2." localSheetId="3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3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." localSheetId="3" hidden="1">{"Valuation_Common",#N/A,FALSE,"Valuation"}</definedName>
    <definedName name="wrn.test." hidden="1">{"Valuation_Common",#N/A,FALSE,"Valuation"}</definedName>
    <definedName name="wrn.Test._1" localSheetId="3" hidden="1">{#N/A,#N/A,FALSE,"P&amp;L";#N/A,#N/A,FALSE,"BS"}</definedName>
    <definedName name="wrn.Test._1" hidden="1">{#N/A,#N/A,FALSE,"P&amp;L";#N/A,#N/A,FALSE,"BS"}</definedName>
    <definedName name="wrn.Test._1_1" localSheetId="3" hidden="1">{#N/A,#N/A,FALSE,"P&amp;L";#N/A,#N/A,FALSE,"BS"}</definedName>
    <definedName name="wrn.Test._1_1" hidden="1">{#N/A,#N/A,FALSE,"P&amp;L";#N/A,#N/A,FALSE,"BS"}</definedName>
    <definedName name="wrn.Test._1_2" localSheetId="3" hidden="1">{#N/A,#N/A,FALSE,"P&amp;L";#N/A,#N/A,FALSE,"BS"}</definedName>
    <definedName name="wrn.Test._1_2" hidden="1">{#N/A,#N/A,FALSE,"P&amp;L";#N/A,#N/A,FALSE,"BS"}</definedName>
    <definedName name="wrn.Test._1_3" localSheetId="3" hidden="1">{#N/A,#N/A,FALSE,"P&amp;L";#N/A,#N/A,FALSE,"BS"}</definedName>
    <definedName name="wrn.Test._1_3" hidden="1">{#N/A,#N/A,FALSE,"P&amp;L";#N/A,#N/A,FALSE,"BS"}</definedName>
    <definedName name="wrn.Test._1_4" localSheetId="3" hidden="1">{#N/A,#N/A,FALSE,"P&amp;L";#N/A,#N/A,FALSE,"BS"}</definedName>
    <definedName name="wrn.Test._1_4" hidden="1">{#N/A,#N/A,FALSE,"P&amp;L";#N/A,#N/A,FALSE,"BS"}</definedName>
    <definedName name="wrn.Test._2" localSheetId="3" hidden="1">{#N/A,#N/A,FALSE,"P&amp;L";#N/A,#N/A,FALSE,"BS"}</definedName>
    <definedName name="wrn.Test._2" hidden="1">{#N/A,#N/A,FALSE,"P&amp;L";#N/A,#N/A,FALSE,"BS"}</definedName>
    <definedName name="wrn.Test._3" localSheetId="3" hidden="1">{#N/A,#N/A,FALSE,"P&amp;L";#N/A,#N/A,FALSE,"BS"}</definedName>
    <definedName name="wrn.Test._3" hidden="1">{#N/A,#N/A,FALSE,"P&amp;L";#N/A,#N/A,FALSE,"BS"}</definedName>
    <definedName name="wrn.Test._4" localSheetId="3" hidden="1">{#N/A,#N/A,FALSE,"P&amp;L";#N/A,#N/A,FALSE,"BS"}</definedName>
    <definedName name="wrn.Test._4" hidden="1">{#N/A,#N/A,FALSE,"P&amp;L";#N/A,#N/A,FALSE,"BS"}</definedName>
    <definedName name="wrn.Test._5" localSheetId="3" hidden="1">{#N/A,#N/A,FALSE,"P&amp;L";#N/A,#N/A,FALSE,"BS"}</definedName>
    <definedName name="wrn.Test._5" hidden="1">{#N/A,#N/A,FALSE,"P&amp;L";#N/A,#N/A,FALSE,"BS"}</definedName>
    <definedName name="wrn.TheWholeEnchilada." localSheetId="3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MCALL." localSheetId="3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bacco.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3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do.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localSheetId="3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Pack.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localSheetId="3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ut._.Sauf._.BG.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localSheetId="3" hidden="1">{#N/A,#N/A,FALSE,"Trading Summary"}</definedName>
    <definedName name="wrn.Trading._.Summary." hidden="1">{#N/A,#N/A,FALSE,"Trading Summary"}</definedName>
    <definedName name="wrn.TransPrcd_123." localSheetId="3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ball." localSheetId="3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localSheetId="3" hidden="1">{#N/A,#N/A,FALSE,"Summary";#N/A,#N/A,FALSE,"Financials";#N/A,#N/A,FALSE,"Returns";#N/A,#N/A,FALSE,"Open";#N/A,#N/A,FALSE,"Assumptions"}</definedName>
    <definedName name="wrn.tsp." hidden="1">{#N/A,#N/A,FALSE,"Summary";#N/A,#N/A,FALSE,"Financials";#N/A,#N/A,FALSE,"Returns";#N/A,#N/A,FALSE,"Open";#N/A,#N/A,FALSE,"Assumptions"}</definedName>
    <definedName name="wrn.Tweety." localSheetId="3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phoon.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azatele." localSheetId="3" hidden="1">{#N/A,#N/A,FALSE,"List A";#N/A,#N/A,FALSE,"ListB";#N/A,#N/A,FALSE,"ListC";#N/A,#N/A,FALSE,"ListCash";#N/A,#N/A,FALSE,"ListHF";#N/A,#N/A,FALSE,"ListUK";#N/A,#N/A,FALSE,"Graf"}</definedName>
    <definedName name="wrn.ukazatele." hidden="1">{#N/A,#N/A,FALSE,"List A";#N/A,#N/A,FALSE,"ListB";#N/A,#N/A,FALSE,"ListC";#N/A,#N/A,FALSE,"ListCash";#N/A,#N/A,FALSE,"ListHF";#N/A,#N/A,FALSE,"ListUK";#N/A,#N/A,FALSE,"Graf"}</definedName>
    <definedName name="wrn.up." localSheetId="3" hidden="1">{"up stand alones",#N/A,FALSE,"Acquiror"}</definedName>
    <definedName name="wrn.up." hidden="1">{"up stand alones",#N/A,FALSE,"Acquiror"}</definedName>
    <definedName name="wrn.Upper._.Case." localSheetId="3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TL._.Position." localSheetId="3" hidden="1">{"UTL effect",#N/A,FALSE,"Sensitivity"}</definedName>
    <definedName name="wrn.UTL._.Position." hidden="1">{"UTL effect",#N/A,FALSE,"Sensitivity"}</definedName>
    <definedName name="wrn.Valuation." localSheetId="3" hidden="1">{#N/A,#N/A,TRUE,"Contents";#N/A,#N/A,TRUE,"SSB Model";#N/A,#N/A,TRUE,"Sum of Parts Model";#N/A,#N/A,TRUE,"RCNC";#N/A,#N/A,TRUE,"Multiples 99";#N/A,#N/A,TRUE,"WACC CLEC";#N/A,#N/A,TRUE,"WACC Cable";#N/A,#N/A,TRUE,"WACC Combo"}</definedName>
    <definedName name="wrn.Valuation." hidden="1">{#N/A,#N/A,TRUE,"Contents";#N/A,#N/A,TRUE,"SSB Model";#N/A,#N/A,TRUE,"Sum of Parts Model";#N/A,#N/A,TRUE,"RCNC";#N/A,#N/A,TRUE,"Multiples 99";#N/A,#N/A,TRUE,"WACC CLEC";#N/A,#N/A,TRUE,"WACC Cable";#N/A,#N/A,TRUE,"WACC Combo"}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e." localSheetId="3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.2" localSheetId="3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localSheetId="3" hidden="1">{"Area1",#N/A,FALSE,"OREWACC";"Area2",#N/A,FALSE,"OREWACC"}</definedName>
    <definedName name="wrn.Wacc." hidden="1">{"Area1",#N/A,FALSE,"OREWACC";"Area2",#N/A,FALSE,"OREWACC"}</definedName>
    <definedName name="wrn.WATERTOWN._.BUDGET." localSheetId="3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localSheetId="3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icor." localSheetId="3" hidden="1">{#N/A,#N/A,FALSE,"FACTSHEETS";#N/A,#N/A,FALSE,"pump";#N/A,#N/A,FALSE,"filter"}</definedName>
    <definedName name="wrn.wicor." hidden="1">{#N/A,#N/A,FALSE,"FACTSHEETS";#N/A,#N/A,FALSE,"pump";#N/A,#N/A,FALSE,"filter"}</definedName>
    <definedName name="wrn.wpoall." localSheetId="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localSheetId="3" hidden="1">{#N/A,#N/A,FALSE,"WWY"}</definedName>
    <definedName name="wrn.WWY." hidden="1">{#N/A,#N/A,FALSE,"WWY"}</definedName>
    <definedName name="wrn.апрель.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апрель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ку." localSheetId="3" hidden="1">{#N/A,#N/A,TRUE,"Лист2"}</definedName>
    <definedName name="wrn.ку." hidden="1">{#N/A,#N/A,TRUE,"Лист2"}</definedName>
    <definedName name="wrn.Модель._.Интенсивника." localSheetId="3" hidden="1">{"Страница 1",#N/A,FALSE,"Модель Интенсивника";"Страница 2",#N/A,FALSE,"Модель Интенсивника";"Страница 3",#N/A,FALSE,"Модель Интенсивника"}</definedName>
    <definedName name="wrn.Модель._.Интенсивника." hidden="1">{"Страница 1",#N/A,FALSE,"Модель Интенсивника";"Страница 2",#N/A,FALSE,"Модель Интенсивника";"Страница 3",#N/A,FALSE,"Модель Интенсивника"}</definedName>
    <definedName name="wrn.Модель._.Интенсивника._.стр._.1._.и._.3." localSheetId="3" hidden="1">{"Страница 1",#N/A,FALSE,"Модель Интенсивника";"Страница 3",#N/A,FALSE,"Модель Интенсивника"}</definedName>
    <definedName name="wrn.Модель._.Интенсивника._.стр._.1._.и._.3." hidden="1">{"Страница 1",#N/A,FALSE,"Модель Интенсивника";"Страница 3",#N/A,FALSE,"Модель Интенсивника"}</definedName>
    <definedName name="wrn.Отчет.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Отчет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справк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справ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ФП_КМК." localSheetId="3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wrn.ФП_КМК.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wrn_eva" localSheetId="3" hidden="1">{"EVA",#N/A,FALSE,"EVA";"WACC",#N/A,FALSE,"WACC"}</definedName>
    <definedName name="wrn_eva" hidden="1">{"EVA",#N/A,FALSE,"EVA";"WACC",#N/A,FALSE,"WACC"}</definedName>
    <definedName name="wrn_otpt" localSheetId="3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_summary_95_952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1.Bewegungsbilanz" localSheetId="3" hidden="1">{#N/A,#N/A,FALSE,"Mittelherkunft";#N/A,#N/A,FALSE,"Mittelverwendung"}</definedName>
    <definedName name="wrn1.Bewegungsbilanz" hidden="1">{#N/A,#N/A,FALSE,"Mittelherkunft";#N/A,#N/A,FALSE,"Mittelverwendung"}</definedName>
    <definedName name="wrn1.Statements." localSheetId="3" hidden="1">{#N/A,#N/A,FALSE,"CostOfService";#N/A,#N/A,FALSE,"BalanceSheet";#N/A,#N/A,FALSE,"IncomeStmt";#N/A,#N/A,FALSE,"CashFlow";#N/A,#N/A,FALSE,"RateBase"}</definedName>
    <definedName name="wrn1.Statements." hidden="1">{#N/A,#N/A,FALSE,"CostOfService";#N/A,#N/A,FALSE,"BalanceSheet";#N/A,#N/A,FALSE,"IncomeStmt";#N/A,#N/A,FALSE,"CashFlow";#N/A,#N/A,FALSE,"RateBase"}</definedName>
    <definedName name="wrn1.summary" localSheetId="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." localSheetId="3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Handout" localSheetId="3" hidden="1">{#N/A,#N/A,FALSE,"Output";#N/A,#N/A,FALSE,"Cover Sheet";#N/A,#N/A,FALSE,"Current Mkt. Projections"}</definedName>
    <definedName name="wrn2.Handout" hidden="1">{#N/A,#N/A,FALSE,"Output";#N/A,#N/A,FALSE,"Cover Sheet";#N/A,#N/A,FALSE,"Current Mkt. Projections"}</definedName>
    <definedName name="wrn2.summary" localSheetId="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a.prod" localSheetId="3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c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localSheetId="3" hidden="1">{"summary",#N/A,FALSE,"3 yr average";"comps",#N/A,FALSE,"3 yr average"}</definedName>
    <definedName name="wrnrep" hidden="1">{"summary",#N/A,FALSE,"3 yr average";"comps",#N/A,FALSE,"3 yr average"}</definedName>
    <definedName name="WRR" localSheetId="3" hidden="1">{#N/A,#N/A,FALSE,"Pharm";#N/A,#N/A,FALSE,"WWCM"}</definedName>
    <definedName name="WRR" hidden="1">{#N/A,#N/A,FALSE,"Pharm";#N/A,#N/A,FALSE,"WWCM"}</definedName>
    <definedName name="wrrr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rrrr" localSheetId="3" hidden="1">{#N/A,#N/A,FALSE,"REPORT"}</definedName>
    <definedName name="wrrrrr" hidden="1">{#N/A,#N/A,FALSE,"REPORT"}</definedName>
    <definedName name="wt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" localSheetId="3" hidden="1">{#N/A,#N/A,FALSE,"Pharm";#N/A,#N/A,FALSE,"WWCM"}</definedName>
    <definedName name="wv" hidden="1">{#N/A,#N/A,FALSE,"Pharm";#N/A,#N/A,FALSE,"WWCM"}</definedName>
    <definedName name="wvu.cash.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3" hidden="1">{#N/A,#N/A,FALSE,"Pharm";#N/A,#N/A,FALSE,"WWCM"}</definedName>
    <definedName name="ww" hidden="1">{#N/A,#N/A,FALSE,"Pharm";#N/A,#N/A,FALSE,"WWCM"}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wrt" localSheetId="3" hidden="1">{#N/A,#N/A,FALSE,"RESUMEN ECON.";#N/A,#N/A,FALSE,"Costos de R.H.";#N/A,#N/A,FALSE,"COSTO HW";#N/A,#N/A,FALSE,"CUADROS";#N/A,#N/A,FALSE,"SCADA´s";#N/A,#N/A,FALSE,"PRECIOS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ww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ww.nuevahoja." localSheetId="3" hidden="1">{#N/A,#N/A,FALSE,"CNS_ADJ";"Balance Consolidado",#N/A,FALSE,"BCEC_CNS";#N/A,#N/A,FALSE,"USGAAP_ADJ"}</definedName>
    <definedName name="www.nuevahoja." hidden="1">{#N/A,#N/A,FALSE,"CNS_ADJ";"Balance Consolidado",#N/A,FALSE,"BCEC_CNS";#N/A,#N/A,FALSE,"USGAAP_ADJ"}</definedName>
    <definedName name="wwwwwwwww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wwwwwwww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x" localSheetId="3" hidden="1">{#N/A,#N/A,FALSE,"Pharm";#N/A,#N/A,FALSE,"WWCM"}</definedName>
    <definedName name="wx" hidden="1">{#N/A,#N/A,FALSE,"Pharm";#N/A,#N/A,FALSE,"WWCM"}</definedName>
    <definedName name="x" localSheetId="3" hidden="1">{#N/A,#N/A,FALSE,"REPORT"}</definedName>
    <definedName name="x" hidden="1">{#N/A,#N/A,FALSE,"REPORT"}</definedName>
    <definedName name="xaccommodationq1">#REF!</definedName>
    <definedName name="xaccommodationq2">#REF!</definedName>
    <definedName name="xaccommodationq3">#REF!</definedName>
    <definedName name="xaccommodationq4">#REF!</definedName>
    <definedName name="xadministrationq1">#REF!</definedName>
    <definedName name="xadministrationq2">#REF!</definedName>
    <definedName name="xadministrationq3">#REF!</definedName>
    <definedName name="xadministrationq4">#REF!</definedName>
    <definedName name="xAnnotationToggleChange">#REF!</definedName>
    <definedName name="XAxisIncr" hidden="1">#REF!</definedName>
    <definedName name="xbalanceq1">#REF!</definedName>
    <definedName name="xbalanceq2">#REF!</definedName>
    <definedName name="xbalanceq3">#REF!</definedName>
    <definedName name="xbalanceq4">#REF!</definedName>
    <definedName name="xBeginDateChange">#REF!</definedName>
    <definedName name="Xchng_rate" comment="Setup - US/UK Exchange Rate">#REF!</definedName>
    <definedName name="xcodesq1">#REF!</definedName>
    <definedName name="xcodesq2">#REF!</definedName>
    <definedName name="xcodesq3">#REF!</definedName>
    <definedName name="xcodesq4">#REF!</definedName>
    <definedName name="xConvertToScatterChart">#REF!</definedName>
    <definedName name="xcv" localSheetId="3" hidden="1">{#N/A,#N/A,FALSE,"Pharm";#N/A,#N/A,FALSE,"WWCM"}</definedName>
    <definedName name="xcv" hidden="1">{#N/A,#N/A,FALSE,"Pharm";#N/A,#N/A,FALSE,"WWCM"}</definedName>
    <definedName name="xcxzc" localSheetId="3" hidden="1">{#N/A,#N/A,FALSE,"AD_Purchase";#N/A,#N/A,FALSE,"Credit";#N/A,#N/A,FALSE,"PF Acquisition";#N/A,#N/A,FALSE,"PF Offering"}</definedName>
    <definedName name="xcxzc" hidden="1">{#N/A,#N/A,FALSE,"AD_Purchase";#N/A,#N/A,FALSE,"Credit";#N/A,#N/A,FALSE,"PF Acquisition";#N/A,#N/A,FALSE,"PF Offering"}</definedName>
    <definedName name="xDataLabelChange">#REF!</definedName>
    <definedName name="xEndDateChange">#REF!</definedName>
    <definedName name="xfinanceq1">#REF!</definedName>
    <definedName name="xfinanceq2">#REF!</definedName>
    <definedName name="xfinanceq3">#REF!</definedName>
    <definedName name="xfinanceq4">#REF!</definedName>
    <definedName name="xFrequencyChange">#REF!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motorq1">#REF!</definedName>
    <definedName name="xmotorq2">#REF!</definedName>
    <definedName name="xmotorq3">#REF!</definedName>
    <definedName name="xmotorq4">#REF!</definedName>
    <definedName name="xRatioToggleChang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ActiveRow" hidden="1">#REF!</definedName>
    <definedName name="XRefColumnsCount" hidden="1">1</definedName>
    <definedName name="XRefCopy1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Row" hidden="1">#REF!</definedName>
    <definedName name="XRefCopy3" hidden="1">#REF!</definedName>
    <definedName name="XRefCopy4" hidden="1">#REF!</definedName>
    <definedName name="XRefCopy6" hidden="1">#REF!</definedName>
    <definedName name="XRefCopy6Row" hidden="1">#REF!</definedName>
    <definedName name="XRefCopy8" hidden="1">#REF!</definedName>
    <definedName name="XRefCopyRangeCount" hidden="1">1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2" hidden="1">#REF!</definedName>
    <definedName name="XRefPaste2Row" hidden="1">#REF!</definedName>
    <definedName name="XRefPaste4" hidden="1">#REF!</definedName>
    <definedName name="XRefPaste4Row" hidden="1">#REF!</definedName>
    <definedName name="xretprofitq1">#REF!</definedName>
    <definedName name="xretprofitq2">#REF!</definedName>
    <definedName name="xretprofitq3">#REF!</definedName>
    <definedName name="xretprofitq4">#REF!</definedName>
    <definedName name="xstaffcostsq1">#REF!</definedName>
    <definedName name="xstaffcostsq2">#REF!</definedName>
    <definedName name="xstaffcostsq3">#REF!</definedName>
    <definedName name="xstaffcostsq4">#REF!</definedName>
    <definedName name="xvc" localSheetId="3" hidden="1">{"FCB_ALL",#N/A,FALSE,"FCB"}</definedName>
    <definedName name="xvc" hidden="1">{"FCB_ALL",#N/A,FALSE,"FCB"}</definedName>
    <definedName name="xVolumeChange">#REF!</definedName>
    <definedName name="xx" localSheetId="3" hidden="1">{#N/A,#N/A,FALSE,"REPORT"}</definedName>
    <definedName name="xx" hidden="1">{#N/A,#N/A,FALSE,"REPORT"}</definedName>
    <definedName name="xxd" localSheetId="3" hidden="1">{#N/A,#N/A,FALSE,"Cashflow Analysis";#N/A,#N/A,FALSE,"Sensitivity Analysis";#N/A,#N/A,FALSE,"PV";#N/A,#N/A,FALSE,"Pro Forma"}</definedName>
    <definedName name="xxd" hidden="1">{#N/A,#N/A,FALSE,"Cashflow Analysis";#N/A,#N/A,FALSE,"Sensitivity Analysis";#N/A,#N/A,FALSE,"PV";#N/A,#N/A,FALSE,"Pro Forma"}</definedName>
    <definedName name="xxd.2" localSheetId="3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localSheetId="3" hidden="1">{#N/A,#N/A,FALSE,"Other";#N/A,#N/A,FALSE,"Ace";#N/A,#N/A,FALSE,"Derm"}</definedName>
    <definedName name="XXX" hidden="1">{#N/A,#N/A,FALSE,"Other";#N/A,#N/A,FALSE,"Ace";#N/A,#N/A,FALSE,"Derm"}</definedName>
    <definedName name="xxxx" localSheetId="3" hidden="1">{"'Edit'!$A$1:$V$2277"}</definedName>
    <definedName name="xxxx" hidden="1">{"'Edit'!$A$1:$V$2277"}</definedName>
    <definedName name="xxxxx" localSheetId="3" hidden="1">{#N/A,#N/A,FALSE,"Pharm";#N/A,#N/A,FALSE,"WWCM"}</definedName>
    <definedName name="xxxxx" hidden="1">{#N/A,#N/A,FALSE,"Pharm";#N/A,#N/A,FALSE,"WWCM"}</definedName>
    <definedName name="xxxxxx" localSheetId="3" hidden="1">{"10yp graphs",#N/A,FALSE,"Market Data"}</definedName>
    <definedName name="xxxxxx" hidden="1">{"10yp graphs",#N/A,FALSE,"Market Data"}</definedName>
    <definedName name="xxxxxxxxxxxxxx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xxxxxxxxxxxxxx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y" localSheetId="3" hidden="1">{#N/A,#N/A,FALSE,"Pharm";#N/A,#N/A,FALSE,"WWCM"}</definedName>
    <definedName name="y" hidden="1">{#N/A,#N/A,FALSE,"Pharm";#N/A,#N/A,FALSE,"WWCM"}</definedName>
    <definedName name="YahooFields">#REF!</definedName>
    <definedName name="yale" localSheetId="3" hidden="1">{"Opsys",#N/A,FALSE,"NPV_OPsys";"NT",#N/A,FALSE,"NPV_NT";"DevP",#N/A,FALSE,"NPV_DevPdt";"Office",#N/A,FALSE,"NPV_Office"}</definedName>
    <definedName name="yale" hidden="1">{"Opsys",#N/A,FALSE,"NPV_OPsys";"NT",#N/A,FALSE,"NPV_NT";"DevP",#N/A,FALSE,"NPV_DevPdt";"Office",#N/A,FALSE,"NPV_Office"}</definedName>
    <definedName name="YAxisIncr" hidden="1">#REF!</definedName>
    <definedName name="YAxisMax" hidden="1">#REF!</definedName>
    <definedName name="YAxisMin" hidden="1">#REF!</definedName>
    <definedName name="year">#REF!</definedName>
    <definedName name="YEAR1">#REF!</definedName>
    <definedName name="YEAR2">#REF!</definedName>
    <definedName name="YEAR3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arTitle">#REF!</definedName>
    <definedName name="YEDate">#REF!</definedName>
    <definedName name="yedatetest">#REF!</definedName>
    <definedName name="YesNo">#REF!</definedName>
    <definedName name="YesNoNA">#REF!</definedName>
    <definedName name="YGJ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n">#REF!</definedName>
    <definedName name="Yo" localSheetId="3" hidden="1">{#N/A,#N/A,FALSE,"3mos";#N/A,#N/A,FALSE,"dedicated"}</definedName>
    <definedName name="Yo" hidden="1">{#N/A,#N/A,FALSE,"3mos";#N/A,#N/A,FALSE,"dedicated"}</definedName>
    <definedName name="yq" localSheetId="3" hidden="1">{#N/A,#N/A,FALSE,"CNS_ADJ";"Balance Consolidado",#N/A,FALSE,"BCEC_CNS";#N/A,#N/A,FALSE,"USGAAP_ADJ"}</definedName>
    <definedName name="yq" hidden="1">{#N/A,#N/A,FALSE,"CNS_ADJ";"Balance Consolidado",#N/A,FALSE,"BCEC_CNS";#N/A,#N/A,FALSE,"USGAAP_ADJ"}</definedName>
    <definedName name="yrey" localSheetId="3" hidden="1">{"up stand alones",#N/A,FALSE,"Acquiror"}</definedName>
    <definedName name="yrey" hidden="1">{"up stand alones",#N/A,FALSE,"Acquiror"}</definedName>
    <definedName name="yrtrt" localSheetId="3" hidden="1">{"NA Is w Ratios",#N/A,FALSE,"North America";"PF CFlow NA",#N/A,FALSE,"North America";"NA DCF Matrix",#N/A,FALSE,"North America"}</definedName>
    <definedName name="yrtrt" hidden="1">{"NA Is w Ratios",#N/A,FALSE,"North America";"PF CFlow NA",#N/A,FALSE,"North America";"NA DCF Matrix",#N/A,FALSE,"North America"}</definedName>
    <definedName name="YT" localSheetId="3" hidden="1">{"NA Is w Ratios",#N/A,FALSE,"North America";"PF CFlow NA",#N/A,FALSE,"North America";"NA DCF Matrix",#N/A,FALSE,"North America"}</definedName>
    <definedName name="YT" hidden="1">{"NA Is w Ratios",#N/A,FALSE,"North America";"PF CFlow NA",#N/A,FALSE,"North America";"NA DCF Matrix",#N/A,FALSE,"North America"}</definedName>
    <definedName name="y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rt" localSheetId="3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rt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localSheetId="3" hidden="1">{"ratios",#N/A,FALSE,"Summary Accounts"}</definedName>
    <definedName name="yuuuuuuu" hidden="1">{"ratios",#N/A,FALSE,"Summary Accounts"}</definedName>
    <definedName name="yxz">#REF!</definedName>
    <definedName name="YY">#REF!</definedName>
    <definedName name="yyss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yy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yyy" localSheetId="3" hidden="1">{#N/A,#N/A,FALSE,"Other";#N/A,#N/A,FALSE,"Ace";#N/A,#N/A,FALSE,"Derm"}</definedName>
    <definedName name="yyy" hidden="1">{#N/A,#N/A,FALSE,"Other";#N/A,#N/A,FALSE,"Ace";#N/A,#N/A,FALSE,"Derm"}</definedName>
    <definedName name="yyyyyy" localSheetId="3" hidden="1">{"p_l",#N/A,FALSE,"Summary Accounts"}</definedName>
    <definedName name="yyyyyy" hidden="1">{"p_l",#N/A,FALSE,"Summary Accounts"}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0D0B497D_21F8_11D5_91EF_00B0D058E5A7_.wvu.Cols" hidden="1">#REF!</definedName>
    <definedName name="Z_0D0B497D_21F8_11D5_91EF_00B0D058E5A7_.wvu.FilterData" hidden="1">#REF!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36FD64AC_A8C7_11D2_BA96_C0180FD4674E_.wvu.PrintArea" hidden="1">#REF!,#REF!</definedName>
    <definedName name="Z_36FD64AC_A8C7_11D2_BA96_C0180FD4674E_.wvu.Rows" hidden="1">#REF!,#REF!,#REF!,#REF!,#REF!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5BC384AA_E136_11D3_A206_0050049E7728_.wvu.PrintTitles" hidden="1">#REF!,#REF!</definedName>
    <definedName name="Z_5BC384AA_E136_11D3_A206_0050049E7728_.wvu.Rows" hidden="1">#REF!,#REF!,#REF!,#REF!,#REF!</definedName>
    <definedName name="Z_6DABC021_53B3_11D3_96BD_00A02419EED7_.wvu.Cols" hidden="1">#REF!,#REF!,#REF!,#REF!,#REF!,#REF!,#REF!,#REF!,#REF!,#REF!,#REF!,#REF!,#REF!</definedName>
    <definedName name="Z_6DABC021_53B3_11D3_96BD_00A02419EED7_.wvu.Rows" hidden="1">#REF!,#REF!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7A335D06_3E2B_11D5_982F_00B0D0A6BCF2_.wvu.PrintArea" hidden="1">#REF!</definedName>
    <definedName name="Z_7AA0BF31_4111_4E23_9D0D_CB55CEA6966E_.wvu.PrintArea" hidden="1">#REF!,#REF!</definedName>
    <definedName name="Z_7AA0BF31_4111_4E23_9D0D_CB55CEA6966E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8D5D3A06_0070_11D2_A2BC_00A0246DF4CB_.wvu.Cols" hidden="1">#REF!,#REF!,#REF!,#REF!,#REF!,#REF!,#REF!,#REF!,#REF!,#REF!</definedName>
    <definedName name="Z_8D5D3A06_0070_11D2_A2BC_00A0246DF4CB_.wvu.Rows" hidden="1">#REF!,#REF!</definedName>
    <definedName name="Z_8D5D3A09_0070_11D2_A2BC_00A0246DF4CB_.wvu.Cols" hidden="1">#REF!,#REF!,#REF!,#REF!,#REF!,#REF!,#REF!,#REF!,#REF!,#REF!</definedName>
    <definedName name="Z_8D5D3A09_0070_11D2_A2BC_00A0246DF4CB_.wvu.Rows" hidden="1">#REF!,#REF!</definedName>
    <definedName name="Z_8D5D3A0C_0070_11D2_A2BC_00A0246DF4CB_.wvu.Cols" hidden="1">#REF!,#REF!,#REF!,#REF!,#REF!,#REF!,#REF!,#REF!,#REF!,#REF!</definedName>
    <definedName name="Z_8D5D3A13_0070_11D2_A2BC_00A0246DF4CB_.wvu.Cols" hidden="1">#REF!,#REF!,#REF!,#REF!,#REF!,#REF!,#REF!,#REF!,#REF!,#REF!</definedName>
    <definedName name="Z_8D5D3A13_0070_11D2_A2BC_00A0246DF4CB_.wvu.Rows" hidden="1">#REF!,#REF!</definedName>
    <definedName name="Z_8D5D3A14_0070_11D2_A2BC_00A0246DF4CB_.wvu.Cols" hidden="1">#REF!,#REF!,#REF!,#REF!,#REF!,#REF!,#REF!,#REF!,#REF!,#REF!</definedName>
    <definedName name="Z_8D5D3A14_0070_11D2_A2BC_00A0246DF4CB_.wvu.Rows" hidden="1">#REF!,#REF!</definedName>
    <definedName name="Z_8D5D3A17_0070_11D2_A2BC_00A0246DF4CB_.wvu.Cols" hidden="1">#REF!,#REF!,#REF!,#REF!,#REF!,#REF!,#REF!,#REF!,#REF!,#REF!</definedName>
    <definedName name="Z_8D5D3A18_0070_11D2_A2BC_00A0246DF4CB_.wvu.Cols" hidden="1">#REF!,#REF!,#REF!,#REF!,#REF!,#REF!,#REF!,#REF!,#REF!,#REF!</definedName>
    <definedName name="Z_8E437FCE_8A82_44FB_96BE_F859275131EE_.wvu.PrintArea" hidden="1">#REF!</definedName>
    <definedName name="Z_8E437FCE_8A82_44FB_96BE_F859275131EE_.wvu.PrintTitles" hidden="1">#REF!</definedName>
    <definedName name="Z_901DD601_3312_11D5_8F89_00010215A1CA_.wvu.Rows" hidden="1">#REF!,#REF!</definedName>
    <definedName name="Z_94FF9A27_FF84_11D1_96BD_00A02419EED7_.wvu.Cols" hidden="1">#REF!,#REF!,#REF!,#REF!,#REF!,#REF!,#REF!,#REF!,#REF!,#REF!</definedName>
    <definedName name="Z_94FF9A27_FF84_11D1_96BD_00A02419EED7_.wvu.Rows" hidden="1">#REF!,#REF!</definedName>
    <definedName name="Z_94FF9A2A_FF84_11D1_96BD_00A02419EED7_.wvu.Cols" hidden="1">#REF!,#REF!,#REF!,#REF!,#REF!,#REF!,#REF!,#REF!,#REF!,#REF!</definedName>
    <definedName name="Z_94FF9A2A_FF84_11D1_96BD_00A02419EED7_.wvu.Rows" hidden="1">#REF!,#REF!</definedName>
    <definedName name="Z_94FF9A2D_FF84_11D1_96BD_00A02419EED7_.wvu.Cols" hidden="1">#REF!,#REF!,#REF!,#REF!,#REF!,#REF!,#REF!,#REF!,#REF!,#REF!</definedName>
    <definedName name="Z_94FF9A34_FF84_11D1_96BD_00A02419EED7_.wvu.Cols" hidden="1">#REF!,#REF!,#REF!,#REF!,#REF!,#REF!,#REF!,#REF!,#REF!,#REF!</definedName>
    <definedName name="Z_94FF9A34_FF84_11D1_96BD_00A02419EED7_.wvu.Rows" hidden="1">#REF!,#REF!</definedName>
    <definedName name="Z_94FF9A35_FF84_11D1_96BD_00A02419EED7_.wvu.Cols" hidden="1">#REF!,#REF!,#REF!,#REF!,#REF!,#REF!,#REF!,#REF!,#REF!,#REF!</definedName>
    <definedName name="Z_94FF9A35_FF84_11D1_96BD_00A02419EED7_.wvu.Rows" hidden="1">#REF!,#REF!</definedName>
    <definedName name="Z_94FF9A38_FF84_11D1_96BD_00A02419EED7_.wvu.Cols" hidden="1">#REF!,#REF!,#REF!,#REF!,#REF!,#REF!,#REF!,#REF!,#REF!,#REF!</definedName>
    <definedName name="Z_94FF9A39_FF84_11D1_96BD_00A02419EED7_.wvu.Cols" hidden="1">#REF!,#REF!,#REF!,#REF!,#REF!,#REF!,#REF!,#REF!,#REF!,#REF!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ADCF894C_DAFA_4BD3_BD21_89E33EBA8162_.wvu.PrintArea" hidden="1">#REF!,#REF!</definedName>
    <definedName name="Z_ADCF894C_DAFA_4BD3_BD21_89E33EBA8162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5D78028_30FA_4544_95A0_7A6B3E790E9F_.wvu.PrintArea" hidden="1">#REF!,#REF!</definedName>
    <definedName name="Z_C5D78028_30FA_4544_95A0_7A6B3E790E9F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D1223675_FA21_11D1_AE01_0020AFC62C32_.wvu.Cols" hidden="1">#REF!,#REF!,#REF!,#REF!,#REF!,#REF!,#REF!,#REF!,#REF!,#REF!</definedName>
    <definedName name="Z_D1223684_FA21_11D1_AE01_0020AFC62C32_.wvu.Cols" hidden="1">#REF!,#REF!,#REF!,#REF!,#REF!,#REF!,#REF!</definedName>
    <definedName name="Z_D1223687_FA21_11D1_AE01_0020AFC62C32_.wvu.Cols" hidden="1">#REF!,#REF!,#REF!,#REF!,#REF!,#REF!,#REF!</definedName>
    <definedName name="Z_D122368F_FA21_11D1_AE01_0020AFC62C32_.wvu.Cols" hidden="1">#REF!,#REF!,#REF!,#REF!,#REF!,#REF!,#REF!,#REF!,#REF!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F4D26AD1_3E1A_11D5_A9C5_00A0C91596F2_.wvu.PrintArea" hidden="1">#REF!</definedName>
    <definedName name="Z_FCE1EA20_50AC_4599_9AE4_39031AF9A32C_.wvu.PrintArea" hidden="1">#REF!,#REF!</definedName>
    <definedName name="Z_FCE1EA20_50AC_4599_9AE4_39031AF9A32C_.wvu.Rows" hidden="1">#REF!,#REF!,#REF!,#REF!,#REF!</definedName>
    <definedName name="Z_FED66467_CA07_11D1_80E3_006097906191_.wvu.Cols" hidden="1">#REF!,#REF!,#REF!,#REF!,#REF!,#REF!,#REF!,#REF!,#REF!,#REF!</definedName>
    <definedName name="zb" localSheetId="3" hidden="1">{#N/A,#N/A,FALSE,"Sheet1";#N/A,#N/A,FALSE,"Sheet2";#N/A,#N/A,FALSE,"Sheet3";#N/A,#N/A,FALSE,"Sheet4";#N/A,#N/A,FALSE,"Sheet5";#N/A,#N/A,FALSE,"Sheet6"}</definedName>
    <definedName name="zb" hidden="1">{#N/A,#N/A,FALSE,"Sheet1";#N/A,#N/A,FALSE,"Sheet2";#N/A,#N/A,FALSE,"Sheet3";#N/A,#N/A,FALSE,"Sheet4";#N/A,#N/A,FALSE,"Sheet5";#N/A,#N/A,FALSE,"Sheet6"}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cvqa" localSheetId="3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zaa" localSheetId="3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xzxva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xzdfg" localSheetId="3" hidden="1">{"ReportTop",#N/A,FALSE,"report top"}</definedName>
    <definedName name="zdfgxzdfg" hidden="1">{"ReportTop",#N/A,FALSE,"report top"}</definedName>
    <definedName name="zero">0</definedName>
    <definedName name="zhu" localSheetId="3" hidden="1">{#N/A,#N/A,FALSE,"REPORT"}</definedName>
    <definedName name="zhu" hidden="1">{#N/A,#N/A,FALSE,"REPORT"}</definedName>
    <definedName name="zhutr" localSheetId="3" hidden="1">{#N/A,#N/A,FALSE,"REPORT"}</definedName>
    <definedName name="zhutr" hidden="1">{#N/A,#N/A,FALSE,"REPORT"}</definedName>
    <definedName name="ZONE_IMPRES_MI">#REF!</definedName>
    <definedName name="Zone_Notes">#REF!</definedName>
    <definedName name="zs" localSheetId="3" hidden="1">{"FCB_ALL",#N/A,FALSE,"FCB"}</definedName>
    <definedName name="zs" hidden="1">{"FCB_ALL",#N/A,FALSE,"FCB"}</definedName>
    <definedName name="zscz" localSheetId="3" hidden="1">{#N/A,#N/A,FALSE,"Pooling";#N/A,#N/A,FALSE,"income";#N/A,#N/A,FALSE,"valuation"}</definedName>
    <definedName name="zscz" hidden="1">{#N/A,#N/A,FALSE,"Pooling";#N/A,#N/A,FALSE,"income";#N/A,#N/A,FALSE,"valuation"}</definedName>
    <definedName name="zsdas" localSheetId="3" hidden="1">{"FCB_ALL",#N/A,FALSE,"FCB"}</definedName>
    <definedName name="zsdas" hidden="1">{"FCB_ALL",#N/A,FALSE,"FCB"}</definedName>
    <definedName name="ZSZ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vxcxv" localSheetId="3" hidden="1">{"IS FE with Ratios",#N/A,FALSE,"Far East";"PF CF Far East",#N/A,FALSE,"Far East";"DCF Far East Matrix",#N/A,FALSE,"Far East"}</definedName>
    <definedName name="zvxcxv" hidden="1">{"IS FE with Ratios",#N/A,FALSE,"Far East";"PF CF Far East",#N/A,FALSE,"Far East";"DCF Far East Matrix",#N/A,FALSE,"Far East"}</definedName>
    <definedName name="zx" localSheetId="3" hidden="1">{#N/A,#N/A,FALSE,"AD_Purchase";#N/A,#N/A,FALSE,"Credit";#N/A,#N/A,FALSE,"PF Acquisition";#N/A,#N/A,FALSE,"PF Offering"}</definedName>
    <definedName name="zx" hidden="1">{#N/A,#N/A,FALSE,"AD_Purchase";#N/A,#N/A,FALSE,"Credit";#N/A,#N/A,FALSE,"PF Acquisition";#N/A,#N/A,FALSE,"PF Offering"}</definedName>
    <definedName name="zxcc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zz" localSheetId="3" hidden="1">{"FCB_ALL",#N/A,FALSE,"FCB"}</definedName>
    <definedName name="zxczz" hidden="1">{"FCB_ALL",#N/A,FALSE,"FCB"}</definedName>
    <definedName name="zxxx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_1" localSheetId="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z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zz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zza4pg" localSheetId="3" hidden="1">{#N/A,#N/A,FALSE,"REPORT"}</definedName>
    <definedName name="zza4pg" hidden="1">{#N/A,#N/A,FALSE,"REPORT"}</definedName>
    <definedName name="zzee" localSheetId="3" hidden="1">{#N/A,#N/A,FALSE,"Pharm";#N/A,#N/A,FALSE,"WWCM"}</definedName>
    <definedName name="zzee" hidden="1">{#N/A,#N/A,FALSE,"Pharm";#N/A,#N/A,FALSE,"WWCM"}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" localSheetId="3" hidden="1">{#N/A,#N/A,FALSE,"REPORT"}</definedName>
    <definedName name="zzzzz" hidden="1">{#N/A,#N/A,FALSE,"REPORT"}</definedName>
    <definedName name="аа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а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выав" localSheetId="3" hidden="1">{"Страница 1",#N/A,FALSE,"Модель Интенсивника";"Страница 3",#N/A,FALSE,"Модель Интенсивника"}</definedName>
    <definedName name="авыав" hidden="1">{"Страница 1",#N/A,FALSE,"Модель Интенсивника";"Страница 3",#N/A,FALSE,"Модель Интенсивника"}</definedName>
    <definedName name="авып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вып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нализ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нализ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1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ыми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ым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АЛ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бб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бб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як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я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ке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с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ыф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ы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енпла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е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ольцо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ольц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ра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ач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ач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дд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д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е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е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лоо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л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е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еее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ее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а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ж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ж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опа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ж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запасы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1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че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й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й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и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ййй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ййй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ряв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ря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тог3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Итог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ке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кк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к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опия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опия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уг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э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д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ен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л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ь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ь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й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й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хало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ха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ит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мит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мм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мм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м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алоги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алог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епне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епне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н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н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" localSheetId="3" hidden="1">{#N/A,#N/A,TRUE,"Лист2"}</definedName>
    <definedName name="о" hidden="1">{#N/A,#N/A,TRUE,"Лист2"}</definedName>
    <definedName name="ооо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ооо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псик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пси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г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и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ш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ш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1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ёт1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Отчёт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апр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апр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имфк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имф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л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л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опа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п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п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л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рл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ро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ыпыппывапа" hidden="1">#REF!,#REF!,#REF!</definedName>
    <definedName name="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ак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а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епин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еп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иф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оо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прлпмол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прлпмо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р" localSheetId="3" hidden="1">{"Страница 1",#N/A,FALSE,"Модель Интенсивника";"Страница 2",#N/A,FALSE,"Модель Интенсивника";"Страница 3",#N/A,FALSE,"Модель Интенсивника"}</definedName>
    <definedName name="рор" hidden="1">{"Страница 1",#N/A,FALSE,"Модель Интенсивника";"Страница 2",#N/A,FALSE,"Модель Интенсивника";"Страница 3",#N/A,FALSE,"Модель Интенсивника"}</definedName>
    <definedName name="р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р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р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ред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ред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с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6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6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7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7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лоырал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лоыр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1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им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им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о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о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фф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1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уу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уу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ат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а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евраль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враль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дя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дя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нс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ен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м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м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п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ф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вфыа" localSheetId="3" hidden="1">{"Страница 1",#N/A,FALSE,"Модель Интенсивника";"Страница 2",#N/A,FALSE,"Модель Интенсивника";"Страница 3",#N/A,FALSE,"Модель Интенсивника"}</definedName>
    <definedName name="фывфыа" hidden="1">{"Страница 1",#N/A,FALSE,"Модель Интенсивника";"Страница 2",#N/A,FALSE,"Модель Интенсивника";"Страница 3",#N/A,FALSE,"Модель Интенсивника"}</definedName>
    <definedName name="ц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ен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к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уг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цц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цц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ч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ч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чч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чч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атило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ати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ы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ыаа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а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ы" localSheetId="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ыы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ьь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ь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эээ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эээ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юю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юю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арь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ар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я" localSheetId="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я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고" localSheetId="3" hidden="1">{#N/A,#N/A,FALSE,"REPORT"}</definedName>
    <definedName name="고" hidden="1">{#N/A,#N/A,FALSE,"REPORT"}</definedName>
    <definedName name="ㄶㅇ노ㅗㄶ호" localSheetId="3" hidden="1">{#N/A,#N/A,FALSE,"REPORT"}</definedName>
    <definedName name="ㄶㅇ노ㅗㄶ호" hidden="1">{#N/A,#N/A,FALSE,"REPORT"}</definedName>
    <definedName name="미애" localSheetId="3" hidden="1">{#N/A,#N/A,FALSE,"REPORT"}</definedName>
    <definedName name="미애" hidden="1">{#N/A,#N/A,FALSE,"REPORT"}</definedName>
    <definedName name="理由">#REF!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5" l="1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M13" i="5"/>
  <c r="M14" i="5" s="1"/>
  <c r="G13" i="5"/>
  <c r="G12" i="5"/>
  <c r="G11" i="5"/>
  <c r="G10" i="5"/>
  <c r="G9" i="5"/>
  <c r="G8" i="5"/>
  <c r="G7" i="5"/>
  <c r="G6" i="5"/>
  <c r="M5" i="5"/>
  <c r="M6" i="5" s="1"/>
  <c r="M7" i="5" s="1"/>
  <c r="M8" i="5" s="1"/>
  <c r="M9" i="5" s="1"/>
  <c r="M10" i="5" s="1"/>
  <c r="M11" i="5" s="1"/>
  <c r="M12" i="5" s="1"/>
  <c r="G5" i="5"/>
  <c r="M4" i="5"/>
  <c r="G4" i="5"/>
  <c r="G3" i="5"/>
  <c r="G2" i="5"/>
  <c r="B42" i="4"/>
  <c r="B40" i="4"/>
  <c r="B38" i="4"/>
  <c r="C25" i="4"/>
  <c r="B35" i="4"/>
  <c r="D5" i="4"/>
  <c r="C5" i="4"/>
  <c r="C4" i="4"/>
  <c r="D3" i="4"/>
  <c r="D4" i="4" s="1"/>
  <c r="D2" i="4"/>
  <c r="C2" i="4"/>
  <c r="D11" i="2"/>
  <c r="C11" i="2"/>
  <c r="B10" i="2"/>
  <c r="C10" i="2" s="1"/>
  <c r="D10" i="2" s="1"/>
  <c r="C9" i="2"/>
  <c r="D9" i="2" s="1"/>
  <c r="C8" i="2"/>
  <c r="D8" i="2" s="1"/>
  <c r="C7" i="2"/>
  <c r="D7" i="2" s="1"/>
  <c r="C6" i="2"/>
  <c r="D6" i="2" s="1"/>
  <c r="D5" i="2"/>
  <c r="C5" i="2"/>
  <c r="D4" i="2"/>
  <c r="C4" i="2"/>
  <c r="C3" i="2"/>
  <c r="D3" i="2" s="1"/>
  <c r="AD228" i="1" a="1"/>
  <c r="AD228" i="1" s="1"/>
  <c r="AD238" i="1" a="1"/>
  <c r="AD238" i="1" s="1"/>
  <c r="AD239" i="1" a="1"/>
  <c r="AD239" i="1" s="1"/>
  <c r="AD240" i="1" a="1"/>
  <c r="AD240" i="1"/>
  <c r="AD241" i="1" a="1"/>
  <c r="AD241" i="1" s="1"/>
  <c r="AD242" i="1" a="1"/>
  <c r="AD242" i="1" s="1"/>
  <c r="AD237" i="1" a="1"/>
  <c r="AD237" i="1" s="1"/>
  <c r="AD236" i="1" a="1"/>
  <c r="AD236" i="1" s="1"/>
  <c r="AD235" i="1" a="1"/>
  <c r="AD235" i="1" s="1"/>
  <c r="AD234" i="1" a="1"/>
  <c r="AD234" i="1" s="1"/>
  <c r="AD233" i="1" a="1"/>
  <c r="AD233" i="1" s="1"/>
  <c r="AD232" i="1" a="1"/>
  <c r="AD232" i="1" s="1"/>
  <c r="AD231" i="1" a="1"/>
  <c r="AD231" i="1" s="1"/>
  <c r="AD230" i="1" a="1"/>
  <c r="AD230" i="1" s="1"/>
  <c r="AD229" i="1" a="1"/>
  <c r="AD229" i="1" s="1"/>
  <c r="AD227" i="1" a="1"/>
  <c r="AD227" i="1" s="1"/>
  <c r="AD226" i="1" a="1"/>
  <c r="AD226" i="1" s="1"/>
  <c r="AD2" i="1" a="1"/>
  <c r="AD2" i="1" s="1"/>
  <c r="U1" i="1"/>
  <c r="B30" i="4" l="1"/>
  <c r="D8" i="4"/>
  <c r="B28" i="4"/>
  <c r="D18" i="4"/>
  <c r="D15" i="4"/>
  <c r="D12" i="4"/>
  <c r="D6" i="4"/>
  <c r="B29" i="4"/>
  <c r="D7" i="4"/>
  <c r="D19" i="4"/>
  <c r="B41" i="4"/>
  <c r="E3" i="4"/>
  <c r="B32" i="4"/>
  <c r="D10" i="4"/>
  <c r="B31" i="4"/>
  <c r="D9" i="4"/>
  <c r="B34" i="4"/>
  <c r="B36" i="4"/>
  <c r="D14" i="4"/>
  <c r="B33" i="4"/>
  <c r="B39" i="4"/>
  <c r="D17" i="4"/>
  <c r="D11" i="4"/>
  <c r="D16" i="4"/>
  <c r="D13" i="4"/>
  <c r="B37" i="4"/>
  <c r="D20" i="4"/>
  <c r="D25" i="4"/>
  <c r="B43" i="4"/>
  <c r="D21" i="4"/>
  <c r="AD225" i="1" a="1"/>
  <c r="AD225" i="1" s="1"/>
  <c r="AD224" i="1" a="1"/>
  <c r="AD224" i="1" s="1"/>
  <c r="AD223" i="1" a="1"/>
  <c r="AD223" i="1" s="1"/>
  <c r="AD222" i="1" a="1"/>
  <c r="AD222" i="1" s="1"/>
  <c r="AD221" i="1" a="1"/>
  <c r="AD221" i="1" s="1"/>
  <c r="AD220" i="1" a="1"/>
  <c r="AD220" i="1" s="1"/>
  <c r="AD219" i="1" a="1"/>
  <c r="AD219" i="1" s="1"/>
  <c r="AD218" i="1" a="1"/>
  <c r="AD218" i="1" s="1"/>
  <c r="AD217" i="1" a="1"/>
  <c r="AD217" i="1" s="1"/>
  <c r="AD216" i="1" a="1"/>
  <c r="AD216" i="1" s="1"/>
  <c r="AD215" i="1" a="1"/>
  <c r="AD215" i="1" s="1"/>
  <c r="AD214" i="1" a="1"/>
  <c r="AD214" i="1" s="1"/>
  <c r="AD213" i="1" a="1"/>
  <c r="AD213" i="1" s="1"/>
  <c r="AD212" i="1" a="1"/>
  <c r="AD212" i="1" s="1"/>
  <c r="AD211" i="1" a="1"/>
  <c r="AD211" i="1" s="1"/>
  <c r="AD210" i="1" a="1"/>
  <c r="AD210" i="1" s="1"/>
  <c r="AD209" i="1" a="1"/>
  <c r="AD209" i="1" s="1"/>
  <c r="AD208" i="1" a="1"/>
  <c r="AD208" i="1" s="1"/>
  <c r="AD207" i="1" a="1"/>
  <c r="AD207" i="1" s="1"/>
  <c r="AD206" i="1" a="1"/>
  <c r="AD206" i="1" s="1"/>
  <c r="AD205" i="1" a="1"/>
  <c r="AD205" i="1" s="1"/>
  <c r="AD204" i="1" a="1"/>
  <c r="AD204" i="1" s="1"/>
  <c r="AD203" i="1" a="1"/>
  <c r="AD203" i="1" s="1"/>
  <c r="AD202" i="1" a="1"/>
  <c r="AD202" i="1" s="1"/>
  <c r="AD201" i="1" a="1"/>
  <c r="AD201" i="1" s="1"/>
  <c r="AD200" i="1" a="1"/>
  <c r="AD200" i="1" s="1"/>
  <c r="AD199" i="1" a="1"/>
  <c r="AD199" i="1" s="1"/>
  <c r="AD198" i="1" a="1"/>
  <c r="AD198" i="1" s="1"/>
  <c r="AD197" i="1" a="1"/>
  <c r="AD197" i="1" s="1"/>
  <c r="AD196" i="1" a="1"/>
  <c r="AD196" i="1" s="1"/>
  <c r="AD195" i="1" a="1"/>
  <c r="AD195" i="1" s="1"/>
  <c r="AD194" i="1" a="1"/>
  <c r="AD194" i="1" s="1"/>
  <c r="AD193" i="1" a="1"/>
  <c r="AD193" i="1" s="1"/>
  <c r="AD192" i="1" a="1"/>
  <c r="AD192" i="1" s="1"/>
  <c r="AD191" i="1" a="1"/>
  <c r="AD191" i="1" s="1"/>
  <c r="AD190" i="1" a="1"/>
  <c r="AD190" i="1" s="1"/>
  <c r="AD189" i="1" a="1"/>
  <c r="AD189" i="1" s="1"/>
  <c r="AD188" i="1" a="1"/>
  <c r="AD188" i="1" s="1"/>
  <c r="AD187" i="1" a="1"/>
  <c r="AD187" i="1" s="1"/>
  <c r="AD186" i="1" a="1"/>
  <c r="AD186" i="1" s="1"/>
  <c r="AD185" i="1" a="1"/>
  <c r="AD185" i="1" s="1"/>
  <c r="AD184" i="1" a="1"/>
  <c r="AD184" i="1" s="1"/>
  <c r="AD183" i="1" a="1"/>
  <c r="AD183" i="1" s="1"/>
  <c r="AD182" i="1" a="1"/>
  <c r="AD182" i="1" s="1"/>
  <c r="AD181" i="1" a="1"/>
  <c r="AD181" i="1" s="1"/>
  <c r="AD180" i="1" a="1"/>
  <c r="AD180" i="1" s="1"/>
  <c r="AD179" i="1" a="1"/>
  <c r="AD179" i="1" s="1"/>
  <c r="AD178" i="1" a="1"/>
  <c r="AD178" i="1" s="1"/>
  <c r="AD177" i="1" a="1"/>
  <c r="AD177" i="1" s="1"/>
  <c r="AD176" i="1" a="1"/>
  <c r="AD176" i="1" s="1"/>
  <c r="AD175" i="1" a="1"/>
  <c r="AD175" i="1" s="1"/>
  <c r="AD174" i="1" a="1"/>
  <c r="AD174" i="1" s="1"/>
  <c r="AD173" i="1" a="1"/>
  <c r="AD173" i="1" s="1"/>
  <c r="AD172" i="1" a="1"/>
  <c r="AD172" i="1" s="1"/>
  <c r="AD171" i="1" a="1"/>
  <c r="AD171" i="1" s="1"/>
  <c r="AD170" i="1" a="1"/>
  <c r="AD170" i="1" s="1"/>
  <c r="AD169" i="1" a="1"/>
  <c r="AD169" i="1" s="1"/>
  <c r="AD168" i="1" a="1"/>
  <c r="AD168" i="1" s="1"/>
  <c r="AD167" i="1" a="1"/>
  <c r="AD167" i="1" s="1"/>
  <c r="AD166" i="1" a="1"/>
  <c r="AD166" i="1" s="1"/>
  <c r="AD165" i="1" a="1"/>
  <c r="AD165" i="1" s="1"/>
  <c r="AD164" i="1" a="1"/>
  <c r="AD164" i="1" s="1"/>
  <c r="AD163" i="1" a="1"/>
  <c r="AD163" i="1" s="1"/>
  <c r="AD162" i="1" a="1"/>
  <c r="AD162" i="1" s="1"/>
  <c r="AD161" i="1" a="1"/>
  <c r="AD161" i="1" s="1"/>
  <c r="AD160" i="1" a="1"/>
  <c r="AD160" i="1" s="1"/>
  <c r="AD159" i="1" a="1"/>
  <c r="AD159" i="1" s="1"/>
  <c r="AD158" i="1" a="1"/>
  <c r="AD158" i="1" s="1"/>
  <c r="AD157" i="1" a="1"/>
  <c r="AD157" i="1" s="1"/>
  <c r="AD156" i="1" a="1"/>
  <c r="AD156" i="1" s="1"/>
  <c r="AD155" i="1" a="1"/>
  <c r="AD155" i="1" s="1"/>
  <c r="AD154" i="1" a="1"/>
  <c r="AD154" i="1" s="1"/>
  <c r="AD153" i="1" a="1"/>
  <c r="AD153" i="1" s="1"/>
  <c r="AD152" i="1" a="1"/>
  <c r="AD152" i="1" s="1"/>
  <c r="AD151" i="1" a="1"/>
  <c r="AD151" i="1" s="1"/>
  <c r="AD150" i="1" a="1"/>
  <c r="AD150" i="1" s="1"/>
  <c r="AD149" i="1" a="1"/>
  <c r="AD149" i="1" s="1"/>
  <c r="AD148" i="1" a="1"/>
  <c r="AD148" i="1" s="1"/>
  <c r="AD147" i="1" a="1"/>
  <c r="AD147" i="1" s="1"/>
  <c r="AD146" i="1" a="1"/>
  <c r="AD146" i="1" s="1"/>
  <c r="AD145" i="1" a="1"/>
  <c r="AD145" i="1" s="1"/>
  <c r="AD144" i="1" a="1"/>
  <c r="AD144" i="1" s="1"/>
  <c r="AD143" i="1" a="1"/>
  <c r="AD143" i="1" s="1"/>
  <c r="AD142" i="1" a="1"/>
  <c r="AD142" i="1" s="1"/>
  <c r="AD141" i="1" a="1"/>
  <c r="AD141" i="1" s="1"/>
  <c r="AD140" i="1" a="1"/>
  <c r="AD140" i="1" s="1"/>
  <c r="AD139" i="1" a="1"/>
  <c r="AD139" i="1" s="1"/>
  <c r="AD138" i="1" a="1"/>
  <c r="AD138" i="1" s="1"/>
  <c r="AD137" i="1" a="1"/>
  <c r="AD137" i="1" s="1"/>
  <c r="AD136" i="1" a="1"/>
  <c r="AD136" i="1" s="1"/>
  <c r="AD135" i="1" a="1"/>
  <c r="AD135" i="1" s="1"/>
  <c r="AD134" i="1" a="1"/>
  <c r="AD134" i="1" s="1"/>
  <c r="AD133" i="1" a="1"/>
  <c r="AD133" i="1" s="1"/>
  <c r="AD132" i="1" a="1"/>
  <c r="AD132" i="1" s="1"/>
  <c r="AD131" i="1" a="1"/>
  <c r="AD131" i="1" s="1"/>
  <c r="AD130" i="1" a="1"/>
  <c r="AD130" i="1" s="1"/>
  <c r="AD129" i="1" a="1"/>
  <c r="AD129" i="1" s="1"/>
  <c r="AD128" i="1" a="1"/>
  <c r="AD128" i="1" s="1"/>
  <c r="AD127" i="1" a="1"/>
  <c r="AD127" i="1" s="1"/>
  <c r="AD126" i="1" a="1"/>
  <c r="AD126" i="1" s="1"/>
  <c r="AD125" i="1" a="1"/>
  <c r="AD125" i="1" s="1"/>
  <c r="AD124" i="1" a="1"/>
  <c r="AD124" i="1" s="1"/>
  <c r="AD123" i="1" a="1"/>
  <c r="AD123" i="1" s="1"/>
  <c r="AD122" i="1" a="1"/>
  <c r="AD122" i="1" s="1"/>
  <c r="AD121" i="1" a="1"/>
  <c r="AD121" i="1" s="1"/>
  <c r="AD120" i="1" a="1"/>
  <c r="AD120" i="1" s="1"/>
  <c r="AD119" i="1" a="1"/>
  <c r="AD119" i="1" s="1"/>
  <c r="AD118" i="1" a="1"/>
  <c r="AD118" i="1" s="1"/>
  <c r="AD117" i="1" a="1"/>
  <c r="AD117" i="1" s="1"/>
  <c r="AD116" i="1" a="1"/>
  <c r="AD116" i="1" s="1"/>
  <c r="AD115" i="1" a="1"/>
  <c r="AD115" i="1" s="1"/>
  <c r="AD114" i="1" a="1"/>
  <c r="AD114" i="1" s="1"/>
  <c r="AD113" i="1" a="1"/>
  <c r="AD113" i="1" s="1"/>
  <c r="AD112" i="1" a="1"/>
  <c r="AD112" i="1" s="1"/>
  <c r="AD111" i="1" a="1"/>
  <c r="AD111" i="1" s="1"/>
  <c r="AD110" i="1" a="1"/>
  <c r="AD110" i="1" s="1"/>
  <c r="AD109" i="1" a="1"/>
  <c r="AD109" i="1" s="1"/>
  <c r="AD108" i="1" a="1"/>
  <c r="AD108" i="1" s="1"/>
  <c r="AD107" i="1" a="1"/>
  <c r="AD107" i="1" s="1"/>
  <c r="AD106" i="1" a="1"/>
  <c r="AD106" i="1" s="1"/>
  <c r="AD105" i="1" a="1"/>
  <c r="AD105" i="1" s="1"/>
  <c r="AD104" i="1" a="1"/>
  <c r="AD104" i="1" s="1"/>
  <c r="AD103" i="1" a="1"/>
  <c r="AD103" i="1" s="1"/>
  <c r="AD102" i="1" a="1"/>
  <c r="AD102" i="1" s="1"/>
  <c r="AD101" i="1" a="1"/>
  <c r="AD101" i="1" s="1"/>
  <c r="AD100" i="1" a="1"/>
  <c r="AD100" i="1" s="1"/>
  <c r="AD99" i="1" a="1"/>
  <c r="AD99" i="1" s="1"/>
  <c r="AD98" i="1" a="1"/>
  <c r="AD98" i="1" s="1"/>
  <c r="AD97" i="1" a="1"/>
  <c r="AD97" i="1" s="1"/>
  <c r="AD96" i="1" a="1"/>
  <c r="AD96" i="1" s="1"/>
  <c r="AD95" i="1" a="1"/>
  <c r="AD95" i="1" s="1"/>
  <c r="AD94" i="1" a="1"/>
  <c r="AD94" i="1" s="1"/>
  <c r="AD93" i="1" a="1"/>
  <c r="AD93" i="1" s="1"/>
  <c r="AD92" i="1" a="1"/>
  <c r="AD92" i="1" s="1"/>
  <c r="AD91" i="1" a="1"/>
  <c r="AD91" i="1" s="1"/>
  <c r="AD90" i="1" a="1"/>
  <c r="AD90" i="1" s="1"/>
  <c r="AD89" i="1" a="1"/>
  <c r="AD89" i="1" s="1"/>
  <c r="AD88" i="1" a="1"/>
  <c r="AD88" i="1" s="1"/>
  <c r="AD87" i="1" a="1"/>
  <c r="AD87" i="1" s="1"/>
  <c r="AD86" i="1" a="1"/>
  <c r="AD86" i="1" s="1"/>
  <c r="AD85" i="1" a="1"/>
  <c r="AD85" i="1" s="1"/>
  <c r="AD84" i="1" a="1"/>
  <c r="AD84" i="1" s="1"/>
  <c r="AD83" i="1" a="1"/>
  <c r="AD83" i="1" s="1"/>
  <c r="AD82" i="1" a="1"/>
  <c r="AD82" i="1" s="1"/>
  <c r="AD81" i="1" a="1"/>
  <c r="AD81" i="1" s="1"/>
  <c r="AD80" i="1" a="1"/>
  <c r="AD80" i="1" s="1"/>
  <c r="AD79" i="1" a="1"/>
  <c r="AD79" i="1" s="1"/>
  <c r="AD78" i="1" a="1"/>
  <c r="AD78" i="1" s="1"/>
  <c r="AD77" i="1" a="1"/>
  <c r="AD77" i="1" s="1"/>
  <c r="AD76" i="1" a="1"/>
  <c r="AD76" i="1" s="1"/>
  <c r="AD75" i="1" a="1"/>
  <c r="AD75" i="1" s="1"/>
  <c r="AD74" i="1" a="1"/>
  <c r="AD74" i="1" s="1"/>
  <c r="AD73" i="1" a="1"/>
  <c r="AD73" i="1" s="1"/>
  <c r="AD72" i="1" a="1"/>
  <c r="AD72" i="1" s="1"/>
  <c r="AD71" i="1" a="1"/>
  <c r="AD71" i="1" s="1"/>
  <c r="AD70" i="1" a="1"/>
  <c r="AD70" i="1" s="1"/>
  <c r="AD69" i="1" a="1"/>
  <c r="AD69" i="1" s="1"/>
  <c r="AD68" i="1" a="1"/>
  <c r="AD68" i="1" s="1"/>
  <c r="AD67" i="1" a="1"/>
  <c r="AD67" i="1" s="1"/>
  <c r="AD66" i="1" a="1"/>
  <c r="AD66" i="1" s="1"/>
  <c r="AD65" i="1" a="1"/>
  <c r="AD65" i="1" s="1"/>
  <c r="AD64" i="1" a="1"/>
  <c r="AD64" i="1" s="1"/>
  <c r="AD63" i="1" a="1"/>
  <c r="AD63" i="1" s="1"/>
  <c r="AD62" i="1" a="1"/>
  <c r="AD62" i="1" s="1"/>
  <c r="AD61" i="1" a="1"/>
  <c r="AD61" i="1" s="1"/>
  <c r="AD60" i="1" a="1"/>
  <c r="AD60" i="1" s="1"/>
  <c r="AD59" i="1" a="1"/>
  <c r="AD59" i="1" s="1"/>
  <c r="AD58" i="1" a="1"/>
  <c r="AD58" i="1" s="1"/>
  <c r="AD57" i="1" a="1"/>
  <c r="AD57" i="1" s="1"/>
  <c r="AD56" i="1" a="1"/>
  <c r="AD56" i="1" s="1"/>
  <c r="AD55" i="1" a="1"/>
  <c r="AD55" i="1" s="1"/>
  <c r="AD54" i="1" a="1"/>
  <c r="AD54" i="1" s="1"/>
  <c r="AD53" i="1" a="1"/>
  <c r="AD53" i="1" s="1"/>
  <c r="AD52" i="1" a="1"/>
  <c r="AD52" i="1" s="1"/>
  <c r="AD51" i="1" a="1"/>
  <c r="AD51" i="1" s="1"/>
  <c r="AD50" i="1" a="1"/>
  <c r="AD50" i="1" s="1"/>
  <c r="AD49" i="1" a="1"/>
  <c r="AD49" i="1" s="1"/>
  <c r="AD48" i="1" a="1"/>
  <c r="AD48" i="1" s="1"/>
  <c r="AD47" i="1" a="1"/>
  <c r="AD47" i="1" s="1"/>
  <c r="AD46" i="1" a="1"/>
  <c r="AD46" i="1" s="1"/>
  <c r="AD45" i="1" a="1"/>
  <c r="AD45" i="1" s="1"/>
  <c r="AD44" i="1" a="1"/>
  <c r="AD44" i="1" s="1"/>
  <c r="AD43" i="1" a="1"/>
  <c r="AD43" i="1" s="1"/>
  <c r="AD42" i="1" a="1"/>
  <c r="AD42" i="1" s="1"/>
  <c r="AD41" i="1" a="1"/>
  <c r="AD41" i="1" s="1"/>
  <c r="AD40" i="1" a="1"/>
  <c r="AD40" i="1" s="1"/>
  <c r="AD39" i="1" a="1"/>
  <c r="AD39" i="1" s="1"/>
  <c r="AD38" i="1" a="1"/>
  <c r="AD38" i="1" s="1"/>
  <c r="AD37" i="1" a="1"/>
  <c r="AD37" i="1" s="1"/>
  <c r="AD36" i="1" a="1"/>
  <c r="AD36" i="1" s="1"/>
  <c r="AD35" i="1" a="1"/>
  <c r="AD35" i="1" s="1"/>
  <c r="AD34" i="1" a="1"/>
  <c r="AD34" i="1" s="1"/>
  <c r="AD33" i="1" a="1"/>
  <c r="AD33" i="1" s="1"/>
  <c r="AD32" i="1" a="1"/>
  <c r="AD32" i="1" s="1"/>
  <c r="AD31" i="1" a="1"/>
  <c r="AD31" i="1" s="1"/>
  <c r="AD30" i="1" a="1"/>
  <c r="AD30" i="1" s="1"/>
  <c r="AD29" i="1" a="1"/>
  <c r="AD29" i="1" s="1"/>
  <c r="AD28" i="1" a="1"/>
  <c r="AD28" i="1" s="1"/>
  <c r="AD27" i="1" a="1"/>
  <c r="AD27" i="1" s="1"/>
  <c r="AD26" i="1" a="1"/>
  <c r="AD26" i="1" s="1"/>
  <c r="AD25" i="1" a="1"/>
  <c r="AD25" i="1" s="1"/>
  <c r="AD24" i="1" a="1"/>
  <c r="AD24" i="1" s="1"/>
  <c r="AD23" i="1" a="1"/>
  <c r="AD23" i="1" s="1"/>
  <c r="AD22" i="1" a="1"/>
  <c r="AD22" i="1" s="1"/>
  <c r="AD21" i="1" a="1"/>
  <c r="AD21" i="1" s="1"/>
  <c r="AD20" i="1" a="1"/>
  <c r="AD20" i="1" s="1"/>
  <c r="AD19" i="1" a="1"/>
  <c r="AD19" i="1" s="1"/>
  <c r="AD18" i="1" a="1"/>
  <c r="AD18" i="1" s="1"/>
  <c r="AD17" i="1" a="1"/>
  <c r="AD17" i="1" s="1"/>
  <c r="AD16" i="1" a="1"/>
  <c r="AD16" i="1" s="1"/>
  <c r="AD15" i="1" a="1"/>
  <c r="AD15" i="1" s="1"/>
  <c r="AD14" i="1" a="1"/>
  <c r="AD14" i="1" s="1"/>
  <c r="AD13" i="1" a="1"/>
  <c r="AD13" i="1" s="1"/>
  <c r="AD12" i="1" a="1"/>
  <c r="AD12" i="1" s="1"/>
  <c r="AD11" i="1" a="1"/>
  <c r="AD11" i="1" s="1"/>
  <c r="AD10" i="1" a="1"/>
  <c r="AD10" i="1" s="1"/>
  <c r="AD9" i="1" a="1"/>
  <c r="AD9" i="1" s="1"/>
  <c r="AD8" i="1" a="1"/>
  <c r="AD8" i="1" s="1"/>
  <c r="AD7" i="1" a="1"/>
  <c r="AD7" i="1" s="1"/>
  <c r="AD6" i="1" a="1"/>
  <c r="AD6" i="1" s="1"/>
  <c r="AD5" i="1" a="1"/>
  <c r="AD5" i="1" s="1"/>
  <c r="AD4" i="1" a="1"/>
  <c r="AD4" i="1" s="1"/>
  <c r="AD3" i="1" a="1"/>
  <c r="AD3" i="1" s="1"/>
  <c r="G225" i="1"/>
  <c r="F225" i="1" s="1"/>
  <c r="E225" i="1" s="1"/>
  <c r="G224" i="1"/>
  <c r="F224" i="1" s="1"/>
  <c r="E224" i="1" s="1"/>
  <c r="G223" i="1"/>
  <c r="F223" i="1" s="1"/>
  <c r="E223" i="1" s="1"/>
  <c r="G222" i="1"/>
  <c r="F222" i="1" s="1"/>
  <c r="E222" i="1" s="1"/>
  <c r="G221" i="1"/>
  <c r="F221" i="1" s="1"/>
  <c r="E221" i="1" s="1"/>
  <c r="G220" i="1"/>
  <c r="F220" i="1" s="1"/>
  <c r="E220" i="1" s="1"/>
  <c r="G219" i="1"/>
  <c r="F219" i="1" s="1"/>
  <c r="E219" i="1" s="1"/>
  <c r="G218" i="1"/>
  <c r="F218" i="1" s="1"/>
  <c r="E218" i="1" s="1"/>
  <c r="G217" i="1"/>
  <c r="F217" i="1" s="1"/>
  <c r="E217" i="1" s="1"/>
  <c r="G216" i="1"/>
  <c r="F216" i="1" s="1"/>
  <c r="E216" i="1" s="1"/>
  <c r="G215" i="1"/>
  <c r="F215" i="1" s="1"/>
  <c r="E215" i="1" s="1"/>
  <c r="G214" i="1"/>
  <c r="F214" i="1" s="1"/>
  <c r="E214" i="1" s="1"/>
  <c r="G213" i="1"/>
  <c r="F213" i="1" s="1"/>
  <c r="E213" i="1" s="1"/>
  <c r="G212" i="1"/>
  <c r="F212" i="1" s="1"/>
  <c r="E212" i="1" s="1"/>
  <c r="G211" i="1"/>
  <c r="F211" i="1" s="1"/>
  <c r="E211" i="1" s="1"/>
  <c r="G210" i="1"/>
  <c r="F210" i="1" s="1"/>
  <c r="E210" i="1" s="1"/>
  <c r="G209" i="1"/>
  <c r="F209" i="1" s="1"/>
  <c r="E209" i="1" s="1"/>
  <c r="G208" i="1"/>
  <c r="F208" i="1" s="1"/>
  <c r="E208" i="1" s="1"/>
  <c r="G207" i="1"/>
  <c r="F207" i="1" s="1"/>
  <c r="E207" i="1" s="1"/>
  <c r="G206" i="1"/>
  <c r="F206" i="1" s="1"/>
  <c r="E206" i="1" s="1"/>
  <c r="G205" i="1"/>
  <c r="F205" i="1" s="1"/>
  <c r="E205" i="1" s="1"/>
  <c r="G204" i="1"/>
  <c r="F204" i="1" s="1"/>
  <c r="E204" i="1" s="1"/>
  <c r="G203" i="1"/>
  <c r="F203" i="1" s="1"/>
  <c r="E203" i="1" s="1"/>
  <c r="G202" i="1"/>
  <c r="F202" i="1" s="1"/>
  <c r="E202" i="1" s="1"/>
  <c r="G201" i="1"/>
  <c r="F201" i="1" s="1"/>
  <c r="E201" i="1" s="1"/>
  <c r="G200" i="1"/>
  <c r="F200" i="1" s="1"/>
  <c r="E200" i="1" s="1"/>
  <c r="G199" i="1"/>
  <c r="F199" i="1" s="1"/>
  <c r="E199" i="1" s="1"/>
  <c r="G198" i="1"/>
  <c r="F198" i="1" s="1"/>
  <c r="E198" i="1" s="1"/>
  <c r="G197" i="1"/>
  <c r="F197" i="1" s="1"/>
  <c r="E197" i="1" s="1"/>
  <c r="G196" i="1"/>
  <c r="F196" i="1" s="1"/>
  <c r="E196" i="1" s="1"/>
  <c r="G195" i="1"/>
  <c r="F195" i="1" s="1"/>
  <c r="E195" i="1" s="1"/>
  <c r="G194" i="1"/>
  <c r="F194" i="1" s="1"/>
  <c r="E194" i="1" s="1"/>
  <c r="G193" i="1"/>
  <c r="F193" i="1" s="1"/>
  <c r="E193" i="1" s="1"/>
  <c r="G192" i="1"/>
  <c r="F192" i="1" s="1"/>
  <c r="E192" i="1" s="1"/>
  <c r="G191" i="1"/>
  <c r="F191" i="1" s="1"/>
  <c r="E191" i="1" s="1"/>
  <c r="G190" i="1"/>
  <c r="F190" i="1" s="1"/>
  <c r="E190" i="1" s="1"/>
  <c r="G189" i="1"/>
  <c r="F189" i="1" s="1"/>
  <c r="E189" i="1" s="1"/>
  <c r="G188" i="1"/>
  <c r="F188" i="1" s="1"/>
  <c r="E188" i="1" s="1"/>
  <c r="G187" i="1"/>
  <c r="F187" i="1" s="1"/>
  <c r="E187" i="1" s="1"/>
  <c r="G186" i="1"/>
  <c r="F186" i="1" s="1"/>
  <c r="E186" i="1" s="1"/>
  <c r="G185" i="1"/>
  <c r="F185" i="1" s="1"/>
  <c r="E185" i="1" s="1"/>
  <c r="G184" i="1"/>
  <c r="F184" i="1" s="1"/>
  <c r="E184" i="1" s="1"/>
  <c r="G183" i="1"/>
  <c r="F183" i="1" s="1"/>
  <c r="E183" i="1" s="1"/>
  <c r="G182" i="1"/>
  <c r="F182" i="1" s="1"/>
  <c r="E182" i="1" s="1"/>
  <c r="G181" i="1"/>
  <c r="F181" i="1" s="1"/>
  <c r="E181" i="1" s="1"/>
  <c r="G180" i="1"/>
  <c r="F180" i="1" s="1"/>
  <c r="E180" i="1" s="1"/>
  <c r="G179" i="1"/>
  <c r="F179" i="1" s="1"/>
  <c r="E179" i="1" s="1"/>
  <c r="G178" i="1"/>
  <c r="F178" i="1" s="1"/>
  <c r="E178" i="1" s="1"/>
  <c r="G177" i="1"/>
  <c r="F177" i="1" s="1"/>
  <c r="E177" i="1" s="1"/>
  <c r="G176" i="1"/>
  <c r="F176" i="1" s="1"/>
  <c r="E176" i="1" s="1"/>
  <c r="G175" i="1"/>
  <c r="F175" i="1" s="1"/>
  <c r="E175" i="1" s="1"/>
  <c r="G174" i="1"/>
  <c r="F174" i="1" s="1"/>
  <c r="E174" i="1" s="1"/>
  <c r="G173" i="1"/>
  <c r="F173" i="1" s="1"/>
  <c r="E173" i="1" s="1"/>
  <c r="G172" i="1"/>
  <c r="F172" i="1" s="1"/>
  <c r="E172" i="1" s="1"/>
  <c r="G171" i="1"/>
  <c r="F171" i="1" s="1"/>
  <c r="E171" i="1" s="1"/>
  <c r="G170" i="1"/>
  <c r="F170" i="1" s="1"/>
  <c r="E170" i="1" s="1"/>
  <c r="G169" i="1"/>
  <c r="F169" i="1" s="1"/>
  <c r="E169" i="1" s="1"/>
  <c r="G168" i="1"/>
  <c r="F168" i="1" s="1"/>
  <c r="E168" i="1" s="1"/>
  <c r="G167" i="1"/>
  <c r="F167" i="1" s="1"/>
  <c r="E167" i="1" s="1"/>
  <c r="G166" i="1"/>
  <c r="F166" i="1" s="1"/>
  <c r="E166" i="1" s="1"/>
  <c r="G165" i="1"/>
  <c r="F165" i="1" s="1"/>
  <c r="E165" i="1" s="1"/>
  <c r="G164" i="1"/>
  <c r="F164" i="1" s="1"/>
  <c r="E164" i="1" s="1"/>
  <c r="G163" i="1"/>
  <c r="F163" i="1" s="1"/>
  <c r="E163" i="1" s="1"/>
  <c r="G162" i="1"/>
  <c r="F162" i="1" s="1"/>
  <c r="E162" i="1" s="1"/>
  <c r="G161" i="1"/>
  <c r="F161" i="1" s="1"/>
  <c r="E161" i="1" s="1"/>
  <c r="G160" i="1"/>
  <c r="F160" i="1" s="1"/>
  <c r="E160" i="1" s="1"/>
  <c r="G159" i="1"/>
  <c r="F159" i="1" s="1"/>
  <c r="E159" i="1" s="1"/>
  <c r="G158" i="1"/>
  <c r="F158" i="1" s="1"/>
  <c r="E158" i="1" s="1"/>
  <c r="G157" i="1"/>
  <c r="F157" i="1" s="1"/>
  <c r="E157" i="1" s="1"/>
  <c r="G156" i="1"/>
  <c r="F156" i="1" s="1"/>
  <c r="E156" i="1" s="1"/>
  <c r="G155" i="1"/>
  <c r="F155" i="1" s="1"/>
  <c r="E155" i="1" s="1"/>
  <c r="G154" i="1"/>
  <c r="F154" i="1" s="1"/>
  <c r="E154" i="1" s="1"/>
  <c r="G153" i="1"/>
  <c r="F153" i="1" s="1"/>
  <c r="E153" i="1" s="1"/>
  <c r="G152" i="1"/>
  <c r="F152" i="1" s="1"/>
  <c r="E152" i="1" s="1"/>
  <c r="G151" i="1"/>
  <c r="F151" i="1" s="1"/>
  <c r="E151" i="1" s="1"/>
  <c r="G150" i="1"/>
  <c r="F150" i="1" s="1"/>
  <c r="E150" i="1" s="1"/>
  <c r="G149" i="1"/>
  <c r="F149" i="1" s="1"/>
  <c r="E149" i="1" s="1"/>
  <c r="G148" i="1"/>
  <c r="F148" i="1" s="1"/>
  <c r="E148" i="1" s="1"/>
  <c r="G147" i="1"/>
  <c r="F147" i="1" s="1"/>
  <c r="E147" i="1" s="1"/>
  <c r="G146" i="1"/>
  <c r="F146" i="1" s="1"/>
  <c r="E146" i="1" s="1"/>
  <c r="G145" i="1"/>
  <c r="F145" i="1" s="1"/>
  <c r="E145" i="1" s="1"/>
  <c r="G144" i="1"/>
  <c r="F144" i="1" s="1"/>
  <c r="E144" i="1" s="1"/>
  <c r="G143" i="1"/>
  <c r="F143" i="1" s="1"/>
  <c r="E143" i="1" s="1"/>
  <c r="G142" i="1"/>
  <c r="F142" i="1" s="1"/>
  <c r="E142" i="1" s="1"/>
  <c r="G141" i="1"/>
  <c r="F141" i="1" s="1"/>
  <c r="E141" i="1" s="1"/>
  <c r="G140" i="1"/>
  <c r="F140" i="1" s="1"/>
  <c r="E140" i="1" s="1"/>
  <c r="G139" i="1"/>
  <c r="F139" i="1" s="1"/>
  <c r="E139" i="1" s="1"/>
  <c r="G138" i="1"/>
  <c r="F138" i="1" s="1"/>
  <c r="E138" i="1" s="1"/>
  <c r="G137" i="1"/>
  <c r="F137" i="1" s="1"/>
  <c r="E137" i="1" s="1"/>
  <c r="G136" i="1"/>
  <c r="F136" i="1" s="1"/>
  <c r="E136" i="1" s="1"/>
  <c r="G135" i="1"/>
  <c r="F135" i="1" s="1"/>
  <c r="E135" i="1" s="1"/>
  <c r="G134" i="1"/>
  <c r="F134" i="1" s="1"/>
  <c r="E134" i="1" s="1"/>
  <c r="G133" i="1"/>
  <c r="F133" i="1" s="1"/>
  <c r="E133" i="1" s="1"/>
  <c r="G132" i="1"/>
  <c r="F132" i="1" s="1"/>
  <c r="E132" i="1" s="1"/>
  <c r="G131" i="1"/>
  <c r="F131" i="1" s="1"/>
  <c r="E131" i="1" s="1"/>
  <c r="G130" i="1"/>
  <c r="F130" i="1" s="1"/>
  <c r="E130" i="1" s="1"/>
  <c r="G129" i="1"/>
  <c r="F129" i="1" s="1"/>
  <c r="E129" i="1" s="1"/>
  <c r="G128" i="1"/>
  <c r="F128" i="1" s="1"/>
  <c r="E128" i="1" s="1"/>
  <c r="G127" i="1"/>
  <c r="F127" i="1" s="1"/>
  <c r="E127" i="1" s="1"/>
  <c r="G126" i="1"/>
  <c r="F126" i="1" s="1"/>
  <c r="E126" i="1" s="1"/>
  <c r="G125" i="1"/>
  <c r="F125" i="1" s="1"/>
  <c r="E125" i="1" s="1"/>
  <c r="G124" i="1"/>
  <c r="F124" i="1" s="1"/>
  <c r="E124" i="1" s="1"/>
  <c r="G123" i="1"/>
  <c r="F123" i="1" s="1"/>
  <c r="E123" i="1" s="1"/>
  <c r="G122" i="1"/>
  <c r="F122" i="1" s="1"/>
  <c r="E122" i="1" s="1"/>
  <c r="G121" i="1"/>
  <c r="F121" i="1" s="1"/>
  <c r="E121" i="1" s="1"/>
  <c r="G120" i="1"/>
  <c r="F120" i="1" s="1"/>
  <c r="E120" i="1" s="1"/>
  <c r="G119" i="1"/>
  <c r="F119" i="1" s="1"/>
  <c r="E119" i="1" s="1"/>
  <c r="G118" i="1"/>
  <c r="F118" i="1" s="1"/>
  <c r="E118" i="1" s="1"/>
  <c r="G117" i="1"/>
  <c r="F117" i="1" s="1"/>
  <c r="E117" i="1" s="1"/>
  <c r="G116" i="1"/>
  <c r="F116" i="1" s="1"/>
  <c r="E116" i="1" s="1"/>
  <c r="G115" i="1"/>
  <c r="F115" i="1" s="1"/>
  <c r="E115" i="1" s="1"/>
  <c r="G114" i="1"/>
  <c r="F114" i="1" s="1"/>
  <c r="E114" i="1" s="1"/>
  <c r="G113" i="1"/>
  <c r="F113" i="1" s="1"/>
  <c r="E113" i="1" s="1"/>
  <c r="G112" i="1"/>
  <c r="F112" i="1" s="1"/>
  <c r="E112" i="1" s="1"/>
  <c r="G111" i="1"/>
  <c r="F111" i="1" s="1"/>
  <c r="E111" i="1" s="1"/>
  <c r="G110" i="1"/>
  <c r="F110" i="1" s="1"/>
  <c r="E110" i="1" s="1"/>
  <c r="G109" i="1"/>
  <c r="F109" i="1" s="1"/>
  <c r="E109" i="1" s="1"/>
  <c r="G108" i="1"/>
  <c r="F108" i="1" s="1"/>
  <c r="E108" i="1" s="1"/>
  <c r="G107" i="1"/>
  <c r="F107" i="1" s="1"/>
  <c r="E107" i="1" s="1"/>
  <c r="G106" i="1"/>
  <c r="F106" i="1" s="1"/>
  <c r="E106" i="1" s="1"/>
  <c r="G105" i="1"/>
  <c r="F105" i="1" s="1"/>
  <c r="E105" i="1" s="1"/>
  <c r="G104" i="1"/>
  <c r="F104" i="1" s="1"/>
  <c r="E104" i="1" s="1"/>
  <c r="G103" i="1"/>
  <c r="F103" i="1" s="1"/>
  <c r="E103" i="1" s="1"/>
  <c r="G102" i="1"/>
  <c r="F102" i="1" s="1"/>
  <c r="E102" i="1" s="1"/>
  <c r="G101" i="1"/>
  <c r="F101" i="1" s="1"/>
  <c r="E101" i="1" s="1"/>
  <c r="G100" i="1"/>
  <c r="F100" i="1" s="1"/>
  <c r="E100" i="1" s="1"/>
  <c r="G99" i="1"/>
  <c r="F99" i="1" s="1"/>
  <c r="E99" i="1" s="1"/>
  <c r="G98" i="1"/>
  <c r="F98" i="1" s="1"/>
  <c r="E98" i="1" s="1"/>
  <c r="G97" i="1"/>
  <c r="F97" i="1" s="1"/>
  <c r="E97" i="1" s="1"/>
  <c r="G96" i="1"/>
  <c r="F96" i="1" s="1"/>
  <c r="E96" i="1" s="1"/>
  <c r="G95" i="1"/>
  <c r="G94" i="1"/>
  <c r="F94" i="1" s="1"/>
  <c r="E94" i="1" s="1"/>
  <c r="G93" i="1"/>
  <c r="F93" i="1" s="1"/>
  <c r="E93" i="1" s="1"/>
  <c r="G92" i="1"/>
  <c r="F92" i="1" s="1"/>
  <c r="E92" i="1" s="1"/>
  <c r="G91" i="1"/>
  <c r="F91" i="1" s="1"/>
  <c r="E91" i="1" s="1"/>
  <c r="G90" i="1"/>
  <c r="F90" i="1" s="1"/>
  <c r="E90" i="1" s="1"/>
  <c r="G89" i="1"/>
  <c r="F89" i="1" s="1"/>
  <c r="E89" i="1" s="1"/>
  <c r="G88" i="1"/>
  <c r="F88" i="1" s="1"/>
  <c r="E88" i="1" s="1"/>
  <c r="G87" i="1"/>
  <c r="F87" i="1" s="1"/>
  <c r="E87" i="1" s="1"/>
  <c r="G86" i="1"/>
  <c r="F86" i="1" s="1"/>
  <c r="E86" i="1" s="1"/>
  <c r="G85" i="1"/>
  <c r="F85" i="1" s="1"/>
  <c r="E85" i="1" s="1"/>
  <c r="G84" i="1"/>
  <c r="F84" i="1" s="1"/>
  <c r="E84" i="1" s="1"/>
  <c r="G83" i="1"/>
  <c r="F83" i="1" s="1"/>
  <c r="E83" i="1" s="1"/>
  <c r="G82" i="1"/>
  <c r="F82" i="1" s="1"/>
  <c r="E82" i="1" s="1"/>
  <c r="G81" i="1"/>
  <c r="F81" i="1" s="1"/>
  <c r="E81" i="1" s="1"/>
  <c r="G80" i="1"/>
  <c r="F80" i="1" s="1"/>
  <c r="E80" i="1" s="1"/>
  <c r="G79" i="1"/>
  <c r="F79" i="1" s="1"/>
  <c r="E79" i="1" s="1"/>
  <c r="G78" i="1"/>
  <c r="F78" i="1" s="1"/>
  <c r="E78" i="1" s="1"/>
  <c r="G77" i="1"/>
  <c r="F77" i="1" s="1"/>
  <c r="E77" i="1" s="1"/>
  <c r="G76" i="1"/>
  <c r="F76" i="1" s="1"/>
  <c r="E76" i="1" s="1"/>
  <c r="G75" i="1"/>
  <c r="F75" i="1" s="1"/>
  <c r="E75" i="1" s="1"/>
  <c r="G74" i="1"/>
  <c r="F74" i="1" s="1"/>
  <c r="E74" i="1" s="1"/>
  <c r="G73" i="1"/>
  <c r="F73" i="1" s="1"/>
  <c r="E73" i="1" s="1"/>
  <c r="G72" i="1"/>
  <c r="F72" i="1" s="1"/>
  <c r="E72" i="1" s="1"/>
  <c r="G71" i="1"/>
  <c r="F71" i="1" s="1"/>
  <c r="E71" i="1" s="1"/>
  <c r="G70" i="1"/>
  <c r="F70" i="1" s="1"/>
  <c r="E70" i="1" s="1"/>
  <c r="G69" i="1"/>
  <c r="F69" i="1" s="1"/>
  <c r="E69" i="1" s="1"/>
  <c r="G68" i="1"/>
  <c r="F68" i="1" s="1"/>
  <c r="E68" i="1" s="1"/>
  <c r="G67" i="1"/>
  <c r="F67" i="1" s="1"/>
  <c r="E67" i="1" s="1"/>
  <c r="G66" i="1"/>
  <c r="F66" i="1" s="1"/>
  <c r="E66" i="1" s="1"/>
  <c r="G65" i="1"/>
  <c r="F65" i="1" s="1"/>
  <c r="E65" i="1" s="1"/>
  <c r="G64" i="1"/>
  <c r="G63" i="1"/>
  <c r="G62" i="1"/>
  <c r="F62" i="1" s="1"/>
  <c r="E62" i="1" s="1"/>
  <c r="G61" i="1"/>
  <c r="F61" i="1" s="1"/>
  <c r="E61" i="1" s="1"/>
  <c r="G60" i="1"/>
  <c r="F60" i="1" s="1"/>
  <c r="E60" i="1" s="1"/>
  <c r="G59" i="1"/>
  <c r="F59" i="1" s="1"/>
  <c r="E59" i="1" s="1"/>
  <c r="G58" i="1"/>
  <c r="F58" i="1" s="1"/>
  <c r="E58" i="1" s="1"/>
  <c r="G57" i="1"/>
  <c r="F57" i="1" s="1"/>
  <c r="E57" i="1" s="1"/>
  <c r="G56" i="1"/>
  <c r="F56" i="1" s="1"/>
  <c r="E56" i="1" s="1"/>
  <c r="G55" i="1"/>
  <c r="F55" i="1" s="1"/>
  <c r="E55" i="1" s="1"/>
  <c r="G54" i="1"/>
  <c r="F54" i="1" s="1"/>
  <c r="E54" i="1" s="1"/>
  <c r="G53" i="1"/>
  <c r="F53" i="1" s="1"/>
  <c r="E53" i="1" s="1"/>
  <c r="G52" i="1"/>
  <c r="F52" i="1" s="1"/>
  <c r="E52" i="1" s="1"/>
  <c r="G51" i="1"/>
  <c r="F51" i="1" s="1"/>
  <c r="E51" i="1" s="1"/>
  <c r="G50" i="1"/>
  <c r="F50" i="1" s="1"/>
  <c r="E50" i="1" s="1"/>
  <c r="G49" i="1"/>
  <c r="F49" i="1" s="1"/>
  <c r="E49" i="1" s="1"/>
  <c r="G48" i="1"/>
  <c r="F48" i="1" s="1"/>
  <c r="E48" i="1" s="1"/>
  <c r="G47" i="1"/>
  <c r="F47" i="1" s="1"/>
  <c r="E47" i="1" s="1"/>
  <c r="G46" i="1"/>
  <c r="F46" i="1" s="1"/>
  <c r="E46" i="1" s="1"/>
  <c r="G45" i="1"/>
  <c r="F45" i="1" s="1"/>
  <c r="E45" i="1" s="1"/>
  <c r="G44" i="1"/>
  <c r="F44" i="1" s="1"/>
  <c r="E44" i="1" s="1"/>
  <c r="G43" i="1"/>
  <c r="F43" i="1" s="1"/>
  <c r="E43" i="1" s="1"/>
  <c r="G42" i="1"/>
  <c r="F42" i="1" s="1"/>
  <c r="E42" i="1" s="1"/>
  <c r="G41" i="1"/>
  <c r="F41" i="1" s="1"/>
  <c r="E41" i="1" s="1"/>
  <c r="G40" i="1"/>
  <c r="F40" i="1" s="1"/>
  <c r="E40" i="1" s="1"/>
  <c r="G39" i="1"/>
  <c r="F39" i="1" s="1"/>
  <c r="E39" i="1" s="1"/>
  <c r="G38" i="1"/>
  <c r="F38" i="1" s="1"/>
  <c r="E38" i="1" s="1"/>
  <c r="G37" i="1"/>
  <c r="F37" i="1" s="1"/>
  <c r="E37" i="1" s="1"/>
  <c r="G36" i="1"/>
  <c r="F36" i="1" s="1"/>
  <c r="E36" i="1" s="1"/>
  <c r="G35" i="1"/>
  <c r="F35" i="1" s="1"/>
  <c r="E35" i="1" s="1"/>
  <c r="G34" i="1"/>
  <c r="F34" i="1" s="1"/>
  <c r="E34" i="1" s="1"/>
  <c r="G33" i="1"/>
  <c r="F33" i="1" s="1"/>
  <c r="E33" i="1" s="1"/>
  <c r="G32" i="1"/>
  <c r="G31" i="1"/>
  <c r="G30" i="1"/>
  <c r="G29" i="1"/>
  <c r="F29" i="1" s="1"/>
  <c r="E29" i="1" s="1"/>
  <c r="G28" i="1"/>
  <c r="F28" i="1" s="1"/>
  <c r="E28" i="1" s="1"/>
  <c r="G27" i="1"/>
  <c r="F27" i="1" s="1"/>
  <c r="E27" i="1" s="1"/>
  <c r="G26" i="1"/>
  <c r="F26" i="1" s="1"/>
  <c r="E26" i="1" s="1"/>
  <c r="G25" i="1"/>
  <c r="F25" i="1" s="1"/>
  <c r="E25" i="1" s="1"/>
  <c r="G24" i="1"/>
  <c r="F24" i="1" s="1"/>
  <c r="E24" i="1" s="1"/>
  <c r="G23" i="1"/>
  <c r="F23" i="1" s="1"/>
  <c r="E23" i="1" s="1"/>
  <c r="G22" i="1"/>
  <c r="F22" i="1" s="1"/>
  <c r="E22" i="1" s="1"/>
  <c r="G21" i="1"/>
  <c r="F21" i="1" s="1"/>
  <c r="E21" i="1" s="1"/>
  <c r="G20" i="1"/>
  <c r="F20" i="1" s="1"/>
  <c r="E20" i="1" s="1"/>
  <c r="G19" i="1"/>
  <c r="F19" i="1" s="1"/>
  <c r="E19" i="1" s="1"/>
  <c r="G18" i="1"/>
  <c r="F18" i="1" s="1"/>
  <c r="E18" i="1" s="1"/>
  <c r="G17" i="1"/>
  <c r="F17" i="1" s="1"/>
  <c r="E17" i="1" s="1"/>
  <c r="G16" i="1"/>
  <c r="F16" i="1" s="1"/>
  <c r="E16" i="1" s="1"/>
  <c r="G15" i="1"/>
  <c r="G14" i="1"/>
  <c r="F14" i="1" s="1"/>
  <c r="E14" i="1" s="1"/>
  <c r="G13" i="1"/>
  <c r="F13" i="1" s="1"/>
  <c r="E13" i="1" s="1"/>
  <c r="G12" i="1"/>
  <c r="F12" i="1" s="1"/>
  <c r="E12" i="1" s="1"/>
  <c r="G11" i="1"/>
  <c r="F11" i="1" s="1"/>
  <c r="E11" i="1" s="1"/>
  <c r="G10" i="1"/>
  <c r="F10" i="1" s="1"/>
  <c r="E10" i="1" s="1"/>
  <c r="G9" i="1"/>
  <c r="F9" i="1" s="1"/>
  <c r="E9" i="1" s="1"/>
  <c r="G8" i="1"/>
  <c r="F8" i="1" s="1"/>
  <c r="E8" i="1" s="1"/>
  <c r="G7" i="1"/>
  <c r="F7" i="1" s="1"/>
  <c r="E7" i="1" s="1"/>
  <c r="G6" i="1"/>
  <c r="F6" i="1" s="1"/>
  <c r="E6" i="1" s="1"/>
  <c r="G5" i="1"/>
  <c r="F5" i="1" s="1"/>
  <c r="E5" i="1" s="1"/>
  <c r="G4" i="1"/>
  <c r="F4" i="1" s="1"/>
  <c r="E4" i="1" s="1"/>
  <c r="G3" i="1"/>
  <c r="F3" i="1" s="1"/>
  <c r="E3" i="1" s="1"/>
  <c r="G2" i="1"/>
  <c r="F2" i="1" s="1"/>
  <c r="E2" i="1" s="1"/>
  <c r="F95" i="1"/>
  <c r="E95" i="1" s="1"/>
  <c r="F64" i="1"/>
  <c r="E64" i="1" s="1"/>
  <c r="F63" i="1"/>
  <c r="E63" i="1" s="1"/>
  <c r="F32" i="1"/>
  <c r="E32" i="1" s="1"/>
  <c r="F31" i="1"/>
  <c r="E31" i="1" s="1"/>
  <c r="F30" i="1"/>
  <c r="E30" i="1" s="1"/>
  <c r="F15" i="1"/>
  <c r="E15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E4" i="4" l="1"/>
  <c r="E5" i="4" s="1"/>
  <c r="F3" i="4"/>
  <c r="E2" i="4"/>
  <c r="E25" i="4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V1" i="1" s="1"/>
  <c r="W1" i="1" s="1"/>
  <c r="X1" i="1" s="1"/>
  <c r="Y1" i="1" s="1"/>
  <c r="Z1" i="1" s="1"/>
  <c r="AA1" i="1" s="1"/>
  <c r="AB1" i="1" s="1"/>
  <c r="E21" i="4" l="1"/>
  <c r="E15" i="4"/>
  <c r="E18" i="4"/>
  <c r="E6" i="4"/>
  <c r="E7" i="4"/>
  <c r="E17" i="4"/>
  <c r="E19" i="4"/>
  <c r="E16" i="4"/>
  <c r="E10" i="4"/>
  <c r="E8" i="4"/>
  <c r="E9" i="4"/>
  <c r="E11" i="4"/>
  <c r="E20" i="4"/>
  <c r="E13" i="4"/>
  <c r="E12" i="4"/>
  <c r="E14" i="4"/>
  <c r="G3" i="4"/>
  <c r="F4" i="4"/>
  <c r="F5" i="4" s="1"/>
  <c r="F2" i="4"/>
  <c r="F25" i="4"/>
  <c r="G4" i="4" l="1"/>
  <c r="G5" i="4" s="1"/>
  <c r="G2" i="4"/>
  <c r="H3" i="4"/>
  <c r="G25" i="4"/>
  <c r="F21" i="4"/>
  <c r="F13" i="4"/>
  <c r="F18" i="4"/>
  <c r="F11" i="4"/>
  <c r="F15" i="4"/>
  <c r="F14" i="4"/>
  <c r="F7" i="4"/>
  <c r="F10" i="4"/>
  <c r="F12" i="4"/>
  <c r="F20" i="4"/>
  <c r="F16" i="4"/>
  <c r="F19" i="4"/>
  <c r="F6" i="4"/>
  <c r="F8" i="4"/>
  <c r="F17" i="4"/>
  <c r="F9" i="4"/>
  <c r="G21" i="4" l="1"/>
  <c r="G18" i="4"/>
  <c r="G11" i="4"/>
  <c r="G16" i="4"/>
  <c r="G7" i="4"/>
  <c r="G13" i="4"/>
  <c r="G6" i="4"/>
  <c r="G8" i="4"/>
  <c r="G10" i="4"/>
  <c r="G20" i="4"/>
  <c r="G19" i="4"/>
  <c r="G15" i="4"/>
  <c r="G14" i="4"/>
  <c r="G12" i="4"/>
  <c r="G17" i="4"/>
  <c r="G9" i="4"/>
  <c r="H25" i="4"/>
  <c r="H4" i="4"/>
  <c r="H5" i="4" s="1"/>
  <c r="H2" i="4"/>
  <c r="I3" i="4"/>
  <c r="H21" i="4" l="1"/>
  <c r="H13" i="4"/>
  <c r="H18" i="4"/>
  <c r="H16" i="4"/>
  <c r="H14" i="4"/>
  <c r="H11" i="4"/>
  <c r="H7" i="4"/>
  <c r="H6" i="4"/>
  <c r="H8" i="4"/>
  <c r="H17" i="4"/>
  <c r="H20" i="4"/>
  <c r="H10" i="4"/>
  <c r="H9" i="4"/>
  <c r="H19" i="4"/>
  <c r="H15" i="4"/>
  <c r="H12" i="4"/>
  <c r="I25" i="4"/>
  <c r="I4" i="4"/>
  <c r="I5" i="4" s="1"/>
  <c r="I2" i="4"/>
  <c r="J3" i="4"/>
  <c r="J25" i="4" l="1"/>
  <c r="J4" i="4"/>
  <c r="J5" i="4" s="1"/>
  <c r="J2" i="4"/>
  <c r="K3" i="4"/>
  <c r="I21" i="4"/>
  <c r="I18" i="4"/>
  <c r="I11" i="4"/>
  <c r="I16" i="4"/>
  <c r="I14" i="4"/>
  <c r="I13" i="4"/>
  <c r="I6" i="4"/>
  <c r="I19" i="4"/>
  <c r="I7" i="4"/>
  <c r="I9" i="4"/>
  <c r="I8" i="4"/>
  <c r="I17" i="4"/>
  <c r="I10" i="4"/>
  <c r="I12" i="4"/>
  <c r="I15" i="4"/>
  <c r="I20" i="4"/>
  <c r="J21" i="4" l="1"/>
  <c r="J15" i="4"/>
  <c r="J13" i="4"/>
  <c r="J11" i="4"/>
  <c r="J18" i="4"/>
  <c r="J14" i="4"/>
  <c r="J16" i="4"/>
  <c r="J6" i="4"/>
  <c r="J12" i="4"/>
  <c r="J7" i="4"/>
  <c r="J10" i="4"/>
  <c r="J17" i="4"/>
  <c r="J9" i="4"/>
  <c r="J20" i="4"/>
  <c r="J19" i="4"/>
  <c r="J8" i="4"/>
  <c r="K25" i="4"/>
  <c r="K2" i="4"/>
  <c r="L3" i="4"/>
  <c r="K4" i="4"/>
  <c r="K5" i="4" s="1"/>
  <c r="K21" i="4" l="1"/>
  <c r="K15" i="4"/>
  <c r="K13" i="4"/>
  <c r="K11" i="4"/>
  <c r="K14" i="4"/>
  <c r="K18" i="4"/>
  <c r="K9" i="4"/>
  <c r="K16" i="4"/>
  <c r="K7" i="4"/>
  <c r="K6" i="4"/>
  <c r="K10" i="4"/>
  <c r="K17" i="4"/>
  <c r="K20" i="4"/>
  <c r="K19" i="4"/>
  <c r="K12" i="4"/>
  <c r="K8" i="4"/>
  <c r="M3" i="4"/>
  <c r="L2" i="4"/>
  <c r="L4" i="4"/>
  <c r="L5" i="4" s="1"/>
  <c r="L25" i="4"/>
  <c r="M25" i="4" l="1"/>
  <c r="M2" i="4"/>
  <c r="N3" i="4"/>
  <c r="M4" i="4"/>
  <c r="M5" i="4" s="1"/>
  <c r="L18" i="4"/>
  <c r="L15" i="4"/>
  <c r="L13" i="4"/>
  <c r="L11" i="4"/>
  <c r="L9" i="4"/>
  <c r="L16" i="4"/>
  <c r="L14" i="4"/>
  <c r="L10" i="4"/>
  <c r="L8" i="4"/>
  <c r="L7" i="4"/>
  <c r="L19" i="4"/>
  <c r="L12" i="4"/>
  <c r="L17" i="4"/>
  <c r="L6" i="4"/>
  <c r="L20" i="4"/>
  <c r="L21" i="4"/>
  <c r="N2" i="4" l="1"/>
  <c r="O3" i="4"/>
  <c r="N4" i="4"/>
  <c r="N5" i="4" s="1"/>
  <c r="N25" i="4"/>
  <c r="M20" i="4"/>
  <c r="M21" i="4"/>
  <c r="M13" i="4"/>
  <c r="M18" i="4"/>
  <c r="M17" i="4"/>
  <c r="M16" i="4"/>
  <c r="M15" i="4"/>
  <c r="M9" i="4"/>
  <c r="M11" i="4"/>
  <c r="M6" i="4"/>
  <c r="M7" i="4"/>
  <c r="M8" i="4"/>
  <c r="M10" i="4"/>
  <c r="M14" i="4"/>
  <c r="M12" i="4"/>
  <c r="M19" i="4"/>
  <c r="N20" i="4" l="1"/>
  <c r="N18" i="4"/>
  <c r="N16" i="4"/>
  <c r="N14" i="4"/>
  <c r="N15" i="4"/>
  <c r="N11" i="4"/>
  <c r="N12" i="4"/>
  <c r="N6" i="4"/>
  <c r="N8" i="4"/>
  <c r="N19" i="4"/>
  <c r="N7" i="4"/>
  <c r="N9" i="4"/>
  <c r="N21" i="4"/>
  <c r="N17" i="4"/>
  <c r="N10" i="4"/>
  <c r="N13" i="4"/>
  <c r="O2" i="4"/>
  <c r="O4" i="4"/>
  <c r="O5" i="4" s="1"/>
  <c r="P3" i="4"/>
  <c r="P2" i="4" l="1"/>
  <c r="Q3" i="4"/>
  <c r="P4" i="4"/>
  <c r="P5" i="4" s="1"/>
  <c r="O21" i="4"/>
  <c r="O18" i="4"/>
  <c r="O13" i="4"/>
  <c r="O20" i="4"/>
  <c r="O11" i="4"/>
  <c r="O17" i="4"/>
  <c r="O15" i="4"/>
  <c r="O9" i="4"/>
  <c r="O12" i="4"/>
  <c r="O6" i="4"/>
  <c r="O10" i="4"/>
  <c r="O7" i="4"/>
  <c r="O14" i="4"/>
  <c r="O8" i="4"/>
  <c r="O19" i="4"/>
  <c r="O16" i="4"/>
  <c r="P21" i="4" l="1"/>
  <c r="P13" i="4"/>
  <c r="P20" i="4"/>
  <c r="P17" i="4"/>
  <c r="P15" i="4"/>
  <c r="P11" i="4"/>
  <c r="P12" i="4"/>
  <c r="P9" i="4"/>
  <c r="P6" i="4"/>
  <c r="P10" i="4"/>
  <c r="P18" i="4"/>
  <c r="P16" i="4"/>
  <c r="P19" i="4"/>
  <c r="P14" i="4"/>
  <c r="P7" i="4"/>
  <c r="P8" i="4"/>
  <c r="Q2" i="4"/>
  <c r="R3" i="4"/>
  <c r="Q4" i="4"/>
  <c r="Q5" i="4" s="1"/>
  <c r="Q21" i="4" l="1"/>
  <c r="Q20" i="4"/>
  <c r="Q13" i="4"/>
  <c r="Q17" i="4"/>
  <c r="Q10" i="4"/>
  <c r="Q11" i="4"/>
  <c r="Q6" i="4"/>
  <c r="Q8" i="4"/>
  <c r="Q19" i="4"/>
  <c r="Q14" i="4"/>
  <c r="Q15" i="4"/>
  <c r="Q7" i="4"/>
  <c r="Q16" i="4"/>
  <c r="Q9" i="4"/>
  <c r="Q12" i="4"/>
  <c r="Q18" i="4"/>
  <c r="S3" i="4"/>
  <c r="R4" i="4"/>
  <c r="R5" i="4" s="1"/>
  <c r="R2" i="4"/>
  <c r="R21" i="4" l="1"/>
  <c r="R18" i="4"/>
  <c r="R20" i="4"/>
  <c r="R13" i="4"/>
  <c r="R11" i="4"/>
  <c r="R16" i="4"/>
  <c r="R19" i="4"/>
  <c r="R10" i="4"/>
  <c r="R8" i="4"/>
  <c r="R6" i="4"/>
  <c r="R7" i="4"/>
  <c r="R17" i="4"/>
  <c r="R14" i="4"/>
  <c r="R12" i="4"/>
  <c r="R9" i="4"/>
  <c r="R15" i="4"/>
  <c r="T3" i="4"/>
  <c r="S4" i="4"/>
  <c r="S5" i="4" s="1"/>
  <c r="S2" i="4"/>
  <c r="S21" i="4" l="1"/>
  <c r="S20" i="4"/>
  <c r="S15" i="4"/>
  <c r="S16" i="4"/>
  <c r="S10" i="4"/>
  <c r="S13" i="4"/>
  <c r="S9" i="4"/>
  <c r="S8" i="4"/>
  <c r="S6" i="4"/>
  <c r="S19" i="4"/>
  <c r="S12" i="4"/>
  <c r="S14" i="4"/>
  <c r="S17" i="4"/>
  <c r="S18" i="4"/>
  <c r="S11" i="4"/>
  <c r="S7" i="4"/>
  <c r="T4" i="4"/>
  <c r="T5" i="4" s="1"/>
  <c r="U3" i="4"/>
  <c r="T2" i="4"/>
  <c r="U4" i="4" l="1"/>
  <c r="U5" i="4" s="1"/>
  <c r="V3" i="4"/>
  <c r="U2" i="4"/>
  <c r="T20" i="4"/>
  <c r="T15" i="4"/>
  <c r="T12" i="4"/>
  <c r="T10" i="4"/>
  <c r="T9" i="4"/>
  <c r="T8" i="4"/>
  <c r="T6" i="4"/>
  <c r="T14" i="4"/>
  <c r="T19" i="4"/>
  <c r="T17" i="4"/>
  <c r="T11" i="4"/>
  <c r="T16" i="4"/>
  <c r="T18" i="4"/>
  <c r="T21" i="4"/>
  <c r="T13" i="4"/>
  <c r="T7" i="4"/>
  <c r="V4" i="4" l="1"/>
  <c r="V5" i="4" s="1"/>
  <c r="W3" i="4"/>
  <c r="V2" i="4"/>
  <c r="U20" i="4"/>
  <c r="U15" i="4"/>
  <c r="U12" i="4"/>
  <c r="U9" i="4"/>
  <c r="U6" i="4"/>
  <c r="U7" i="4"/>
  <c r="U16" i="4"/>
  <c r="U10" i="4"/>
  <c r="U21" i="4"/>
  <c r="U8" i="4"/>
  <c r="U11" i="4"/>
  <c r="U13" i="4"/>
  <c r="U14" i="4"/>
  <c r="U19" i="4"/>
  <c r="U18" i="4"/>
  <c r="U17" i="4"/>
  <c r="X3" i="4" l="1"/>
  <c r="W4" i="4"/>
  <c r="W5" i="4" s="1"/>
  <c r="W2" i="4"/>
  <c r="V18" i="4"/>
  <c r="V17" i="4"/>
  <c r="V14" i="4"/>
  <c r="V9" i="4"/>
  <c r="V12" i="4"/>
  <c r="V11" i="4"/>
  <c r="V10" i="4"/>
  <c r="V8" i="4"/>
  <c r="V13" i="4"/>
  <c r="V19" i="4"/>
  <c r="V16" i="4"/>
  <c r="V20" i="4"/>
  <c r="V21" i="4"/>
  <c r="V7" i="4"/>
  <c r="V15" i="4"/>
  <c r="V6" i="4"/>
  <c r="W21" i="4" l="1"/>
  <c r="W18" i="4"/>
  <c r="W14" i="4"/>
  <c r="W11" i="4"/>
  <c r="W13" i="4"/>
  <c r="W10" i="4"/>
  <c r="W12" i="4"/>
  <c r="W6" i="4"/>
  <c r="W19" i="4"/>
  <c r="W8" i="4"/>
  <c r="W17" i="4"/>
  <c r="W15" i="4"/>
  <c r="W16" i="4"/>
  <c r="W20" i="4"/>
  <c r="W7" i="4"/>
  <c r="W9" i="4"/>
  <c r="X4" i="4"/>
  <c r="X5" i="4" s="1"/>
  <c r="Y3" i="4"/>
  <c r="X2" i="4"/>
  <c r="X21" i="4" l="1"/>
  <c r="X18" i="4"/>
  <c r="X11" i="4"/>
  <c r="X12" i="4"/>
  <c r="X13" i="4"/>
  <c r="X10" i="4"/>
  <c r="X7" i="4"/>
  <c r="X8" i="4"/>
  <c r="X9" i="4"/>
  <c r="X17" i="4"/>
  <c r="X20" i="4"/>
  <c r="X6" i="4"/>
  <c r="X14" i="4"/>
  <c r="X16" i="4"/>
  <c r="X19" i="4"/>
  <c r="X15" i="4"/>
  <c r="Y4" i="4"/>
  <c r="Y5" i="4" s="1"/>
  <c r="Z3" i="4"/>
  <c r="Y2" i="4"/>
  <c r="Y21" i="4" l="1"/>
  <c r="Y18" i="4"/>
  <c r="Y11" i="4"/>
  <c r="Y12" i="4"/>
  <c r="Y13" i="4"/>
  <c r="Y10" i="4"/>
  <c r="Y8" i="4"/>
  <c r="Y6" i="4"/>
  <c r="Y15" i="4"/>
  <c r="Y14" i="4"/>
  <c r="Y17" i="4"/>
  <c r="Y19" i="4"/>
  <c r="Y20" i="4"/>
  <c r="Y9" i="4"/>
  <c r="Y16" i="4"/>
  <c r="Y7" i="4"/>
  <c r="Z4" i="4"/>
  <c r="Z5" i="4" s="1"/>
  <c r="AA3" i="4"/>
  <c r="Z2" i="4"/>
  <c r="Z21" i="4" l="1"/>
  <c r="Z18" i="4"/>
  <c r="Z20" i="4"/>
  <c r="Z11" i="4"/>
  <c r="Z14" i="4"/>
  <c r="Z13" i="4"/>
  <c r="Z10" i="4"/>
  <c r="Z12" i="4"/>
  <c r="Z7" i="4"/>
  <c r="Z8" i="4"/>
  <c r="Z17" i="4"/>
  <c r="Z16" i="4"/>
  <c r="Z19" i="4"/>
  <c r="Z9" i="4"/>
  <c r="Z6" i="4"/>
  <c r="Z15" i="4"/>
  <c r="AA4" i="4"/>
  <c r="AA5" i="4" s="1"/>
  <c r="AB3" i="4"/>
  <c r="AA2" i="4"/>
  <c r="AB4" i="4" l="1"/>
  <c r="AB5" i="4" s="1"/>
  <c r="AB2" i="4"/>
  <c r="AC3" i="4"/>
  <c r="AA18" i="4"/>
  <c r="AA21" i="4"/>
  <c r="AA16" i="4"/>
  <c r="AA11" i="4"/>
  <c r="AA13" i="4"/>
  <c r="AA9" i="4"/>
  <c r="AA10" i="4"/>
  <c r="AA20" i="4"/>
  <c r="AA7" i="4"/>
  <c r="AA12" i="4"/>
  <c r="AA6" i="4"/>
  <c r="AA19" i="4"/>
  <c r="AA8" i="4"/>
  <c r="AA14" i="4"/>
  <c r="AA15" i="4"/>
  <c r="AA17" i="4"/>
  <c r="AD3" i="4" l="1"/>
  <c r="AC4" i="4"/>
  <c r="AC5" i="4" s="1"/>
  <c r="AC2" i="4"/>
  <c r="AB20" i="4"/>
  <c r="AB16" i="4"/>
  <c r="AB18" i="4"/>
  <c r="AB15" i="4"/>
  <c r="AB9" i="4"/>
  <c r="AB11" i="4"/>
  <c r="AB13" i="4"/>
  <c r="AB8" i="4"/>
  <c r="AB19" i="4"/>
  <c r="AB7" i="4"/>
  <c r="AB12" i="4"/>
  <c r="AB10" i="4"/>
  <c r="AB21" i="4"/>
  <c r="AB14" i="4"/>
  <c r="AB17" i="4"/>
  <c r="AB6" i="4"/>
  <c r="AC21" i="4" l="1"/>
  <c r="AC15" i="4"/>
  <c r="AC11" i="4"/>
  <c r="AC16" i="4"/>
  <c r="AC13" i="4"/>
  <c r="AC18" i="4"/>
  <c r="AC12" i="4"/>
  <c r="AC7" i="4"/>
  <c r="AC6" i="4"/>
  <c r="AC14" i="4"/>
  <c r="AC8" i="4"/>
  <c r="AC19" i="4"/>
  <c r="AC17" i="4"/>
  <c r="AC20" i="4"/>
  <c r="AC10" i="4"/>
  <c r="AC9" i="4"/>
  <c r="AD2" i="4"/>
  <c r="AD4" i="4"/>
  <c r="AD5" i="4" s="1"/>
  <c r="AE3" i="4"/>
  <c r="AE2" i="4" l="1"/>
  <c r="AE4" i="4"/>
  <c r="AE5" i="4" s="1"/>
  <c r="AF3" i="4"/>
  <c r="AD18" i="4"/>
  <c r="AD11" i="4"/>
  <c r="AD17" i="4"/>
  <c r="AD15" i="4"/>
  <c r="AD7" i="4"/>
  <c r="AD6" i="4"/>
  <c r="AD16" i="4"/>
  <c r="AD8" i="4"/>
  <c r="AD19" i="4"/>
  <c r="AD14" i="4"/>
  <c r="AD9" i="4"/>
  <c r="AD10" i="4"/>
  <c r="AD20" i="4"/>
  <c r="AD21" i="4"/>
  <c r="AD13" i="4"/>
  <c r="AD12" i="4"/>
  <c r="AF2" i="4" l="1"/>
  <c r="AF4" i="4"/>
  <c r="AF5" i="4" s="1"/>
  <c r="AG3" i="4"/>
  <c r="AE18" i="4"/>
  <c r="AE13" i="4"/>
  <c r="AE21" i="4"/>
  <c r="AE17" i="4"/>
  <c r="AE15" i="4"/>
  <c r="AE14" i="4"/>
  <c r="AE11" i="4"/>
  <c r="AE7" i="4"/>
  <c r="AE6" i="4"/>
  <c r="AE9" i="4"/>
  <c r="AE12" i="4"/>
  <c r="AE19" i="4"/>
  <c r="AE8" i="4"/>
  <c r="AE10" i="4"/>
  <c r="AE20" i="4"/>
  <c r="AE16" i="4"/>
  <c r="AF21" i="4" l="1"/>
  <c r="AF20" i="4"/>
  <c r="AF13" i="4"/>
  <c r="AF17" i="4"/>
  <c r="AF14" i="4"/>
  <c r="AF11" i="4"/>
  <c r="AF7" i="4"/>
  <c r="AF8" i="4"/>
  <c r="AF12" i="4"/>
  <c r="AF10" i="4"/>
  <c r="AF9" i="4"/>
  <c r="AF16" i="4"/>
  <c r="AF15" i="4"/>
  <c r="AF6" i="4"/>
  <c r="AF19" i="4"/>
  <c r="AF18" i="4"/>
  <c r="AG2" i="4"/>
  <c r="AH3" i="4"/>
  <c r="AG4" i="4"/>
  <c r="AG5" i="4" s="1"/>
  <c r="AI3" i="4" l="1"/>
  <c r="AH4" i="4"/>
  <c r="AH5" i="4" s="1"/>
  <c r="AH2" i="4"/>
  <c r="AG21" i="4"/>
  <c r="AG17" i="4"/>
  <c r="AG13" i="4"/>
  <c r="AG16" i="4"/>
  <c r="AG11" i="4"/>
  <c r="AG7" i="4"/>
  <c r="AG6" i="4"/>
  <c r="AG10" i="4"/>
  <c r="AG20" i="4"/>
  <c r="AG12" i="4"/>
  <c r="AG9" i="4"/>
  <c r="AG19" i="4"/>
  <c r="AG14" i="4"/>
  <c r="AG8" i="4"/>
  <c r="AG15" i="4"/>
  <c r="AG18" i="4"/>
  <c r="AH21" i="4" l="1"/>
  <c r="AH13" i="4"/>
  <c r="AH18" i="4"/>
  <c r="AH17" i="4"/>
  <c r="AH12" i="4"/>
  <c r="AH11" i="4"/>
  <c r="AH7" i="4"/>
  <c r="AH6" i="4"/>
  <c r="AH14" i="4"/>
  <c r="AH10" i="4"/>
  <c r="AH9" i="4"/>
  <c r="AH20" i="4"/>
  <c r="AH8" i="4"/>
  <c r="AH15" i="4"/>
  <c r="AH16" i="4"/>
  <c r="AH19" i="4"/>
  <c r="AJ3" i="4"/>
  <c r="AI2" i="4"/>
  <c r="AI4" i="4"/>
  <c r="AI5" i="4" s="1"/>
  <c r="AI13" i="4" l="1"/>
  <c r="AI17" i="4"/>
  <c r="AI15" i="4"/>
  <c r="AI18" i="4"/>
  <c r="AI21" i="4"/>
  <c r="AI6" i="4"/>
  <c r="AI7" i="4"/>
  <c r="AI10" i="4"/>
  <c r="AI9" i="4"/>
  <c r="AI14" i="4"/>
  <c r="AI19" i="4"/>
  <c r="AI16" i="4"/>
  <c r="AI8" i="4"/>
  <c r="AI20" i="4"/>
  <c r="AI11" i="4"/>
  <c r="AI12" i="4"/>
  <c r="AJ4" i="4"/>
  <c r="AJ5" i="4" s="1"/>
  <c r="AK3" i="4"/>
  <c r="AJ2" i="4"/>
  <c r="AK4" i="4" l="1"/>
  <c r="AK5" i="4" s="1"/>
  <c r="AK2" i="4"/>
  <c r="AL3" i="4"/>
  <c r="AJ20" i="4"/>
  <c r="AJ13" i="4"/>
  <c r="AJ18" i="4"/>
  <c r="AJ17" i="4"/>
  <c r="AJ15" i="4"/>
  <c r="AJ21" i="4"/>
  <c r="AJ6" i="4"/>
  <c r="AJ10" i="4"/>
  <c r="AJ7" i="4"/>
  <c r="AJ19" i="4"/>
  <c r="AJ8" i="4"/>
  <c r="AJ14" i="4"/>
  <c r="AJ16" i="4"/>
  <c r="AJ11" i="4"/>
  <c r="AJ9" i="4"/>
  <c r="AJ12" i="4"/>
  <c r="AL4" i="4" l="1"/>
  <c r="AL5" i="4" s="1"/>
  <c r="AL2" i="4"/>
  <c r="AM3" i="4"/>
  <c r="AK20" i="4"/>
  <c r="AK21" i="4"/>
  <c r="AK15" i="4"/>
  <c r="AK14" i="4"/>
  <c r="AK9" i="4"/>
  <c r="AK6" i="4"/>
  <c r="AK7" i="4"/>
  <c r="AK8" i="4"/>
  <c r="AK18" i="4"/>
  <c r="AK12" i="4"/>
  <c r="AK11" i="4"/>
  <c r="AK16" i="4"/>
  <c r="AK17" i="4"/>
  <c r="AK19" i="4"/>
  <c r="AK10" i="4"/>
  <c r="AK13" i="4"/>
  <c r="AM4" i="4" l="1"/>
  <c r="AM5" i="4" s="1"/>
  <c r="AM2" i="4"/>
  <c r="AN3" i="4"/>
  <c r="AL20" i="4"/>
  <c r="AL15" i="4"/>
  <c r="AL17" i="4"/>
  <c r="AL11" i="4"/>
  <c r="AL9" i="4"/>
  <c r="AL12" i="4"/>
  <c r="AL6" i="4"/>
  <c r="AL10" i="4"/>
  <c r="AL13" i="4"/>
  <c r="AL21" i="4"/>
  <c r="AL7" i="4"/>
  <c r="AL16" i="4"/>
  <c r="AL19" i="4"/>
  <c r="AL8" i="4"/>
  <c r="AL14" i="4"/>
  <c r="AL18" i="4"/>
  <c r="AN4" i="4" l="1"/>
  <c r="AN5" i="4" s="1"/>
  <c r="AN2" i="4"/>
  <c r="AO3" i="4"/>
  <c r="AM15" i="4"/>
  <c r="AM11" i="4"/>
  <c r="AM9" i="4"/>
  <c r="AM6" i="4"/>
  <c r="AM7" i="4"/>
  <c r="AM8" i="4"/>
  <c r="AM19" i="4"/>
  <c r="AM13" i="4"/>
  <c r="AM16" i="4"/>
  <c r="AM20" i="4"/>
  <c r="AM10" i="4"/>
  <c r="AM14" i="4"/>
  <c r="AM12" i="4"/>
  <c r="AM17" i="4"/>
  <c r="AM18" i="4"/>
  <c r="AM21" i="4"/>
  <c r="AO4" i="4" l="1"/>
  <c r="AO5" i="4" s="1"/>
  <c r="AP3" i="4"/>
  <c r="AO2" i="4"/>
  <c r="AN15" i="4"/>
  <c r="AN18" i="4"/>
  <c r="AN16" i="4"/>
  <c r="AN11" i="4"/>
  <c r="AN13" i="4"/>
  <c r="AN9" i="4"/>
  <c r="AN8" i="4"/>
  <c r="AN6" i="4"/>
  <c r="AN12" i="4"/>
  <c r="AN14" i="4"/>
  <c r="AN7" i="4"/>
  <c r="AN19" i="4"/>
  <c r="AN21" i="4"/>
  <c r="AN17" i="4"/>
  <c r="AN20" i="4"/>
  <c r="AN10" i="4"/>
  <c r="AP4" i="4" l="1"/>
  <c r="AP5" i="4" s="1"/>
  <c r="AP2" i="4"/>
  <c r="AQ3" i="4"/>
  <c r="AO18" i="4"/>
  <c r="AO21" i="4"/>
  <c r="AO14" i="4"/>
  <c r="AO15" i="4"/>
  <c r="AO13" i="4"/>
  <c r="AO11" i="4"/>
  <c r="AO9" i="4"/>
  <c r="AO6" i="4"/>
  <c r="AO8" i="4"/>
  <c r="AO16" i="4"/>
  <c r="AO20" i="4"/>
  <c r="AO10" i="4"/>
  <c r="AO17" i="4"/>
  <c r="AO19" i="4"/>
  <c r="AO7" i="4"/>
  <c r="AO12" i="4"/>
  <c r="AQ4" i="4" l="1"/>
  <c r="AQ5" i="4" s="1"/>
  <c r="AR3" i="4"/>
  <c r="AQ2" i="4"/>
  <c r="AP18" i="4"/>
  <c r="AP21" i="4"/>
  <c r="AP13" i="4"/>
  <c r="AP15" i="4"/>
  <c r="AP11" i="4"/>
  <c r="AP16" i="4"/>
  <c r="AP10" i="4"/>
  <c r="AP7" i="4"/>
  <c r="AP14" i="4"/>
  <c r="AP19" i="4"/>
  <c r="AP8" i="4"/>
  <c r="AP9" i="4"/>
  <c r="AP6" i="4"/>
  <c r="AP17" i="4"/>
  <c r="AP20" i="4"/>
  <c r="AP12" i="4"/>
  <c r="AR4" i="4" l="1"/>
  <c r="AR5" i="4" s="1"/>
  <c r="AS3" i="4"/>
  <c r="AR2" i="4"/>
  <c r="AQ20" i="4"/>
  <c r="AQ18" i="4"/>
  <c r="AQ15" i="4"/>
  <c r="AQ21" i="4"/>
  <c r="AQ16" i="4"/>
  <c r="AQ13" i="4"/>
  <c r="AQ11" i="4"/>
  <c r="AQ12" i="4"/>
  <c r="AQ10" i="4"/>
  <c r="AQ7" i="4"/>
  <c r="AQ6" i="4"/>
  <c r="AQ19" i="4"/>
  <c r="AQ9" i="4"/>
  <c r="AQ14" i="4"/>
  <c r="AQ8" i="4"/>
  <c r="AQ17" i="4"/>
  <c r="AS4" i="4" l="1"/>
  <c r="AS5" i="4" s="1"/>
  <c r="AT3" i="4"/>
  <c r="AS2" i="4"/>
  <c r="AR20" i="4"/>
  <c r="AR18" i="4"/>
  <c r="AR16" i="4"/>
  <c r="AR13" i="4"/>
  <c r="AR11" i="4"/>
  <c r="AR10" i="4"/>
  <c r="AR12" i="4"/>
  <c r="AR8" i="4"/>
  <c r="AR21" i="4"/>
  <c r="AR9" i="4"/>
  <c r="AR17" i="4"/>
  <c r="AR6" i="4"/>
  <c r="AR7" i="4"/>
  <c r="AR19" i="4"/>
  <c r="AR14" i="4"/>
  <c r="AR15" i="4"/>
  <c r="AT4" i="4" l="1"/>
  <c r="AT5" i="4" s="1"/>
  <c r="AU3" i="4"/>
  <c r="AT2" i="4"/>
  <c r="AS20" i="4"/>
  <c r="AS18" i="4"/>
  <c r="AS21" i="4"/>
  <c r="AS13" i="4"/>
  <c r="AS11" i="4"/>
  <c r="AS12" i="4"/>
  <c r="AS10" i="4"/>
  <c r="AS6" i="4"/>
  <c r="AS7" i="4"/>
  <c r="AS19" i="4"/>
  <c r="AS9" i="4"/>
  <c r="AS17" i="4"/>
  <c r="AS14" i="4"/>
  <c r="AS16" i="4"/>
  <c r="AS8" i="4"/>
  <c r="AS15" i="4"/>
  <c r="AU2" i="4" l="1"/>
  <c r="AU4" i="4"/>
  <c r="AU5" i="4" s="1"/>
  <c r="AV3" i="4"/>
  <c r="AT20" i="4"/>
  <c r="AT18" i="4"/>
  <c r="AT11" i="4"/>
  <c r="AT12" i="4"/>
  <c r="AT14" i="4"/>
  <c r="AT10" i="4"/>
  <c r="AT6" i="4"/>
  <c r="AT7" i="4"/>
  <c r="AT19" i="4"/>
  <c r="AT17" i="4"/>
  <c r="AT13" i="4"/>
  <c r="AT9" i="4"/>
  <c r="AT15" i="4"/>
  <c r="AT8" i="4"/>
  <c r="AT16" i="4"/>
  <c r="AT21" i="4"/>
  <c r="AV2" i="4" l="1"/>
  <c r="AV4" i="4"/>
  <c r="AV5" i="4" s="1"/>
  <c r="AW3" i="4"/>
  <c r="AU21" i="4"/>
  <c r="AU20" i="4"/>
  <c r="AU18" i="4"/>
  <c r="AU13" i="4"/>
  <c r="AU11" i="4"/>
  <c r="AU12" i="4"/>
  <c r="AU14" i="4"/>
  <c r="AU9" i="4"/>
  <c r="AU10" i="4"/>
  <c r="AU6" i="4"/>
  <c r="AU8" i="4"/>
  <c r="AU7" i="4"/>
  <c r="AU15" i="4"/>
  <c r="AU16" i="4"/>
  <c r="AU17" i="4"/>
  <c r="AU19" i="4"/>
  <c r="AW2" i="4" l="1"/>
  <c r="AX3" i="4"/>
  <c r="AW4" i="4"/>
  <c r="AW5" i="4" s="1"/>
  <c r="AV21" i="4"/>
  <c r="AV20" i="4"/>
  <c r="AV13" i="4"/>
  <c r="AV11" i="4"/>
  <c r="AV9" i="4"/>
  <c r="AV10" i="4"/>
  <c r="AV12" i="4"/>
  <c r="AV8" i="4"/>
  <c r="AV7" i="4"/>
  <c r="AV14" i="4"/>
  <c r="AV6" i="4"/>
  <c r="AV16" i="4"/>
  <c r="AV17" i="4"/>
  <c r="AV15" i="4"/>
  <c r="AV19" i="4"/>
  <c r="AV18" i="4"/>
  <c r="AW21" i="4" l="1"/>
  <c r="AW16" i="4"/>
  <c r="AW11" i="4"/>
  <c r="AW13" i="4"/>
  <c r="AW10" i="4"/>
  <c r="AW7" i="4"/>
  <c r="AW8" i="4"/>
  <c r="AW12" i="4"/>
  <c r="AW14" i="4"/>
  <c r="AW15" i="4"/>
  <c r="AW9" i="4"/>
  <c r="AW17" i="4"/>
  <c r="AW6" i="4"/>
  <c r="AW18" i="4"/>
  <c r="AW19" i="4"/>
  <c r="AW20" i="4"/>
  <c r="AY3" i="4"/>
  <c r="AX2" i="4"/>
  <c r="AX4" i="4"/>
  <c r="AX5" i="4" s="1"/>
  <c r="AX18" i="4" l="1"/>
  <c r="AX21" i="4"/>
  <c r="AX13" i="4"/>
  <c r="AX11" i="4"/>
  <c r="AX16" i="4"/>
  <c r="AX14" i="4"/>
  <c r="AX12" i="4"/>
  <c r="AX6" i="4"/>
  <c r="AX19" i="4"/>
  <c r="AX9" i="4"/>
  <c r="AX7" i="4"/>
  <c r="AX8" i="4"/>
  <c r="AX17" i="4"/>
  <c r="AX15" i="4"/>
  <c r="AX20" i="4"/>
  <c r="AX10" i="4"/>
  <c r="AZ3" i="4"/>
  <c r="AY4" i="4"/>
  <c r="AY5" i="4" s="1"/>
  <c r="AY2" i="4"/>
  <c r="AY21" i="4" l="1"/>
  <c r="AY18" i="4"/>
  <c r="AY13" i="4"/>
  <c r="AY16" i="4"/>
  <c r="AY10" i="4"/>
  <c r="AY9" i="4"/>
  <c r="AY8" i="4"/>
  <c r="AY14" i="4"/>
  <c r="AY6" i="4"/>
  <c r="AY7" i="4"/>
  <c r="AY15" i="4"/>
  <c r="AY11" i="4"/>
  <c r="AY12" i="4"/>
  <c r="AY17" i="4"/>
  <c r="AY20" i="4"/>
  <c r="AY19" i="4"/>
  <c r="AZ4" i="4"/>
  <c r="AZ5" i="4" s="1"/>
  <c r="BA3" i="4"/>
  <c r="AZ2" i="4"/>
  <c r="BA4" i="4" l="1"/>
  <c r="BA5" i="4" s="1"/>
  <c r="BB3" i="4"/>
  <c r="BA2" i="4"/>
  <c r="AZ21" i="4"/>
  <c r="AZ13" i="4"/>
  <c r="AZ18" i="4"/>
  <c r="AZ9" i="4"/>
  <c r="AZ20" i="4"/>
  <c r="AZ8" i="4"/>
  <c r="AZ19" i="4"/>
  <c r="AZ15" i="4"/>
  <c r="AZ16" i="4"/>
  <c r="AZ11" i="4"/>
  <c r="AZ17" i="4"/>
  <c r="AZ14" i="4"/>
  <c r="AZ12" i="4"/>
  <c r="AZ10" i="4"/>
  <c r="AZ6" i="4"/>
  <c r="AZ7" i="4"/>
  <c r="BB2" i="4" l="1"/>
  <c r="BB4" i="4"/>
  <c r="BB5" i="4" s="1"/>
  <c r="BC3" i="4"/>
  <c r="BA21" i="4"/>
  <c r="BA17" i="4"/>
  <c r="BA15" i="4"/>
  <c r="BA20" i="4"/>
  <c r="BA13" i="4"/>
  <c r="BA9" i="4"/>
  <c r="BA18" i="4"/>
  <c r="BA11" i="4"/>
  <c r="BA10" i="4"/>
  <c r="BA14" i="4"/>
  <c r="BA8" i="4"/>
  <c r="BA19" i="4"/>
  <c r="BA16" i="4"/>
  <c r="BA6" i="4"/>
  <c r="BA7" i="4"/>
  <c r="BA12" i="4"/>
  <c r="BC2" i="4" l="1"/>
  <c r="BC4" i="4"/>
  <c r="BC5" i="4" s="1"/>
  <c r="BD3" i="4"/>
  <c r="BB21" i="4"/>
  <c r="BB18" i="4"/>
  <c r="BB15" i="4"/>
  <c r="BB11" i="4"/>
  <c r="BB9" i="4"/>
  <c r="BB20" i="4"/>
  <c r="BB17" i="4"/>
  <c r="BB10" i="4"/>
  <c r="BB6" i="4"/>
  <c r="BB16" i="4"/>
  <c r="BB14" i="4"/>
  <c r="BB19" i="4"/>
  <c r="BB7" i="4"/>
  <c r="BB13" i="4"/>
  <c r="BB12" i="4"/>
  <c r="BB8" i="4"/>
  <c r="BD2" i="4" l="1"/>
  <c r="BE3" i="4"/>
  <c r="BD4" i="4"/>
  <c r="BD5" i="4" s="1"/>
  <c r="BC21" i="4"/>
  <c r="BC20" i="4"/>
  <c r="BC15" i="4"/>
  <c r="BC17" i="4"/>
  <c r="BC16" i="4"/>
  <c r="BC11" i="4"/>
  <c r="BC7" i="4"/>
  <c r="BC10" i="4"/>
  <c r="BC13" i="4"/>
  <c r="BC18" i="4"/>
  <c r="BC9" i="4"/>
  <c r="BC12" i="4"/>
  <c r="BC6" i="4"/>
  <c r="BC19" i="4"/>
  <c r="BC14" i="4"/>
  <c r="BC8" i="4"/>
  <c r="BD15" i="4" l="1"/>
  <c r="BD11" i="4"/>
  <c r="BD8" i="4"/>
  <c r="BD12" i="4"/>
  <c r="BD18" i="4"/>
  <c r="BD19" i="4"/>
  <c r="BD10" i="4"/>
  <c r="BD17" i="4"/>
  <c r="BD20" i="4"/>
  <c r="BD7" i="4"/>
  <c r="BD14" i="4"/>
  <c r="BD9" i="4"/>
  <c r="BD16" i="4"/>
  <c r="BD13" i="4"/>
  <c r="BD21" i="4"/>
  <c r="BD6" i="4"/>
  <c r="BF3" i="4"/>
  <c r="BE2" i="4"/>
  <c r="BE4" i="4"/>
  <c r="BE5" i="4" s="1"/>
  <c r="BE13" i="4" l="1"/>
  <c r="BE15" i="4"/>
  <c r="BE14" i="4"/>
  <c r="BE11" i="4"/>
  <c r="BE12" i="4"/>
  <c r="BE8" i="4"/>
  <c r="BE10" i="4"/>
  <c r="BE17" i="4"/>
  <c r="BE7" i="4"/>
  <c r="BE9" i="4"/>
  <c r="BE21" i="4"/>
  <c r="BE20" i="4"/>
  <c r="BE6" i="4"/>
  <c r="BE18" i="4"/>
  <c r="BE19" i="4"/>
  <c r="BE16" i="4"/>
  <c r="BF2" i="4"/>
  <c r="BG3" i="4"/>
  <c r="BF4" i="4"/>
  <c r="BF5" i="4" s="1"/>
  <c r="BF18" i="4" l="1"/>
  <c r="BF13" i="4"/>
  <c r="BF15" i="4"/>
  <c r="BF11" i="4"/>
  <c r="BF6" i="4"/>
  <c r="BF8" i="4"/>
  <c r="BF9" i="4"/>
  <c r="BF7" i="4"/>
  <c r="BF19" i="4"/>
  <c r="BF12" i="4"/>
  <c r="BF16" i="4"/>
  <c r="BF20" i="4"/>
  <c r="BF21" i="4"/>
  <c r="BF10" i="4"/>
  <c r="BF14" i="4"/>
  <c r="BF17" i="4"/>
  <c r="BG4" i="4"/>
  <c r="BG5" i="4" s="1"/>
  <c r="BG2" i="4"/>
  <c r="BH3" i="4"/>
  <c r="BH4" i="4" l="1"/>
  <c r="BH5" i="4" s="1"/>
  <c r="BH2" i="4"/>
  <c r="BI3" i="4"/>
  <c r="BG21" i="4"/>
  <c r="BG18" i="4"/>
  <c r="BG13" i="4"/>
  <c r="BG17" i="4"/>
  <c r="BG15" i="4"/>
  <c r="BG12" i="4"/>
  <c r="BG16" i="4"/>
  <c r="BG11" i="4"/>
  <c r="BG7" i="4"/>
  <c r="BG19" i="4"/>
  <c r="BG9" i="4"/>
  <c r="BG6" i="4"/>
  <c r="BG14" i="4"/>
  <c r="BG20" i="4"/>
  <c r="BG8" i="4"/>
  <c r="BG10" i="4"/>
  <c r="BI4" i="4" l="1"/>
  <c r="BI5" i="4" s="1"/>
  <c r="BJ3" i="4"/>
  <c r="BI2" i="4"/>
  <c r="BH18" i="4"/>
  <c r="BH16" i="4"/>
  <c r="BH17" i="4"/>
  <c r="BH15" i="4"/>
  <c r="BH13" i="4"/>
  <c r="BH12" i="4"/>
  <c r="BH11" i="4"/>
  <c r="BH9" i="4"/>
  <c r="BH7" i="4"/>
  <c r="BH14" i="4"/>
  <c r="BH6" i="4"/>
  <c r="BH19" i="4"/>
  <c r="BH21" i="4"/>
  <c r="BH20" i="4"/>
  <c r="BH10" i="4"/>
  <c r="BH8" i="4"/>
  <c r="BJ4" i="4" l="1"/>
  <c r="BJ5" i="4" s="1"/>
  <c r="BJ2" i="4"/>
  <c r="BK3" i="4"/>
  <c r="BI21" i="4"/>
  <c r="BI16" i="4"/>
  <c r="BI15" i="4"/>
  <c r="BI18" i="4"/>
  <c r="BI17" i="4"/>
  <c r="BI13" i="4"/>
  <c r="BI11" i="4"/>
  <c r="BI10" i="4"/>
  <c r="BI6" i="4"/>
  <c r="BI7" i="4"/>
  <c r="BI8" i="4"/>
  <c r="BI14" i="4"/>
  <c r="BI20" i="4"/>
  <c r="BI9" i="4"/>
  <c r="BI19" i="4"/>
  <c r="BI12" i="4"/>
  <c r="BK4" i="4" l="1"/>
  <c r="BK5" i="4" s="1"/>
  <c r="BK2" i="4"/>
  <c r="BL3" i="4"/>
  <c r="BJ15" i="4"/>
  <c r="BJ16" i="4"/>
  <c r="BJ11" i="4"/>
  <c r="BJ14" i="4"/>
  <c r="BJ12" i="4"/>
  <c r="BJ17" i="4"/>
  <c r="BJ18" i="4"/>
  <c r="BJ9" i="4"/>
  <c r="BJ7" i="4"/>
  <c r="BJ19" i="4"/>
  <c r="BJ8" i="4"/>
  <c r="BJ6" i="4"/>
  <c r="BJ10" i="4"/>
  <c r="BJ20" i="4"/>
  <c r="BJ21" i="4"/>
  <c r="BJ13" i="4"/>
  <c r="BL4" i="4" l="1"/>
  <c r="BL5" i="4" s="1"/>
  <c r="BL2" i="4"/>
  <c r="BM3" i="4"/>
  <c r="BK21" i="4"/>
  <c r="BK20" i="4"/>
  <c r="BK14" i="4"/>
  <c r="BK13" i="4"/>
  <c r="BK11" i="4"/>
  <c r="BK18" i="4"/>
  <c r="BK6" i="4"/>
  <c r="BK7" i="4"/>
  <c r="BK12" i="4"/>
  <c r="BK8" i="4"/>
  <c r="BK16" i="4"/>
  <c r="BK9" i="4"/>
  <c r="BK10" i="4"/>
  <c r="BK15" i="4"/>
  <c r="BK17" i="4"/>
  <c r="BK19" i="4"/>
  <c r="BM2" i="4" l="1"/>
  <c r="BN3" i="4"/>
  <c r="BM4" i="4"/>
  <c r="BM5" i="4" s="1"/>
  <c r="BL21" i="4"/>
  <c r="BL20" i="4"/>
  <c r="BL11" i="4"/>
  <c r="BL13" i="4"/>
  <c r="BL12" i="4"/>
  <c r="BL14" i="4"/>
  <c r="BL7" i="4"/>
  <c r="BL9" i="4"/>
  <c r="BL10" i="4"/>
  <c r="BL8" i="4"/>
  <c r="BL17" i="4"/>
  <c r="BL16" i="4"/>
  <c r="BL6" i="4"/>
  <c r="BL18" i="4"/>
  <c r="BL19" i="4"/>
  <c r="BL15" i="4"/>
  <c r="BM21" i="4" l="1"/>
  <c r="BM20" i="4"/>
  <c r="BM14" i="4"/>
  <c r="BM13" i="4"/>
  <c r="BM10" i="4"/>
  <c r="BM11" i="4"/>
  <c r="BM8" i="4"/>
  <c r="BM12" i="4"/>
  <c r="BM19" i="4"/>
  <c r="BM6" i="4"/>
  <c r="BM15" i="4"/>
  <c r="BM9" i="4"/>
  <c r="BM18" i="4"/>
  <c r="BM7" i="4"/>
  <c r="BM17" i="4"/>
  <c r="BM16" i="4"/>
  <c r="BO3" i="4"/>
  <c r="BN2" i="4"/>
  <c r="BN4" i="4"/>
  <c r="BN5" i="4" s="1"/>
  <c r="BN21" i="4" l="1"/>
  <c r="BN14" i="4"/>
  <c r="BN11" i="4"/>
  <c r="BN13" i="4"/>
  <c r="BN20" i="4"/>
  <c r="BN18" i="4"/>
  <c r="BN8" i="4"/>
  <c r="BN7" i="4"/>
  <c r="BN9" i="4"/>
  <c r="BN16" i="4"/>
  <c r="BN19" i="4"/>
  <c r="BN6" i="4"/>
  <c r="BN12" i="4"/>
  <c r="BN17" i="4"/>
  <c r="BN10" i="4"/>
  <c r="BN15" i="4"/>
  <c r="BP3" i="4"/>
  <c r="BO4" i="4"/>
  <c r="BO5" i="4" s="1"/>
  <c r="BO2" i="4"/>
  <c r="BO18" i="4" l="1"/>
  <c r="BO20" i="4"/>
  <c r="BO21" i="4"/>
  <c r="BO14" i="4"/>
  <c r="BO13" i="4"/>
  <c r="BO10" i="4"/>
  <c r="BO6" i="4"/>
  <c r="BO7" i="4"/>
  <c r="BO19" i="4"/>
  <c r="BO11" i="4"/>
  <c r="BO12" i="4"/>
  <c r="BO9" i="4"/>
  <c r="BO16" i="4"/>
  <c r="BO8" i="4"/>
  <c r="BO15" i="4"/>
  <c r="BO17" i="4"/>
  <c r="BP4" i="4"/>
  <c r="BP5" i="4" s="1"/>
  <c r="BQ3" i="4"/>
  <c r="BP2" i="4"/>
  <c r="BQ4" i="4" l="1"/>
  <c r="BQ5" i="4" s="1"/>
  <c r="BR3" i="4"/>
  <c r="BQ2" i="4"/>
  <c r="BP21" i="4"/>
  <c r="BP18" i="4"/>
  <c r="BP20" i="4"/>
  <c r="BP17" i="4"/>
  <c r="BP13" i="4"/>
  <c r="BP7" i="4"/>
  <c r="BP9" i="4"/>
  <c r="BP10" i="4"/>
  <c r="BP6" i="4"/>
  <c r="BP8" i="4"/>
  <c r="BP19" i="4"/>
  <c r="BP16" i="4"/>
  <c r="BP14" i="4"/>
  <c r="BP15" i="4"/>
  <c r="BP11" i="4"/>
  <c r="BP12" i="4"/>
  <c r="BS3" i="4" l="1"/>
  <c r="BR4" i="4"/>
  <c r="BR5" i="4" s="1"/>
  <c r="BR2" i="4"/>
  <c r="BQ21" i="4"/>
  <c r="BQ18" i="4"/>
  <c r="BQ15" i="4"/>
  <c r="BQ13" i="4"/>
  <c r="BQ12" i="4"/>
  <c r="BQ17" i="4"/>
  <c r="BQ7" i="4"/>
  <c r="BQ9" i="4"/>
  <c r="BQ6" i="4"/>
  <c r="BQ10" i="4"/>
  <c r="BQ14" i="4"/>
  <c r="BQ11" i="4"/>
  <c r="BQ16" i="4"/>
  <c r="BQ19" i="4"/>
  <c r="BQ8" i="4"/>
  <c r="BQ20" i="4"/>
  <c r="BR21" i="4" l="1"/>
  <c r="BR18" i="4"/>
  <c r="BR15" i="4"/>
  <c r="BR11" i="4"/>
  <c r="BR13" i="4"/>
  <c r="BR17" i="4"/>
  <c r="BR9" i="4"/>
  <c r="BR6" i="4"/>
  <c r="BR12" i="4"/>
  <c r="BR8" i="4"/>
  <c r="BR10" i="4"/>
  <c r="BR7" i="4"/>
  <c r="BR14" i="4"/>
  <c r="BR19" i="4"/>
  <c r="BR20" i="4"/>
  <c r="BR16" i="4"/>
  <c r="BS4" i="4"/>
  <c r="BS5" i="4" s="1"/>
  <c r="BS2" i="4"/>
  <c r="BT3" i="4"/>
  <c r="BT4" i="4" l="1"/>
  <c r="BT5" i="4" s="1"/>
  <c r="BU3" i="4"/>
  <c r="BT2" i="4"/>
  <c r="BS18" i="4"/>
  <c r="BS15" i="4"/>
  <c r="BS21" i="4"/>
  <c r="BS11" i="4"/>
  <c r="BS10" i="4"/>
  <c r="BS6" i="4"/>
  <c r="BS9" i="4"/>
  <c r="BS7" i="4"/>
  <c r="BS16" i="4"/>
  <c r="BS19" i="4"/>
  <c r="BS17" i="4"/>
  <c r="BS12" i="4"/>
  <c r="BS8" i="4"/>
  <c r="BS14" i="4"/>
  <c r="BS13" i="4"/>
  <c r="BS20" i="4"/>
  <c r="BU2" i="4" l="1"/>
  <c r="BU4" i="4"/>
  <c r="BU5" i="4" s="1"/>
  <c r="BV3" i="4"/>
  <c r="BT18" i="4"/>
  <c r="BT21" i="4"/>
  <c r="BT14" i="4"/>
  <c r="BT10" i="4"/>
  <c r="BT11" i="4"/>
  <c r="BT9" i="4"/>
  <c r="BT6" i="4"/>
  <c r="BT12" i="4"/>
  <c r="BT7" i="4"/>
  <c r="BT19" i="4"/>
  <c r="BT15" i="4"/>
  <c r="BT8" i="4"/>
  <c r="BT17" i="4"/>
  <c r="BT20" i="4"/>
  <c r="BT13" i="4"/>
  <c r="BT16" i="4"/>
  <c r="BV2" i="4" l="1"/>
  <c r="BV4" i="4"/>
  <c r="BV5" i="4" s="1"/>
  <c r="BW3" i="4"/>
  <c r="BU20" i="4"/>
  <c r="BU21" i="4"/>
  <c r="BU11" i="4"/>
  <c r="BU9" i="4"/>
  <c r="BU6" i="4"/>
  <c r="BU7" i="4"/>
  <c r="BU10" i="4"/>
  <c r="BU17" i="4"/>
  <c r="BU14" i="4"/>
  <c r="BU16" i="4"/>
  <c r="BU15" i="4"/>
  <c r="BU8" i="4"/>
  <c r="BU13" i="4"/>
  <c r="BU18" i="4"/>
  <c r="BU19" i="4"/>
  <c r="BU12" i="4"/>
  <c r="BW4" i="4" l="1"/>
  <c r="BW5" i="4" s="1"/>
  <c r="BX3" i="4"/>
  <c r="BW2" i="4"/>
  <c r="BV13" i="4"/>
  <c r="BV16" i="4"/>
  <c r="BV11" i="4"/>
  <c r="BV6" i="4"/>
  <c r="BV9" i="4"/>
  <c r="BV14" i="4"/>
  <c r="BV8" i="4"/>
  <c r="BV10" i="4"/>
  <c r="BV18" i="4"/>
  <c r="BV15" i="4"/>
  <c r="BV19" i="4"/>
  <c r="BV20" i="4"/>
  <c r="BV12" i="4"/>
  <c r="BV7" i="4"/>
  <c r="BV21" i="4"/>
  <c r="BV17" i="4"/>
  <c r="BX4" i="4" l="1"/>
  <c r="BX5" i="4" s="1"/>
  <c r="BY3" i="4"/>
  <c r="BX2" i="4"/>
  <c r="BW15" i="4"/>
  <c r="BW13" i="4"/>
  <c r="BW11" i="4"/>
  <c r="BW12" i="4"/>
  <c r="BW9" i="4"/>
  <c r="BW6" i="4"/>
  <c r="BW7" i="4"/>
  <c r="BW10" i="4"/>
  <c r="BW8" i="4"/>
  <c r="BW19" i="4"/>
  <c r="BW14" i="4"/>
  <c r="BW20" i="4"/>
  <c r="BW21" i="4"/>
  <c r="BW16" i="4"/>
  <c r="BW18" i="4"/>
  <c r="BW17" i="4"/>
  <c r="BY4" i="4" l="1"/>
  <c r="BY5" i="4" s="1"/>
  <c r="BZ3" i="4"/>
  <c r="BY2" i="4"/>
  <c r="BX18" i="4"/>
  <c r="BX15" i="4"/>
  <c r="BX11" i="4"/>
  <c r="BX14" i="4"/>
  <c r="BX13" i="4"/>
  <c r="BX9" i="4"/>
  <c r="BX7" i="4"/>
  <c r="BX8" i="4"/>
  <c r="BX6" i="4"/>
  <c r="BX19" i="4"/>
  <c r="BX12" i="4"/>
  <c r="BX20" i="4"/>
  <c r="BX21" i="4"/>
  <c r="BX16" i="4"/>
  <c r="BX17" i="4"/>
  <c r="BX10" i="4"/>
  <c r="BZ4" i="4" l="1"/>
  <c r="BZ5" i="4" s="1"/>
  <c r="CA3" i="4"/>
  <c r="BZ2" i="4"/>
  <c r="BY20" i="4"/>
  <c r="BY13" i="4"/>
  <c r="BY9" i="4"/>
  <c r="BY11" i="4"/>
  <c r="BY10" i="4"/>
  <c r="BY18" i="4"/>
  <c r="BY15" i="4"/>
  <c r="BY7" i="4"/>
  <c r="BY6" i="4"/>
  <c r="BY16" i="4"/>
  <c r="BY8" i="4"/>
  <c r="BY21" i="4"/>
  <c r="BY14" i="4"/>
  <c r="BY17" i="4"/>
  <c r="BY12" i="4"/>
  <c r="BY19" i="4"/>
  <c r="CA2" i="4" l="1"/>
  <c r="CA4" i="4"/>
  <c r="CA5" i="4" s="1"/>
  <c r="CB3" i="4"/>
  <c r="BZ20" i="4"/>
  <c r="BZ17" i="4"/>
  <c r="BZ16" i="4"/>
  <c r="BZ18" i="4"/>
  <c r="BZ11" i="4"/>
  <c r="BZ10" i="4"/>
  <c r="BZ15" i="4"/>
  <c r="BZ7" i="4"/>
  <c r="BZ9" i="4"/>
  <c r="BZ8" i="4"/>
  <c r="BZ6" i="4"/>
  <c r="BZ19" i="4"/>
  <c r="BZ12" i="4"/>
  <c r="BZ13" i="4"/>
  <c r="BZ14" i="4"/>
  <c r="BZ21" i="4"/>
  <c r="CB2" i="4" l="1"/>
  <c r="CB4" i="4"/>
  <c r="CB5" i="4" s="1"/>
  <c r="CC3" i="4"/>
  <c r="CA21" i="4"/>
  <c r="CA20" i="4"/>
  <c r="CA13" i="4"/>
  <c r="CA17" i="4"/>
  <c r="CA18" i="4"/>
  <c r="CA16" i="4"/>
  <c r="CA11" i="4"/>
  <c r="CA15" i="4"/>
  <c r="CA7" i="4"/>
  <c r="CA10" i="4"/>
  <c r="CA6" i="4"/>
  <c r="CA19" i="4"/>
  <c r="CA9" i="4"/>
  <c r="CA14" i="4"/>
  <c r="CA8" i="4"/>
  <c r="CA12" i="4"/>
  <c r="CC2" i="4" l="1"/>
  <c r="CC4" i="4"/>
  <c r="CC5" i="4" s="1"/>
  <c r="CD3" i="4"/>
  <c r="CB21" i="4"/>
  <c r="CB20" i="4"/>
  <c r="CB13" i="4"/>
  <c r="CB16" i="4"/>
  <c r="CB11" i="4"/>
  <c r="CB17" i="4"/>
  <c r="CB12" i="4"/>
  <c r="CB10" i="4"/>
  <c r="CB14" i="4"/>
  <c r="CB8" i="4"/>
  <c r="CB7" i="4"/>
  <c r="CB6" i="4"/>
  <c r="CB18" i="4"/>
  <c r="CB19" i="4"/>
  <c r="CB9" i="4"/>
  <c r="CB15" i="4"/>
  <c r="CD4" i="4" l="1"/>
  <c r="CD5" i="4" s="1"/>
  <c r="CE3" i="4"/>
  <c r="CD2" i="4"/>
  <c r="CC20" i="4"/>
  <c r="CC21" i="4"/>
  <c r="CC13" i="4"/>
  <c r="CC16" i="4"/>
  <c r="CC11" i="4"/>
  <c r="CC12" i="4"/>
  <c r="CC14" i="4"/>
  <c r="CC7" i="4"/>
  <c r="CC6" i="4"/>
  <c r="CC17" i="4"/>
  <c r="CC9" i="4"/>
  <c r="CC8" i="4"/>
  <c r="CC10" i="4"/>
  <c r="CC15" i="4"/>
  <c r="CC18" i="4"/>
  <c r="CC19" i="4"/>
  <c r="CF3" i="4" l="1"/>
  <c r="CE4" i="4"/>
  <c r="CE5" i="4" s="1"/>
  <c r="CE2" i="4"/>
  <c r="CD20" i="4"/>
  <c r="CD21" i="4"/>
  <c r="CD18" i="4"/>
  <c r="CD13" i="4"/>
  <c r="CD16" i="4"/>
  <c r="CD11" i="4"/>
  <c r="CD12" i="4"/>
  <c r="CD8" i="4"/>
  <c r="CD7" i="4"/>
  <c r="CD19" i="4"/>
  <c r="CD10" i="4"/>
  <c r="CD14" i="4"/>
  <c r="CD6" i="4"/>
  <c r="CD9" i="4"/>
  <c r="CD17" i="4"/>
  <c r="CD15" i="4"/>
  <c r="CE21" i="4" l="1"/>
  <c r="CE18" i="4"/>
  <c r="CE13" i="4"/>
  <c r="CE12" i="4"/>
  <c r="CE16" i="4"/>
  <c r="CE15" i="4"/>
  <c r="CE7" i="4"/>
  <c r="CE19" i="4"/>
  <c r="CE6" i="4"/>
  <c r="CE11" i="4"/>
  <c r="CE8" i="4"/>
  <c r="CE17" i="4"/>
  <c r="CE14" i="4"/>
  <c r="CE20" i="4"/>
  <c r="CE9" i="4"/>
  <c r="CE10" i="4"/>
  <c r="CF4" i="4"/>
  <c r="CF5" i="4" s="1"/>
  <c r="CG3" i="4"/>
  <c r="CF2" i="4"/>
  <c r="CF15" i="4" l="1"/>
  <c r="CF13" i="4"/>
  <c r="CF21" i="4"/>
  <c r="CF12" i="4"/>
  <c r="CF18" i="4"/>
  <c r="CF19" i="4"/>
  <c r="CF8" i="4"/>
  <c r="CF14" i="4"/>
  <c r="CF20" i="4"/>
  <c r="CF16" i="4"/>
  <c r="CF6" i="4"/>
  <c r="CF10" i="4"/>
  <c r="CF17" i="4"/>
  <c r="CF11" i="4"/>
  <c r="CF7" i="4"/>
  <c r="CF9" i="4"/>
  <c r="CG4" i="4"/>
  <c r="CG5" i="4" s="1"/>
  <c r="CH3" i="4"/>
  <c r="CG2" i="4"/>
  <c r="CH2" i="4" l="1"/>
  <c r="CI3" i="4"/>
  <c r="CH4" i="4"/>
  <c r="CH5" i="4" s="1"/>
  <c r="CG21" i="4"/>
  <c r="CG18" i="4"/>
  <c r="CG12" i="4"/>
  <c r="CG13" i="4"/>
  <c r="CG6" i="4"/>
  <c r="CG20" i="4"/>
  <c r="CG14" i="4"/>
  <c r="CG16" i="4"/>
  <c r="CG9" i="4"/>
  <c r="CG11" i="4"/>
  <c r="CG8" i="4"/>
  <c r="CG17" i="4"/>
  <c r="CG10" i="4"/>
  <c r="CG7" i="4"/>
  <c r="CG19" i="4"/>
  <c r="CG15" i="4"/>
  <c r="CH21" i="4" l="1"/>
  <c r="CH18" i="4"/>
  <c r="CH20" i="4"/>
  <c r="CH11" i="4"/>
  <c r="CH13" i="4"/>
  <c r="CH12" i="4"/>
  <c r="CH10" i="4"/>
  <c r="CH6" i="4"/>
  <c r="CH14" i="4"/>
  <c r="CH8" i="4"/>
  <c r="CH9" i="4"/>
  <c r="CH19" i="4"/>
  <c r="CH7" i="4"/>
  <c r="CH15" i="4"/>
  <c r="CH16" i="4"/>
  <c r="CH17" i="4"/>
  <c r="CJ3" i="4"/>
  <c r="CI2" i="4"/>
  <c r="CI4" i="4"/>
  <c r="CI5" i="4" s="1"/>
  <c r="CI21" i="4" l="1"/>
  <c r="CI20" i="4"/>
  <c r="CI18" i="4"/>
  <c r="CI16" i="4"/>
  <c r="CI13" i="4"/>
  <c r="CI11" i="4"/>
  <c r="CI12" i="4"/>
  <c r="CI7" i="4"/>
  <c r="CI10" i="4"/>
  <c r="CI6" i="4"/>
  <c r="CI19" i="4"/>
  <c r="CI14" i="4"/>
  <c r="CI8" i="4"/>
  <c r="CI9" i="4"/>
  <c r="CI17" i="4"/>
  <c r="CI15" i="4"/>
  <c r="CJ2" i="4"/>
  <c r="CK3" i="4"/>
  <c r="CJ4" i="4"/>
  <c r="CJ5" i="4" s="1"/>
  <c r="CJ18" i="4" l="1"/>
  <c r="CJ21" i="4"/>
  <c r="CJ14" i="4"/>
  <c r="CJ11" i="4"/>
  <c r="CJ15" i="4"/>
  <c r="CJ6" i="4"/>
  <c r="CJ8" i="4"/>
  <c r="CJ7" i="4"/>
  <c r="CJ12" i="4"/>
  <c r="CJ10" i="4"/>
  <c r="CJ16" i="4"/>
  <c r="CJ13" i="4"/>
  <c r="CJ19" i="4"/>
  <c r="CJ20" i="4"/>
  <c r="CJ17" i="4"/>
  <c r="CJ9" i="4"/>
  <c r="CL3" i="4"/>
  <c r="CK4" i="4"/>
  <c r="CK5" i="4" s="1"/>
  <c r="CK2" i="4"/>
  <c r="CK21" i="4" l="1"/>
  <c r="CK20" i="4"/>
  <c r="CK18" i="4"/>
  <c r="CK11" i="4"/>
  <c r="CK16" i="4"/>
  <c r="CK15" i="4"/>
  <c r="CK9" i="4"/>
  <c r="CK14" i="4"/>
  <c r="CK7" i="4"/>
  <c r="CK8" i="4"/>
  <c r="CK10" i="4"/>
  <c r="CK13" i="4"/>
  <c r="CK12" i="4"/>
  <c r="CK17" i="4"/>
  <c r="CK6" i="4"/>
  <c r="CK19" i="4"/>
  <c r="CM3" i="4"/>
  <c r="CL2" i="4"/>
  <c r="CL4" i="4"/>
  <c r="CL5" i="4" s="1"/>
  <c r="CL21" i="4" l="1"/>
  <c r="CL18" i="4"/>
  <c r="CL15" i="4"/>
  <c r="CL11" i="4"/>
  <c r="CL16" i="4"/>
  <c r="CL9" i="4"/>
  <c r="CL8" i="4"/>
  <c r="CL19" i="4"/>
  <c r="CL7" i="4"/>
  <c r="CL10" i="4"/>
  <c r="CL13" i="4"/>
  <c r="CL12" i="4"/>
  <c r="CL14" i="4"/>
  <c r="CL17" i="4"/>
  <c r="CL6" i="4"/>
  <c r="CL20" i="4"/>
  <c r="CM4" i="4"/>
  <c r="CM5" i="4" s="1"/>
  <c r="CM2" i="4"/>
  <c r="CN3" i="4"/>
  <c r="CN4" i="4" l="1"/>
  <c r="CN5" i="4" s="1"/>
  <c r="CN2" i="4"/>
  <c r="CO3" i="4"/>
  <c r="CM21" i="4"/>
  <c r="CM16" i="4"/>
  <c r="CM13" i="4"/>
  <c r="CM14" i="4"/>
  <c r="CM15" i="4"/>
  <c r="CM11" i="4"/>
  <c r="CM10" i="4"/>
  <c r="CM9" i="4"/>
  <c r="CM7" i="4"/>
  <c r="CM6" i="4"/>
  <c r="CM18" i="4"/>
  <c r="CM8" i="4"/>
  <c r="CM19" i="4"/>
  <c r="CM20" i="4"/>
  <c r="CM17" i="4"/>
  <c r="CM12" i="4"/>
  <c r="CO2" i="4" l="1"/>
  <c r="CO4" i="4"/>
  <c r="CO5" i="4" s="1"/>
  <c r="CP3" i="4"/>
  <c r="CN15" i="4"/>
  <c r="CN17" i="4"/>
  <c r="CN14" i="4"/>
  <c r="CN13" i="4"/>
  <c r="CN9" i="4"/>
  <c r="CN11" i="4"/>
  <c r="CN12" i="4"/>
  <c r="CN7" i="4"/>
  <c r="CN10" i="4"/>
  <c r="CN20" i="4"/>
  <c r="CN16" i="4"/>
  <c r="CN19" i="4"/>
  <c r="CN8" i="4"/>
  <c r="CN21" i="4"/>
  <c r="CN6" i="4"/>
  <c r="CN18" i="4"/>
  <c r="CP4" i="4" l="1"/>
  <c r="CP5" i="4" s="1"/>
  <c r="CP2" i="4"/>
  <c r="CQ3" i="4"/>
  <c r="CO15" i="4"/>
  <c r="CO13" i="4"/>
  <c r="CO11" i="4"/>
  <c r="CO12" i="4"/>
  <c r="CO9" i="4"/>
  <c r="CO17" i="4"/>
  <c r="CO6" i="4"/>
  <c r="CO14" i="4"/>
  <c r="CO18" i="4"/>
  <c r="CO8" i="4"/>
  <c r="CO20" i="4"/>
  <c r="CO21" i="4"/>
  <c r="CO10" i="4"/>
  <c r="CO19" i="4"/>
  <c r="CO7" i="4"/>
  <c r="CO16" i="4"/>
  <c r="CQ2" i="4" l="1"/>
  <c r="CR3" i="4"/>
  <c r="CQ4" i="4"/>
  <c r="CQ5" i="4" s="1"/>
  <c r="CP18" i="4"/>
  <c r="CP14" i="4"/>
  <c r="CP11" i="4"/>
  <c r="CP6" i="4"/>
  <c r="CP10" i="4"/>
  <c r="CP8" i="4"/>
  <c r="CP19" i="4"/>
  <c r="CP9" i="4"/>
  <c r="CP7" i="4"/>
  <c r="CP21" i="4"/>
  <c r="CP20" i="4"/>
  <c r="CP17" i="4"/>
  <c r="CP12" i="4"/>
  <c r="CP16" i="4"/>
  <c r="CP13" i="4"/>
  <c r="CP15" i="4"/>
  <c r="CQ18" i="4" l="1"/>
  <c r="CQ13" i="4"/>
  <c r="CQ17" i="4"/>
  <c r="CQ11" i="4"/>
  <c r="CQ9" i="4"/>
  <c r="CQ6" i="4"/>
  <c r="CQ14" i="4"/>
  <c r="CQ7" i="4"/>
  <c r="CQ19" i="4"/>
  <c r="CQ21" i="4"/>
  <c r="CQ15" i="4"/>
  <c r="CQ8" i="4"/>
  <c r="CQ12" i="4"/>
  <c r="CQ16" i="4"/>
  <c r="CQ20" i="4"/>
  <c r="CQ10" i="4"/>
  <c r="CR2" i="4"/>
  <c r="CS3" i="4"/>
  <c r="CR4" i="4"/>
  <c r="CR5" i="4" s="1"/>
  <c r="CR13" i="4" l="1"/>
  <c r="CR20" i="4"/>
  <c r="CR11" i="4"/>
  <c r="CR9" i="4"/>
  <c r="CR17" i="4"/>
  <c r="CR7" i="4"/>
  <c r="CR10" i="4"/>
  <c r="CR19" i="4"/>
  <c r="CR8" i="4"/>
  <c r="CR12" i="4"/>
  <c r="CR14" i="4"/>
  <c r="CR15" i="4"/>
  <c r="CR21" i="4"/>
  <c r="CR16" i="4"/>
  <c r="CR6" i="4"/>
  <c r="CR18" i="4"/>
  <c r="CS2" i="4"/>
  <c r="CS4" i="4"/>
  <c r="CS5" i="4" s="1"/>
  <c r="CT3" i="4"/>
  <c r="CT4" i="4" l="1"/>
  <c r="CT5" i="4" s="1"/>
  <c r="CU3" i="4"/>
  <c r="CT2" i="4"/>
  <c r="CS21" i="4"/>
  <c r="CS20" i="4"/>
  <c r="CS17" i="4"/>
  <c r="CS11" i="4"/>
  <c r="CS13" i="4"/>
  <c r="CS7" i="4"/>
  <c r="CS10" i="4"/>
  <c r="CS14" i="4"/>
  <c r="CS8" i="4"/>
  <c r="CS6" i="4"/>
  <c r="CS9" i="4"/>
  <c r="CS16" i="4"/>
  <c r="CS19" i="4"/>
  <c r="CS15" i="4"/>
  <c r="CS18" i="4"/>
  <c r="CS12" i="4"/>
  <c r="CU4" i="4" l="1"/>
  <c r="CU5" i="4" s="1"/>
  <c r="CV3" i="4"/>
  <c r="CU2" i="4"/>
  <c r="CT18" i="4"/>
  <c r="CT21" i="4"/>
  <c r="CT13" i="4"/>
  <c r="CT20" i="4"/>
  <c r="CT11" i="4"/>
  <c r="CT7" i="4"/>
  <c r="CT12" i="4"/>
  <c r="CT8" i="4"/>
  <c r="CT6" i="4"/>
  <c r="CT10" i="4"/>
  <c r="CT17" i="4"/>
  <c r="CT19" i="4"/>
  <c r="CT14" i="4"/>
  <c r="CT9" i="4"/>
  <c r="CT16" i="4"/>
  <c r="CT15" i="4"/>
  <c r="CV4" i="4" l="1"/>
  <c r="CV5" i="4" s="1"/>
  <c r="CW3" i="4"/>
  <c r="CV2" i="4"/>
  <c r="CU18" i="4"/>
  <c r="CU21" i="4"/>
  <c r="CU13" i="4"/>
  <c r="CU20" i="4"/>
  <c r="CU9" i="4"/>
  <c r="CU10" i="4"/>
  <c r="CU7" i="4"/>
  <c r="CU11" i="4"/>
  <c r="CU14" i="4"/>
  <c r="CU8" i="4"/>
  <c r="CU17" i="4"/>
  <c r="CU6" i="4"/>
  <c r="CU16" i="4"/>
  <c r="CU12" i="4"/>
  <c r="CU15" i="4"/>
  <c r="CU19" i="4"/>
  <c r="CW4" i="4" l="1"/>
  <c r="CW5" i="4" s="1"/>
  <c r="CX3" i="4"/>
  <c r="CW2" i="4"/>
  <c r="CV20" i="4"/>
  <c r="CV18" i="4"/>
  <c r="CV21" i="4"/>
  <c r="CV13" i="4"/>
  <c r="CV15" i="4"/>
  <c r="CV10" i="4"/>
  <c r="CV9" i="4"/>
  <c r="CV7" i="4"/>
  <c r="CV14" i="4"/>
  <c r="CV19" i="4"/>
  <c r="CV17" i="4"/>
  <c r="CV16" i="4"/>
  <c r="CV6" i="4"/>
  <c r="CV12" i="4"/>
  <c r="CV8" i="4"/>
  <c r="CV11" i="4"/>
  <c r="CX4" i="4" l="1"/>
  <c r="CX5" i="4" s="1"/>
  <c r="CY3" i="4"/>
  <c r="CX2" i="4"/>
  <c r="CW20" i="4"/>
  <c r="CW21" i="4"/>
  <c r="CW18" i="4"/>
  <c r="CW15" i="4"/>
  <c r="CW9" i="4"/>
  <c r="CW6" i="4"/>
  <c r="CW13" i="4"/>
  <c r="CW7" i="4"/>
  <c r="CW10" i="4"/>
  <c r="CW19" i="4"/>
  <c r="CW11" i="4"/>
  <c r="CW16" i="4"/>
  <c r="CW14" i="4"/>
  <c r="CW8" i="4"/>
  <c r="CW12" i="4"/>
  <c r="CW17" i="4"/>
  <c r="CZ3" i="4" l="1"/>
  <c r="CY4" i="4"/>
  <c r="CY5" i="4" s="1"/>
  <c r="CY2" i="4"/>
  <c r="CX21" i="4"/>
  <c r="CX18" i="4"/>
  <c r="CX20" i="4"/>
  <c r="CX15" i="4"/>
  <c r="CX13" i="4"/>
  <c r="CX11" i="4"/>
  <c r="CX6" i="4"/>
  <c r="CX8" i="4"/>
  <c r="CX19" i="4"/>
  <c r="CX12" i="4"/>
  <c r="CX14" i="4"/>
  <c r="CX9" i="4"/>
  <c r="CX16" i="4"/>
  <c r="CX17" i="4"/>
  <c r="CX10" i="4"/>
  <c r="CX7" i="4"/>
  <c r="CY21" i="4" l="1"/>
  <c r="CY15" i="4"/>
  <c r="CY20" i="4"/>
  <c r="CY16" i="4"/>
  <c r="CY18" i="4"/>
  <c r="CY12" i="4"/>
  <c r="CY10" i="4"/>
  <c r="CY11" i="4"/>
  <c r="CY13" i="4"/>
  <c r="CY6" i="4"/>
  <c r="CY7" i="4"/>
  <c r="CY9" i="4"/>
  <c r="CY19" i="4"/>
  <c r="CY17" i="4"/>
  <c r="CY8" i="4"/>
  <c r="CY14" i="4"/>
  <c r="DA3" i="4"/>
  <c r="CZ4" i="4"/>
  <c r="CZ5" i="4" s="1"/>
  <c r="CZ2" i="4"/>
  <c r="CZ21" i="4" l="1"/>
  <c r="CZ18" i="4"/>
  <c r="CZ16" i="4"/>
  <c r="CZ11" i="4"/>
  <c r="CZ12" i="4"/>
  <c r="CZ10" i="4"/>
  <c r="CZ13" i="4"/>
  <c r="CZ8" i="4"/>
  <c r="CZ9" i="4"/>
  <c r="CZ14" i="4"/>
  <c r="CZ6" i="4"/>
  <c r="CZ19" i="4"/>
  <c r="CZ15" i="4"/>
  <c r="CZ7" i="4"/>
  <c r="CZ17" i="4"/>
  <c r="CZ20" i="4"/>
  <c r="DB3" i="4"/>
  <c r="DA4" i="4"/>
  <c r="DA5" i="4" s="1"/>
  <c r="DA2" i="4"/>
  <c r="DA21" i="4" l="1"/>
  <c r="DA11" i="4"/>
  <c r="DA18" i="4"/>
  <c r="DA20" i="4"/>
  <c r="DA10" i="4"/>
  <c r="DA12" i="4"/>
  <c r="DA14" i="4"/>
  <c r="DA7" i="4"/>
  <c r="DA16" i="4"/>
  <c r="DA13" i="4"/>
  <c r="DA6" i="4"/>
  <c r="DA8" i="4"/>
  <c r="DA19" i="4"/>
  <c r="DA9" i="4"/>
  <c r="DA15" i="4"/>
  <c r="DA17" i="4"/>
  <c r="DC3" i="4"/>
  <c r="DB4" i="4"/>
  <c r="DB5" i="4" s="1"/>
  <c r="DB2" i="4"/>
  <c r="DB20" i="4" l="1"/>
  <c r="DB21" i="4"/>
  <c r="DB18" i="4"/>
  <c r="DB9" i="4"/>
  <c r="DB11" i="4"/>
  <c r="DB10" i="4"/>
  <c r="DB8" i="4"/>
  <c r="DB19" i="4"/>
  <c r="DB7" i="4"/>
  <c r="DB6" i="4"/>
  <c r="DB13" i="4"/>
  <c r="DB12" i="4"/>
  <c r="DB14" i="4"/>
  <c r="DB16" i="4"/>
  <c r="DB15" i="4"/>
  <c r="DB17" i="4"/>
  <c r="DD3" i="4"/>
  <c r="DC2" i="4"/>
  <c r="DC4" i="4"/>
  <c r="DC5" i="4" s="1"/>
  <c r="DC15" i="4" l="1"/>
  <c r="DC18" i="4"/>
  <c r="DC21" i="4"/>
  <c r="DC9" i="4"/>
  <c r="DC11" i="4"/>
  <c r="DC12" i="4"/>
  <c r="DC6" i="4"/>
  <c r="DC8" i="4"/>
  <c r="DC20" i="4"/>
  <c r="DC16" i="4"/>
  <c r="DC10" i="4"/>
  <c r="DC19" i="4"/>
  <c r="DC13" i="4"/>
  <c r="DC7" i="4"/>
  <c r="DC14" i="4"/>
  <c r="DC17" i="4"/>
  <c r="DD4" i="4"/>
  <c r="DD5" i="4" s="1"/>
  <c r="DD2" i="4"/>
  <c r="DE3" i="4"/>
  <c r="DF3" i="4" l="1"/>
  <c r="DE2" i="4"/>
  <c r="DE4" i="4"/>
  <c r="DE5" i="4" s="1"/>
  <c r="DD15" i="4"/>
  <c r="DD16" i="4"/>
  <c r="DD11" i="4"/>
  <c r="DD13" i="4"/>
  <c r="DD14" i="4"/>
  <c r="DD18" i="4"/>
  <c r="DD7" i="4"/>
  <c r="DD10" i="4"/>
  <c r="DD6" i="4"/>
  <c r="DD19" i="4"/>
  <c r="DD9" i="4"/>
  <c r="DD12" i="4"/>
  <c r="DD20" i="4"/>
  <c r="DD21" i="4"/>
  <c r="DD8" i="4"/>
  <c r="DD17" i="4"/>
  <c r="DE16" i="4" l="1"/>
  <c r="DE15" i="4"/>
  <c r="DE11" i="4"/>
  <c r="DE21" i="4"/>
  <c r="DE7" i="4"/>
  <c r="DE13" i="4"/>
  <c r="DE14" i="4"/>
  <c r="DE6" i="4"/>
  <c r="DE10" i="4"/>
  <c r="DE12" i="4"/>
  <c r="DE20" i="4"/>
  <c r="DE19" i="4"/>
  <c r="DE17" i="4"/>
  <c r="DE9" i="4"/>
  <c r="DE18" i="4"/>
  <c r="DE8" i="4"/>
  <c r="DG3" i="4"/>
  <c r="DF4" i="4"/>
  <c r="DF5" i="4" s="1"/>
  <c r="DF2" i="4"/>
  <c r="DF17" i="4" l="1"/>
  <c r="DF11" i="4"/>
  <c r="DF15" i="4"/>
  <c r="DF16" i="4"/>
  <c r="DF6" i="4"/>
  <c r="DF12" i="4"/>
  <c r="DF8" i="4"/>
  <c r="DF19" i="4"/>
  <c r="DF9" i="4"/>
  <c r="DF18" i="4"/>
  <c r="DF14" i="4"/>
  <c r="DF13" i="4"/>
  <c r="DF7" i="4"/>
  <c r="DF20" i="4"/>
  <c r="DF21" i="4"/>
  <c r="DF10" i="4"/>
  <c r="DG2" i="4"/>
  <c r="DG4" i="4"/>
  <c r="DG5" i="4" s="1"/>
  <c r="DH3" i="4"/>
  <c r="DH2" i="4" l="1"/>
  <c r="DI3" i="4"/>
  <c r="DH4" i="4"/>
  <c r="DH5" i="4" s="1"/>
  <c r="DG21" i="4"/>
  <c r="DG17" i="4"/>
  <c r="DG13" i="4"/>
  <c r="DG15" i="4"/>
  <c r="DG11" i="4"/>
  <c r="DG6" i="4"/>
  <c r="DG12" i="4"/>
  <c r="DG7" i="4"/>
  <c r="DG10" i="4"/>
  <c r="DG8" i="4"/>
  <c r="DG18" i="4"/>
  <c r="DG19" i="4"/>
  <c r="DG20" i="4"/>
  <c r="DG16" i="4"/>
  <c r="DG14" i="4"/>
  <c r="DG9" i="4"/>
  <c r="DH17" i="4" l="1"/>
  <c r="DH13" i="4"/>
  <c r="DH11" i="4"/>
  <c r="DH7" i="4"/>
  <c r="DH10" i="4"/>
  <c r="DH19" i="4"/>
  <c r="DH14" i="4"/>
  <c r="DH20" i="4"/>
  <c r="DH9" i="4"/>
  <c r="DH15" i="4"/>
  <c r="DH12" i="4"/>
  <c r="DH8" i="4"/>
  <c r="DH21" i="4"/>
  <c r="DH6" i="4"/>
  <c r="DH18" i="4"/>
  <c r="DH16" i="4"/>
  <c r="DI2" i="4"/>
  <c r="DJ3" i="4"/>
  <c r="DI4" i="4"/>
  <c r="DI5" i="4" s="1"/>
  <c r="DI13" i="4" l="1"/>
  <c r="DI11" i="4"/>
  <c r="DI12" i="4"/>
  <c r="DI17" i="4"/>
  <c r="DI14" i="4"/>
  <c r="DI19" i="4"/>
  <c r="DI7" i="4"/>
  <c r="DI8" i="4"/>
  <c r="DI10" i="4"/>
  <c r="DI18" i="4"/>
  <c r="DI9" i="4"/>
  <c r="DI21" i="4"/>
  <c r="DI20" i="4"/>
  <c r="DI15" i="4"/>
  <c r="DI16" i="4"/>
  <c r="DI6" i="4"/>
  <c r="DK3" i="4"/>
  <c r="DJ2" i="4"/>
  <c r="DJ4" i="4"/>
  <c r="DJ5" i="4" s="1"/>
  <c r="DJ13" i="4" l="1"/>
  <c r="DJ18" i="4"/>
  <c r="DJ17" i="4"/>
  <c r="DJ11" i="4"/>
  <c r="DJ14" i="4"/>
  <c r="DJ12" i="4"/>
  <c r="DJ9" i="4"/>
  <c r="DJ7" i="4"/>
  <c r="DJ19" i="4"/>
  <c r="DJ8" i="4"/>
  <c r="DJ6" i="4"/>
  <c r="DJ21" i="4"/>
  <c r="DJ10" i="4"/>
  <c r="DJ16" i="4"/>
  <c r="DJ20" i="4"/>
  <c r="DJ15" i="4"/>
  <c r="DL3" i="4"/>
  <c r="DK4" i="4"/>
  <c r="DK5" i="4" s="1"/>
  <c r="DK2" i="4"/>
  <c r="DK21" i="4" l="1"/>
  <c r="DK18" i="4"/>
  <c r="DK13" i="4"/>
  <c r="DK14" i="4"/>
  <c r="DK12" i="4"/>
  <c r="DK15" i="4"/>
  <c r="DK7" i="4"/>
  <c r="DK11" i="4"/>
  <c r="DK8" i="4"/>
  <c r="DK6" i="4"/>
  <c r="DK17" i="4"/>
  <c r="DK20" i="4"/>
  <c r="DK10" i="4"/>
  <c r="DK16" i="4"/>
  <c r="DK9" i="4"/>
  <c r="DK19" i="4"/>
  <c r="DL4" i="4"/>
  <c r="DL5" i="4" s="1"/>
  <c r="DM3" i="4"/>
  <c r="DL2" i="4"/>
  <c r="DM4" i="4" l="1"/>
  <c r="DM5" i="4" s="1"/>
  <c r="DM2" i="4"/>
  <c r="DN3" i="4"/>
  <c r="DL21" i="4"/>
  <c r="DL20" i="4"/>
  <c r="DL13" i="4"/>
  <c r="DL17" i="4"/>
  <c r="DL18" i="4"/>
  <c r="DL15" i="4"/>
  <c r="DL9" i="4"/>
  <c r="DL14" i="4"/>
  <c r="DL12" i="4"/>
  <c r="DL8" i="4"/>
  <c r="DL19" i="4"/>
  <c r="DL6" i="4"/>
  <c r="DL16" i="4"/>
  <c r="DL10" i="4"/>
  <c r="DL7" i="4"/>
  <c r="DL11" i="4"/>
  <c r="DN4" i="4" l="1"/>
  <c r="DN5" i="4" s="1"/>
  <c r="DN2" i="4"/>
  <c r="DO3" i="4"/>
  <c r="DM21" i="4"/>
  <c r="DM20" i="4"/>
  <c r="DM18" i="4"/>
  <c r="DM17" i="4"/>
  <c r="DM15" i="4"/>
  <c r="DM13" i="4"/>
  <c r="DM9" i="4"/>
  <c r="DM19" i="4"/>
  <c r="DM10" i="4"/>
  <c r="DM8" i="4"/>
  <c r="DM7" i="4"/>
  <c r="DM14" i="4"/>
  <c r="DM11" i="4"/>
  <c r="DM12" i="4"/>
  <c r="DM16" i="4"/>
  <c r="DM6" i="4"/>
  <c r="DO4" i="4" l="1"/>
  <c r="DO5" i="4" s="1"/>
  <c r="DO2" i="4"/>
  <c r="DP3" i="4"/>
  <c r="DN21" i="4"/>
  <c r="DN20" i="4"/>
  <c r="DN15" i="4"/>
  <c r="DN13" i="4"/>
  <c r="DN18" i="4"/>
  <c r="DN11" i="4"/>
  <c r="DN17" i="4"/>
  <c r="DN12" i="4"/>
  <c r="DN9" i="4"/>
  <c r="DN14" i="4"/>
  <c r="DN19" i="4"/>
  <c r="DN16" i="4"/>
  <c r="DN10" i="4"/>
  <c r="DN6" i="4"/>
  <c r="DN7" i="4"/>
  <c r="DN8" i="4"/>
  <c r="DP4" i="4" l="1"/>
  <c r="DP5" i="4" s="1"/>
  <c r="DP2" i="4"/>
  <c r="DQ3" i="4"/>
  <c r="DO21" i="4"/>
  <c r="DO20" i="4"/>
  <c r="DO18" i="4"/>
  <c r="DO13" i="4"/>
  <c r="DO11" i="4"/>
  <c r="DO9" i="4"/>
  <c r="DO16" i="4"/>
  <c r="DO6" i="4"/>
  <c r="DO12" i="4"/>
  <c r="DO19" i="4"/>
  <c r="DO15" i="4"/>
  <c r="DO8" i="4"/>
  <c r="DO14" i="4"/>
  <c r="DO17" i="4"/>
  <c r="DO7" i="4"/>
  <c r="DO10" i="4"/>
  <c r="DQ4" i="4" l="1"/>
  <c r="DQ5" i="4" s="1"/>
  <c r="DQ2" i="4"/>
  <c r="DR3" i="4"/>
  <c r="DP18" i="4"/>
  <c r="DP13" i="4"/>
  <c r="DP11" i="4"/>
  <c r="DP21" i="4"/>
  <c r="DP9" i="4"/>
  <c r="DP6" i="4"/>
  <c r="DP16" i="4"/>
  <c r="DP7" i="4"/>
  <c r="DP12" i="4"/>
  <c r="DP8" i="4"/>
  <c r="DP17" i="4"/>
  <c r="DP20" i="4"/>
  <c r="DP19" i="4"/>
  <c r="DP10" i="4"/>
  <c r="DP15" i="4"/>
  <c r="DP14" i="4"/>
  <c r="DR4" i="4" l="1"/>
  <c r="DR5" i="4" s="1"/>
  <c r="DR2" i="4"/>
  <c r="DS3" i="4"/>
  <c r="DQ20" i="4"/>
  <c r="DQ18" i="4"/>
  <c r="DQ21" i="4"/>
  <c r="DQ11" i="4"/>
  <c r="DQ16" i="4"/>
  <c r="DQ13" i="4"/>
  <c r="DQ8" i="4"/>
  <c r="DQ10" i="4"/>
  <c r="DQ7" i="4"/>
  <c r="DQ9" i="4"/>
  <c r="DQ6" i="4"/>
  <c r="DQ19" i="4"/>
  <c r="DQ12" i="4"/>
  <c r="DQ17" i="4"/>
  <c r="DQ15" i="4"/>
  <c r="DQ14" i="4"/>
  <c r="DT3" i="4" l="1"/>
  <c r="DS4" i="4"/>
  <c r="DS5" i="4" s="1"/>
  <c r="DS2" i="4"/>
  <c r="DR18" i="4"/>
  <c r="DR20" i="4"/>
  <c r="DR21" i="4"/>
  <c r="DR11" i="4"/>
  <c r="DR15" i="4"/>
  <c r="DR10" i="4"/>
  <c r="DR14" i="4"/>
  <c r="DR19" i="4"/>
  <c r="DR7" i="4"/>
  <c r="DR9" i="4"/>
  <c r="DR16" i="4"/>
  <c r="DR13" i="4"/>
  <c r="DR6" i="4"/>
  <c r="DR12" i="4"/>
  <c r="DR8" i="4"/>
  <c r="DR17" i="4"/>
  <c r="DS18" i="4" l="1"/>
  <c r="DS21" i="4"/>
  <c r="DS20" i="4"/>
  <c r="DS11" i="4"/>
  <c r="DS10" i="4"/>
  <c r="DS8" i="4"/>
  <c r="DS7" i="4"/>
  <c r="DS9" i="4"/>
  <c r="DS6" i="4"/>
  <c r="DS12" i="4"/>
  <c r="DS15" i="4"/>
  <c r="DS16" i="4"/>
  <c r="DS19" i="4"/>
  <c r="DS17" i="4"/>
  <c r="DS13" i="4"/>
  <c r="DS14" i="4"/>
  <c r="DU3" i="4"/>
  <c r="DT4" i="4"/>
  <c r="DT5" i="4" s="1"/>
  <c r="DT2" i="4"/>
  <c r="DT20" i="4" l="1"/>
  <c r="DT18" i="4"/>
  <c r="DT11" i="4"/>
  <c r="DT12" i="4"/>
  <c r="DT10" i="4"/>
  <c r="DT8" i="4"/>
  <c r="DT9" i="4"/>
  <c r="DT19" i="4"/>
  <c r="DT7" i="4"/>
  <c r="DT16" i="4"/>
  <c r="DT17" i="4"/>
  <c r="DT14" i="4"/>
  <c r="DT13" i="4"/>
  <c r="DT15" i="4"/>
  <c r="DT21" i="4"/>
  <c r="DT6" i="4"/>
  <c r="DV3" i="4"/>
  <c r="DU4" i="4"/>
  <c r="DU5" i="4" s="1"/>
  <c r="DU2" i="4"/>
  <c r="DU18" i="4" l="1"/>
  <c r="DU21" i="4"/>
  <c r="DU11" i="4"/>
  <c r="DU13" i="4"/>
  <c r="DU10" i="4"/>
  <c r="DU9" i="4"/>
  <c r="DU6" i="4"/>
  <c r="DU19" i="4"/>
  <c r="DU7" i="4"/>
  <c r="DU20" i="4"/>
  <c r="DU17" i="4"/>
  <c r="DU14" i="4"/>
  <c r="DU8" i="4"/>
  <c r="DU16" i="4"/>
  <c r="DU12" i="4"/>
  <c r="DU15" i="4"/>
  <c r="DV2" i="4"/>
  <c r="DW3" i="4"/>
  <c r="DV4" i="4"/>
  <c r="DV5" i="4" s="1"/>
  <c r="DV18" i="4" l="1"/>
  <c r="DV15" i="4"/>
  <c r="DV14" i="4"/>
  <c r="DV11" i="4"/>
  <c r="DV16" i="4"/>
  <c r="DV10" i="4"/>
  <c r="DV8" i="4"/>
  <c r="DV12" i="4"/>
  <c r="DV6" i="4"/>
  <c r="DV13" i="4"/>
  <c r="DV17" i="4"/>
  <c r="DV21" i="4"/>
  <c r="DV7" i="4"/>
  <c r="DV19" i="4"/>
  <c r="DV9" i="4"/>
  <c r="DV20" i="4"/>
  <c r="DW2" i="4"/>
  <c r="DX3" i="4"/>
  <c r="DW4" i="4"/>
  <c r="DW5" i="4" s="1"/>
  <c r="DX2" i="4" l="1"/>
  <c r="DY3" i="4"/>
  <c r="DX4" i="4"/>
  <c r="DX5" i="4" s="1"/>
  <c r="DW16" i="4"/>
  <c r="DW11" i="4"/>
  <c r="DW14" i="4"/>
  <c r="DW21" i="4"/>
  <c r="DW15" i="4"/>
  <c r="DW13" i="4"/>
  <c r="DW9" i="4"/>
  <c r="DW10" i="4"/>
  <c r="DW7" i="4"/>
  <c r="DW12" i="4"/>
  <c r="DW8" i="4"/>
  <c r="DW17" i="4"/>
  <c r="DW19" i="4"/>
  <c r="DW18" i="4"/>
  <c r="DW20" i="4"/>
  <c r="DW6" i="4"/>
  <c r="DX20" i="4" l="1"/>
  <c r="DX21" i="4"/>
  <c r="DX11" i="4"/>
  <c r="DX13" i="4"/>
  <c r="DX16" i="4"/>
  <c r="DX9" i="4"/>
  <c r="DX7" i="4"/>
  <c r="DX10" i="4"/>
  <c r="DX6" i="4"/>
  <c r="DX19" i="4"/>
  <c r="DX14" i="4"/>
  <c r="DX12" i="4"/>
  <c r="DX8" i="4"/>
  <c r="DX15" i="4"/>
  <c r="DX17" i="4"/>
  <c r="DX18" i="4"/>
  <c r="DY2" i="4"/>
  <c r="DZ3" i="4"/>
  <c r="DY4" i="4"/>
  <c r="DY5" i="4" s="1"/>
  <c r="DY21" i="4" l="1"/>
  <c r="DY20" i="4"/>
  <c r="DY16" i="4"/>
  <c r="DY11" i="4"/>
  <c r="DY13" i="4"/>
  <c r="DY10" i="4"/>
  <c r="DY7" i="4"/>
  <c r="DY18" i="4"/>
  <c r="DY12" i="4"/>
  <c r="DY8" i="4"/>
  <c r="DY19" i="4"/>
  <c r="DY9" i="4"/>
  <c r="DY17" i="4"/>
  <c r="DY14" i="4"/>
  <c r="DY15" i="4"/>
  <c r="DY6" i="4"/>
  <c r="EA3" i="4"/>
  <c r="DZ4" i="4"/>
  <c r="DZ5" i="4" s="1"/>
  <c r="DZ2" i="4"/>
  <c r="DZ20" i="4" l="1"/>
  <c r="DZ16" i="4"/>
  <c r="DZ13" i="4"/>
  <c r="DZ11" i="4"/>
  <c r="DZ7" i="4"/>
  <c r="DZ9" i="4"/>
  <c r="DZ14" i="4"/>
  <c r="DZ18" i="4"/>
  <c r="DZ8" i="4"/>
  <c r="DZ12" i="4"/>
  <c r="DZ19" i="4"/>
  <c r="DZ6" i="4"/>
  <c r="DZ17" i="4"/>
  <c r="DZ15" i="4"/>
  <c r="DZ21" i="4"/>
  <c r="DZ10" i="4"/>
  <c r="EB3" i="4"/>
  <c r="EA2" i="4"/>
  <c r="EA4" i="4"/>
  <c r="EA5" i="4" s="1"/>
  <c r="EB4" i="4" l="1"/>
  <c r="EB5" i="4" s="1"/>
  <c r="EC3" i="4"/>
  <c r="EB2" i="4"/>
  <c r="EA20" i="4"/>
  <c r="EA15" i="4"/>
  <c r="EA13" i="4"/>
  <c r="EA9" i="4"/>
  <c r="EA7" i="4"/>
  <c r="EA19" i="4"/>
  <c r="EA12" i="4"/>
  <c r="EA17" i="4"/>
  <c r="EA11" i="4"/>
  <c r="EA14" i="4"/>
  <c r="EA6" i="4"/>
  <c r="EA21" i="4"/>
  <c r="EA10" i="4"/>
  <c r="EA16" i="4"/>
  <c r="EA8" i="4"/>
  <c r="EA18" i="4"/>
  <c r="EC4" i="4" l="1"/>
  <c r="EC5" i="4" s="1"/>
  <c r="ED3" i="4"/>
  <c r="EC2" i="4"/>
  <c r="EB18" i="4"/>
  <c r="EB20" i="4"/>
  <c r="EB15" i="4"/>
  <c r="EB13" i="4"/>
  <c r="EB9" i="4"/>
  <c r="EB19" i="4"/>
  <c r="EB10" i="4"/>
  <c r="EB6" i="4"/>
  <c r="EB8" i="4"/>
  <c r="EB16" i="4"/>
  <c r="EB7" i="4"/>
  <c r="EB17" i="4"/>
  <c r="EB21" i="4"/>
  <c r="EB12" i="4"/>
  <c r="EB11" i="4"/>
  <c r="EB14" i="4"/>
  <c r="EE3" i="4" l="1"/>
  <c r="ED2" i="4"/>
  <c r="ED4" i="4"/>
  <c r="ED5" i="4" s="1"/>
  <c r="EC21" i="4"/>
  <c r="EC18" i="4"/>
  <c r="EC15" i="4"/>
  <c r="EC13" i="4"/>
  <c r="EC12" i="4"/>
  <c r="EC9" i="4"/>
  <c r="EC14" i="4"/>
  <c r="EC6" i="4"/>
  <c r="EC10" i="4"/>
  <c r="EC8" i="4"/>
  <c r="EC17" i="4"/>
  <c r="EC7" i="4"/>
  <c r="EC19" i="4"/>
  <c r="EC16" i="4"/>
  <c r="EC11" i="4"/>
  <c r="EC20" i="4"/>
  <c r="ED21" i="4" l="1"/>
  <c r="ED18" i="4"/>
  <c r="ED13" i="4"/>
  <c r="ED15" i="4"/>
  <c r="ED12" i="4"/>
  <c r="ED11" i="4"/>
  <c r="ED6" i="4"/>
  <c r="ED8" i="4"/>
  <c r="ED19" i="4"/>
  <c r="ED14" i="4"/>
  <c r="ED10" i="4"/>
  <c r="ED17" i="4"/>
  <c r="ED9" i="4"/>
  <c r="ED7" i="4"/>
  <c r="ED16" i="4"/>
  <c r="ED20" i="4"/>
  <c r="EE4" i="4"/>
  <c r="EE5" i="4" s="1"/>
  <c r="EF3" i="4"/>
  <c r="EE2" i="4"/>
  <c r="EE21" i="4" l="1"/>
  <c r="EE15" i="4"/>
  <c r="EE18" i="4"/>
  <c r="EE13" i="4"/>
  <c r="EE12" i="4"/>
  <c r="EE11" i="4"/>
  <c r="EE7" i="4"/>
  <c r="EE19" i="4"/>
  <c r="EE9" i="4"/>
  <c r="EE6" i="4"/>
  <c r="EE8" i="4"/>
  <c r="EE10" i="4"/>
  <c r="EE17" i="4"/>
  <c r="EE14" i="4"/>
  <c r="EE16" i="4"/>
  <c r="EE20" i="4"/>
  <c r="EF4" i="4"/>
  <c r="EF5" i="4" s="1"/>
  <c r="EG3" i="4"/>
  <c r="EF2" i="4"/>
  <c r="EF21" i="4" l="1"/>
  <c r="EF15" i="4"/>
  <c r="EF18" i="4"/>
  <c r="EF13" i="4"/>
  <c r="EF12" i="4"/>
  <c r="EF11" i="4"/>
  <c r="EF7" i="4"/>
  <c r="EF19" i="4"/>
  <c r="EF10" i="4"/>
  <c r="EF8" i="4"/>
  <c r="EF9" i="4"/>
  <c r="EF17" i="4"/>
  <c r="EF20" i="4"/>
  <c r="EF6" i="4"/>
  <c r="EF14" i="4"/>
  <c r="EF16" i="4"/>
  <c r="EG4" i="4"/>
  <c r="EG5" i="4" s="1"/>
  <c r="EH3" i="4"/>
  <c r="EG2" i="4"/>
  <c r="EG21" i="4" l="1"/>
  <c r="EG15" i="4"/>
  <c r="EG18" i="4"/>
  <c r="EG11" i="4"/>
  <c r="EG12" i="4"/>
  <c r="EG13" i="4"/>
  <c r="EG10" i="4"/>
  <c r="EG6" i="4"/>
  <c r="EG7" i="4"/>
  <c r="EG19" i="4"/>
  <c r="EG9" i="4"/>
  <c r="EG16" i="4"/>
  <c r="EG20" i="4"/>
  <c r="EG14" i="4"/>
  <c r="EG17" i="4"/>
  <c r="EG8" i="4"/>
  <c r="EH4" i="4"/>
  <c r="EH5" i="4" s="1"/>
  <c r="EI3" i="4"/>
  <c r="EH2" i="4"/>
  <c r="EH21" i="4" l="1"/>
  <c r="EH18" i="4"/>
  <c r="EH13" i="4"/>
  <c r="EH16" i="4"/>
  <c r="EH15" i="4"/>
  <c r="EH10" i="4"/>
  <c r="EH11" i="4"/>
  <c r="EH6" i="4"/>
  <c r="EH19" i="4"/>
  <c r="EH20" i="4"/>
  <c r="EH8" i="4"/>
  <c r="EH14" i="4"/>
  <c r="EH12" i="4"/>
  <c r="EH7" i="4"/>
  <c r="EH17" i="4"/>
  <c r="EH9" i="4"/>
  <c r="EI4" i="4"/>
  <c r="EI5" i="4" s="1"/>
  <c r="EI2" i="4"/>
  <c r="EJ3" i="4"/>
  <c r="EI21" i="4" l="1"/>
  <c r="EI18" i="4"/>
  <c r="EI15" i="4"/>
  <c r="EI17" i="4"/>
  <c r="EI11" i="4"/>
  <c r="EI9" i="4"/>
  <c r="EI16" i="4"/>
  <c r="EI6" i="4"/>
  <c r="EI7" i="4"/>
  <c r="EI19" i="4"/>
  <c r="EI8" i="4"/>
  <c r="EI10" i="4"/>
  <c r="EI14" i="4"/>
  <c r="EI12" i="4"/>
  <c r="EI13" i="4"/>
  <c r="EI20" i="4"/>
  <c r="EJ2" i="4"/>
  <c r="EJ4" i="4"/>
  <c r="EJ5" i="4" s="1"/>
  <c r="EK3" i="4"/>
  <c r="EK4" i="4" l="1"/>
  <c r="EK5" i="4" s="1"/>
  <c r="EK2" i="4"/>
  <c r="EL3" i="4"/>
  <c r="EJ18" i="4"/>
  <c r="EJ20" i="4"/>
  <c r="EJ15" i="4"/>
  <c r="EJ17" i="4"/>
  <c r="EJ11" i="4"/>
  <c r="EJ14" i="4"/>
  <c r="EJ12" i="4"/>
  <c r="EJ6" i="4"/>
  <c r="EJ7" i="4"/>
  <c r="EJ10" i="4"/>
  <c r="EJ8" i="4"/>
  <c r="EJ19" i="4"/>
  <c r="EJ16" i="4"/>
  <c r="EJ13" i="4"/>
  <c r="EJ9" i="4"/>
  <c r="EJ21" i="4"/>
  <c r="EL4" i="4" l="1"/>
  <c r="EL5" i="4" s="1"/>
  <c r="EL2" i="4"/>
  <c r="EM3" i="4"/>
  <c r="EK21" i="4"/>
  <c r="EK18" i="4"/>
  <c r="EK20" i="4"/>
  <c r="EK17" i="4"/>
  <c r="EK11" i="4"/>
  <c r="EK6" i="4"/>
  <c r="EK7" i="4"/>
  <c r="EK19" i="4"/>
  <c r="EK8" i="4"/>
  <c r="EK12" i="4"/>
  <c r="EK15" i="4"/>
  <c r="EK14" i="4"/>
  <c r="EK10" i="4"/>
  <c r="EK9" i="4"/>
  <c r="EK16" i="4"/>
  <c r="EK13" i="4"/>
  <c r="EM2" i="4" l="1"/>
  <c r="EM4" i="4"/>
  <c r="EM5" i="4" s="1"/>
  <c r="EN3" i="4"/>
  <c r="EL18" i="4"/>
  <c r="EL17" i="4"/>
  <c r="EL11" i="4"/>
  <c r="EL6" i="4"/>
  <c r="EL8" i="4"/>
  <c r="EL12" i="4"/>
  <c r="EL14" i="4"/>
  <c r="EL7" i="4"/>
  <c r="EL9" i="4"/>
  <c r="EL20" i="4"/>
  <c r="EL21" i="4"/>
  <c r="EL15" i="4"/>
  <c r="EL13" i="4"/>
  <c r="EL19" i="4"/>
  <c r="EL10" i="4"/>
  <c r="EL16" i="4"/>
  <c r="EN2" i="4" l="1"/>
  <c r="EN4" i="4"/>
  <c r="EN5" i="4" s="1"/>
  <c r="EO3" i="4"/>
  <c r="EM21" i="4"/>
  <c r="EM18" i="4"/>
  <c r="EM11" i="4"/>
  <c r="EM6" i="4"/>
  <c r="EM12" i="4"/>
  <c r="EM8" i="4"/>
  <c r="EM9" i="4"/>
  <c r="EM14" i="4"/>
  <c r="EM13" i="4"/>
  <c r="EM15" i="4"/>
  <c r="EM7" i="4"/>
  <c r="EM10" i="4"/>
  <c r="EM17" i="4"/>
  <c r="EM19" i="4"/>
  <c r="EM16" i="4"/>
  <c r="EM20" i="4"/>
  <c r="EO2" i="4" l="1"/>
  <c r="EP3" i="4"/>
  <c r="EO4" i="4"/>
  <c r="EO5" i="4" s="1"/>
  <c r="EN21" i="4"/>
  <c r="EN13" i="4"/>
  <c r="EN17" i="4"/>
  <c r="EN11" i="4"/>
  <c r="EN16" i="4"/>
  <c r="EN9" i="4"/>
  <c r="EN6" i="4"/>
  <c r="EN19" i="4"/>
  <c r="EN15" i="4"/>
  <c r="EN8" i="4"/>
  <c r="EN7" i="4"/>
  <c r="EN12" i="4"/>
  <c r="EN10" i="4"/>
  <c r="EN20" i="4"/>
  <c r="EN14" i="4"/>
  <c r="EN18" i="4"/>
  <c r="EO21" i="4" l="1"/>
  <c r="EO20" i="4"/>
  <c r="EO13" i="4"/>
  <c r="EO11" i="4"/>
  <c r="EO6" i="4"/>
  <c r="EO7" i="4"/>
  <c r="EO8" i="4"/>
  <c r="EO10" i="4"/>
  <c r="EO12" i="4"/>
  <c r="EO9" i="4"/>
  <c r="EO19" i="4"/>
  <c r="EO14" i="4"/>
  <c r="EO17" i="4"/>
  <c r="EO16" i="4"/>
  <c r="EO15" i="4"/>
  <c r="EO18" i="4"/>
  <c r="EQ3" i="4"/>
  <c r="EP4" i="4"/>
  <c r="EP5" i="4" s="1"/>
  <c r="EP2" i="4"/>
  <c r="EP21" i="4" l="1"/>
  <c r="EP18" i="4"/>
  <c r="EP11" i="4"/>
  <c r="EP13" i="4"/>
  <c r="EP14" i="4"/>
  <c r="EP20" i="4"/>
  <c r="EP7" i="4"/>
  <c r="EP19" i="4"/>
  <c r="EP16" i="4"/>
  <c r="EP12" i="4"/>
  <c r="EP9" i="4"/>
  <c r="EP6" i="4"/>
  <c r="EP17" i="4"/>
  <c r="EP10" i="4"/>
  <c r="EP8" i="4"/>
  <c r="EP15" i="4"/>
  <c r="ER3" i="4"/>
  <c r="EQ4" i="4"/>
  <c r="EQ5" i="4" s="1"/>
  <c r="EQ2" i="4"/>
  <c r="EQ21" i="4" l="1"/>
  <c r="EQ13" i="4"/>
  <c r="EQ14" i="4"/>
  <c r="EQ20" i="4"/>
  <c r="EQ9" i="4"/>
  <c r="EQ10" i="4"/>
  <c r="EQ7" i="4"/>
  <c r="EQ11" i="4"/>
  <c r="EQ16" i="4"/>
  <c r="EQ12" i="4"/>
  <c r="EQ15" i="4"/>
  <c r="EQ19" i="4"/>
  <c r="EQ6" i="4"/>
  <c r="EQ8" i="4"/>
  <c r="EQ18" i="4"/>
  <c r="EQ17" i="4"/>
  <c r="ER4" i="4"/>
  <c r="ER5" i="4" s="1"/>
  <c r="ES3" i="4"/>
  <c r="ER2" i="4"/>
  <c r="ES4" i="4" l="1"/>
  <c r="ES5" i="4" s="1"/>
  <c r="ET3" i="4"/>
  <c r="ES2" i="4"/>
  <c r="ER20" i="4"/>
  <c r="ER13" i="4"/>
  <c r="ER14" i="4"/>
  <c r="ER9" i="4"/>
  <c r="ER12" i="4"/>
  <c r="ER7" i="4"/>
  <c r="ER10" i="4"/>
  <c r="ER8" i="4"/>
  <c r="ER6" i="4"/>
  <c r="ER19" i="4"/>
  <c r="ER16" i="4"/>
  <c r="ER21" i="4"/>
  <c r="ER17" i="4"/>
  <c r="ER15" i="4"/>
  <c r="ER11" i="4"/>
  <c r="ER18" i="4"/>
  <c r="ET2" i="4" l="1"/>
  <c r="ET4" i="4"/>
  <c r="ET5" i="4" s="1"/>
  <c r="EU3" i="4"/>
  <c r="ES20" i="4"/>
  <c r="ES13" i="4"/>
  <c r="ES14" i="4"/>
  <c r="ES12" i="4"/>
  <c r="ES9" i="4"/>
  <c r="ES7" i="4"/>
  <c r="ES6" i="4"/>
  <c r="ES10" i="4"/>
  <c r="ES19" i="4"/>
  <c r="ES8" i="4"/>
  <c r="ES21" i="4"/>
  <c r="ES17" i="4"/>
  <c r="ES11" i="4"/>
  <c r="ES15" i="4"/>
  <c r="ES16" i="4"/>
  <c r="ES18" i="4"/>
  <c r="EV3" i="4" l="1"/>
  <c r="EU2" i="4"/>
  <c r="EU4" i="4"/>
  <c r="EU5" i="4" s="1"/>
  <c r="ET20" i="4"/>
  <c r="ET18" i="4"/>
  <c r="ET13" i="4"/>
  <c r="ET11" i="4"/>
  <c r="ET15" i="4"/>
  <c r="ET17" i="4"/>
  <c r="ET14" i="4"/>
  <c r="ET9" i="4"/>
  <c r="ET12" i="4"/>
  <c r="ET8" i="4"/>
  <c r="ET6" i="4"/>
  <c r="ET19" i="4"/>
  <c r="ET10" i="4"/>
  <c r="ET16" i="4"/>
  <c r="ET7" i="4"/>
  <c r="ET21" i="4"/>
  <c r="EU20" i="4" l="1"/>
  <c r="EU21" i="4"/>
  <c r="EU18" i="4"/>
  <c r="EU17" i="4"/>
  <c r="EU14" i="4"/>
  <c r="EU11" i="4"/>
  <c r="EU13" i="4"/>
  <c r="EU15" i="4"/>
  <c r="EU10" i="4"/>
  <c r="EU12" i="4"/>
  <c r="EU9" i="4"/>
  <c r="EU7" i="4"/>
  <c r="EU8" i="4"/>
  <c r="EU19" i="4"/>
  <c r="EU16" i="4"/>
  <c r="EU6" i="4"/>
  <c r="EV2" i="4"/>
  <c r="EW3" i="4"/>
  <c r="EV4" i="4"/>
  <c r="EV5" i="4" s="1"/>
  <c r="EV21" i="4" l="1"/>
  <c r="EV18" i="4"/>
  <c r="EV15" i="4"/>
  <c r="EV16" i="4"/>
  <c r="EV13" i="4"/>
  <c r="EV9" i="4"/>
  <c r="EV11" i="4"/>
  <c r="EV6" i="4"/>
  <c r="EV10" i="4"/>
  <c r="EV8" i="4"/>
  <c r="EV19" i="4"/>
  <c r="EV12" i="4"/>
  <c r="EV17" i="4"/>
  <c r="EV20" i="4"/>
  <c r="EV7" i="4"/>
  <c r="EV14" i="4"/>
  <c r="EW4" i="4"/>
  <c r="EW5" i="4" s="1"/>
  <c r="EW2" i="4"/>
  <c r="EX3" i="4"/>
  <c r="EX4" i="4" l="1"/>
  <c r="EX5" i="4" s="1"/>
  <c r="EY3" i="4"/>
  <c r="EX2" i="4"/>
  <c r="EW20" i="4"/>
  <c r="EW21" i="4"/>
  <c r="EW13" i="4"/>
  <c r="EW15" i="4"/>
  <c r="EW18" i="4"/>
  <c r="EW11" i="4"/>
  <c r="EW12" i="4"/>
  <c r="EW9" i="4"/>
  <c r="EW7" i="4"/>
  <c r="EW8" i="4"/>
  <c r="EW19" i="4"/>
  <c r="EW6" i="4"/>
  <c r="EW10" i="4"/>
  <c r="EW14" i="4"/>
  <c r="EW17" i="4"/>
  <c r="EW16" i="4"/>
  <c r="EY4" i="4" l="1"/>
  <c r="EY5" i="4" s="1"/>
  <c r="EZ3" i="4"/>
  <c r="EY2" i="4"/>
  <c r="EX18" i="4"/>
  <c r="EX15" i="4"/>
  <c r="EX21" i="4"/>
  <c r="EX11" i="4"/>
  <c r="EX9" i="4"/>
  <c r="EX13" i="4"/>
  <c r="EX19" i="4"/>
  <c r="EX10" i="4"/>
  <c r="EX8" i="4"/>
  <c r="EX6" i="4"/>
  <c r="EX17" i="4"/>
  <c r="EX7" i="4"/>
  <c r="EX20" i="4"/>
  <c r="EX16" i="4"/>
  <c r="EX12" i="4"/>
  <c r="EX14" i="4"/>
  <c r="EZ4" i="4" l="1"/>
  <c r="EZ5" i="4" s="1"/>
  <c r="FA3" i="4"/>
  <c r="EZ2" i="4"/>
  <c r="EY21" i="4"/>
  <c r="EY17" i="4"/>
  <c r="EY15" i="4"/>
  <c r="EY18" i="4"/>
  <c r="EY11" i="4"/>
  <c r="EY9" i="4"/>
  <c r="EY13" i="4"/>
  <c r="EY8" i="4"/>
  <c r="EY19" i="4"/>
  <c r="EY6" i="4"/>
  <c r="EY12" i="4"/>
  <c r="EY7" i="4"/>
  <c r="EY20" i="4"/>
  <c r="EY10" i="4"/>
  <c r="EY14" i="4"/>
  <c r="EY16" i="4"/>
  <c r="FB3" i="4" l="1"/>
  <c r="FA2" i="4"/>
  <c r="FA4" i="4"/>
  <c r="FA5" i="4" s="1"/>
  <c r="EZ13" i="4"/>
  <c r="EZ18" i="4"/>
  <c r="EZ14" i="4"/>
  <c r="EZ11" i="4"/>
  <c r="EZ15" i="4"/>
  <c r="EZ9" i="4"/>
  <c r="EZ10" i="4"/>
  <c r="EZ12" i="4"/>
  <c r="EZ16" i="4"/>
  <c r="EZ21" i="4"/>
  <c r="EZ17" i="4"/>
  <c r="EZ6" i="4"/>
  <c r="EZ19" i="4"/>
  <c r="EZ20" i="4"/>
  <c r="EZ7" i="4"/>
  <c r="EZ8" i="4"/>
  <c r="FA21" i="4" l="1"/>
  <c r="FA20" i="4"/>
  <c r="FA18" i="4"/>
  <c r="FA17" i="4"/>
  <c r="FA16" i="4"/>
  <c r="FA11" i="4"/>
  <c r="FA15" i="4"/>
  <c r="FA10" i="4"/>
  <c r="FA7" i="4"/>
  <c r="FA19" i="4"/>
  <c r="FA9" i="4"/>
  <c r="FA12" i="4"/>
  <c r="FA6" i="4"/>
  <c r="FA14" i="4"/>
  <c r="FA13" i="4"/>
  <c r="FA8" i="4"/>
  <c r="FC3" i="4"/>
  <c r="FB4" i="4"/>
  <c r="FB5" i="4" s="1"/>
  <c r="FB2" i="4"/>
  <c r="FB18" i="4" l="1"/>
  <c r="FB20" i="4"/>
  <c r="FB15" i="4"/>
  <c r="FB17" i="4"/>
  <c r="FB16" i="4"/>
  <c r="FB14" i="4"/>
  <c r="FB11" i="4"/>
  <c r="FB10" i="4"/>
  <c r="FB19" i="4"/>
  <c r="FB9" i="4"/>
  <c r="FB13" i="4"/>
  <c r="FB7" i="4"/>
  <c r="FB21" i="4"/>
  <c r="FB12" i="4"/>
  <c r="FB6" i="4"/>
  <c r="FB8" i="4"/>
  <c r="FC2" i="4"/>
  <c r="FD3" i="4"/>
  <c r="FC4" i="4"/>
  <c r="FC5" i="4" s="1"/>
  <c r="FC21" i="4" l="1"/>
  <c r="FC15" i="4"/>
  <c r="FC17" i="4"/>
  <c r="FC16" i="4"/>
  <c r="FC11" i="4"/>
  <c r="FC10" i="4"/>
  <c r="FC12" i="4"/>
  <c r="FC6" i="4"/>
  <c r="FC13" i="4"/>
  <c r="FC7" i="4"/>
  <c r="FC9" i="4"/>
  <c r="FC14" i="4"/>
  <c r="FC20" i="4"/>
  <c r="FC18" i="4"/>
  <c r="FC19" i="4"/>
  <c r="FC8" i="4"/>
  <c r="FD2" i="4"/>
  <c r="FE3" i="4"/>
  <c r="FD4" i="4"/>
  <c r="FD5" i="4" s="1"/>
  <c r="FD21" i="4" l="1"/>
  <c r="FD16" i="4"/>
  <c r="FD11" i="4"/>
  <c r="FD10" i="4"/>
  <c r="FD7" i="4"/>
  <c r="FD14" i="4"/>
  <c r="FD6" i="4"/>
  <c r="FD15" i="4"/>
  <c r="FD12" i="4"/>
  <c r="FD17" i="4"/>
  <c r="FD8" i="4"/>
  <c r="FD19" i="4"/>
  <c r="FD18" i="4"/>
  <c r="FD20" i="4"/>
  <c r="FD13" i="4"/>
  <c r="FD9" i="4"/>
  <c r="FE2" i="4"/>
  <c r="FF3" i="4"/>
  <c r="FE4" i="4"/>
  <c r="FE5" i="4" s="1"/>
  <c r="FE21" i="4" l="1"/>
  <c r="FE16" i="4"/>
  <c r="FE11" i="4"/>
  <c r="FE14" i="4"/>
  <c r="FE12" i="4"/>
  <c r="FE10" i="4"/>
  <c r="FE7" i="4"/>
  <c r="FE18" i="4"/>
  <c r="FE19" i="4"/>
  <c r="FE9" i="4"/>
  <c r="FE8" i="4"/>
  <c r="FE13" i="4"/>
  <c r="FE15" i="4"/>
  <c r="FE20" i="4"/>
  <c r="FE6" i="4"/>
  <c r="FE17" i="4"/>
  <c r="FG3" i="4"/>
  <c r="FF2" i="4"/>
  <c r="FF4" i="4"/>
  <c r="FF5" i="4" s="1"/>
  <c r="FF21" i="4" l="1"/>
  <c r="FF20" i="4"/>
  <c r="FF18" i="4"/>
  <c r="FF13" i="4"/>
  <c r="FF16" i="4"/>
  <c r="FF11" i="4"/>
  <c r="FF19" i="4"/>
  <c r="FF8" i="4"/>
  <c r="FF12" i="4"/>
  <c r="FF17" i="4"/>
  <c r="FF15" i="4"/>
  <c r="FF6" i="4"/>
  <c r="FF7" i="4"/>
  <c r="FF10" i="4"/>
  <c r="FF9" i="4"/>
  <c r="FF14" i="4"/>
  <c r="FH3" i="4"/>
  <c r="FG4" i="4"/>
  <c r="FG5" i="4" s="1"/>
  <c r="FG2" i="4"/>
  <c r="FG18" i="4" l="1"/>
  <c r="FG21" i="4"/>
  <c r="FG16" i="4"/>
  <c r="FG15" i="4"/>
  <c r="FG10" i="4"/>
  <c r="FG13" i="4"/>
  <c r="FG19" i="4"/>
  <c r="FG9" i="4"/>
  <c r="FG8" i="4"/>
  <c r="FG7" i="4"/>
  <c r="FG11" i="4"/>
  <c r="FG12" i="4"/>
  <c r="FG14" i="4"/>
  <c r="FG17" i="4"/>
  <c r="FG20" i="4"/>
  <c r="FG6" i="4"/>
  <c r="FH4" i="4"/>
  <c r="FH5" i="4" s="1"/>
  <c r="FI3" i="4"/>
  <c r="FH2" i="4"/>
  <c r="FI4" i="4" l="1"/>
  <c r="FI5" i="4" s="1"/>
  <c r="FJ3" i="4"/>
  <c r="FI2" i="4"/>
  <c r="FH18" i="4"/>
  <c r="FH13" i="4"/>
  <c r="FH21" i="4"/>
  <c r="FH8" i="4"/>
  <c r="FH10" i="4"/>
  <c r="FH7" i="4"/>
  <c r="FH6" i="4"/>
  <c r="FH20" i="4"/>
  <c r="FH15" i="4"/>
  <c r="FH9" i="4"/>
  <c r="FH12" i="4"/>
  <c r="FH11" i="4"/>
  <c r="FH17" i="4"/>
  <c r="FH19" i="4"/>
  <c r="FH14" i="4"/>
  <c r="FH16" i="4"/>
  <c r="FJ4" i="4" l="1"/>
  <c r="FJ5" i="4" s="1"/>
  <c r="FJ2" i="4"/>
  <c r="FK3" i="4"/>
  <c r="FI18" i="4"/>
  <c r="FI13" i="4"/>
  <c r="FI21" i="4"/>
  <c r="FI6" i="4"/>
  <c r="FI8" i="4"/>
  <c r="FI12" i="4"/>
  <c r="FI10" i="4"/>
  <c r="FI7" i="4"/>
  <c r="FI9" i="4"/>
  <c r="FI14" i="4"/>
  <c r="FI15" i="4"/>
  <c r="FI17" i="4"/>
  <c r="FI16" i="4"/>
  <c r="FI20" i="4"/>
  <c r="FI11" i="4"/>
  <c r="FI19" i="4"/>
  <c r="FK4" i="4" l="1"/>
  <c r="FK5" i="4" s="1"/>
  <c r="FK2" i="4"/>
  <c r="FL3" i="4"/>
  <c r="FJ13" i="4"/>
  <c r="FJ11" i="4"/>
  <c r="FJ20" i="4"/>
  <c r="FJ8" i="4"/>
  <c r="FJ19" i="4"/>
  <c r="FJ9" i="4"/>
  <c r="FJ6" i="4"/>
  <c r="FJ16" i="4"/>
  <c r="FJ12" i="4"/>
  <c r="FJ14" i="4"/>
  <c r="FJ15" i="4"/>
  <c r="FJ21" i="4"/>
  <c r="FJ7" i="4"/>
  <c r="FJ10" i="4"/>
  <c r="FJ18" i="4"/>
  <c r="FJ17" i="4"/>
  <c r="FL4" i="4" l="1"/>
  <c r="FL5" i="4" s="1"/>
  <c r="FL2" i="4"/>
  <c r="FM3" i="4"/>
  <c r="FK15" i="4"/>
  <c r="FK20" i="4"/>
  <c r="FK13" i="4"/>
  <c r="FK11" i="4"/>
  <c r="FK6" i="4"/>
  <c r="FK19" i="4"/>
  <c r="FK8" i="4"/>
  <c r="FK17" i="4"/>
  <c r="FK7" i="4"/>
  <c r="FK12" i="4"/>
  <c r="FK10" i="4"/>
  <c r="FK9" i="4"/>
  <c r="FK18" i="4"/>
  <c r="FK16" i="4"/>
  <c r="FK14" i="4"/>
  <c r="FK21" i="4"/>
  <c r="FM2" i="4" l="1"/>
  <c r="FN3" i="4"/>
  <c r="FM4" i="4"/>
  <c r="FM5" i="4" s="1"/>
  <c r="FL15" i="4"/>
  <c r="FL11" i="4"/>
  <c r="FL16" i="4"/>
  <c r="FL13" i="4"/>
  <c r="FL8" i="4"/>
  <c r="FL7" i="4"/>
  <c r="FL6" i="4"/>
  <c r="FL21" i="4"/>
  <c r="FL17" i="4"/>
  <c r="FL20" i="4"/>
  <c r="FL18" i="4"/>
  <c r="FL14" i="4"/>
  <c r="FL9" i="4"/>
  <c r="FL10" i="4"/>
  <c r="FL12" i="4"/>
  <c r="FL19" i="4"/>
  <c r="FM18" i="4" l="1"/>
  <c r="FM21" i="4"/>
  <c r="FM16" i="4"/>
  <c r="FM11" i="4"/>
  <c r="FM13" i="4"/>
  <c r="FM20" i="4"/>
  <c r="FM9" i="4"/>
  <c r="FM6" i="4"/>
  <c r="FM12" i="4"/>
  <c r="FM14" i="4"/>
  <c r="FM10" i="4"/>
  <c r="FM8" i="4"/>
  <c r="FM7" i="4"/>
  <c r="FM19" i="4"/>
  <c r="FM17" i="4"/>
  <c r="FM15" i="4"/>
  <c r="FN2" i="4"/>
  <c r="FN4" i="4"/>
  <c r="FN5" i="4" s="1"/>
  <c r="FO3" i="4"/>
  <c r="FO4" i="4" l="1"/>
  <c r="FO5" i="4" s="1"/>
  <c r="FO2" i="4"/>
  <c r="FP3" i="4"/>
  <c r="FN21" i="4"/>
  <c r="FN18" i="4"/>
  <c r="FN16" i="4"/>
  <c r="FN11" i="4"/>
  <c r="FN13" i="4"/>
  <c r="FN20" i="4"/>
  <c r="FN9" i="4"/>
  <c r="FN8" i="4"/>
  <c r="FN17" i="4"/>
  <c r="FN7" i="4"/>
  <c r="FN6" i="4"/>
  <c r="FN14" i="4"/>
  <c r="FN19" i="4"/>
  <c r="FN10" i="4"/>
  <c r="FN12" i="4"/>
  <c r="FN15" i="4"/>
  <c r="FP4" i="4" l="1"/>
  <c r="FP5" i="4" s="1"/>
  <c r="FP2" i="4"/>
  <c r="FQ3" i="4"/>
  <c r="FO21" i="4"/>
  <c r="FO18" i="4"/>
  <c r="FO11" i="4"/>
  <c r="FO20" i="4"/>
  <c r="FO12" i="4"/>
  <c r="FO13" i="4"/>
  <c r="FO9" i="4"/>
  <c r="FO7" i="4"/>
  <c r="FO10" i="4"/>
  <c r="FO8" i="4"/>
  <c r="FO19" i="4"/>
  <c r="FO14" i="4"/>
  <c r="FO6" i="4"/>
  <c r="FO17" i="4"/>
  <c r="FO15" i="4"/>
  <c r="FO16" i="4"/>
  <c r="FQ4" i="4" l="1"/>
  <c r="FQ5" i="4" s="1"/>
  <c r="FR3" i="4"/>
  <c r="FQ2" i="4"/>
  <c r="FP18" i="4"/>
  <c r="FP15" i="4"/>
  <c r="FP20" i="4"/>
  <c r="FP11" i="4"/>
  <c r="FP13" i="4"/>
  <c r="FP12" i="4"/>
  <c r="FP9" i="4"/>
  <c r="FP7" i="4"/>
  <c r="FP14" i="4"/>
  <c r="FP8" i="4"/>
  <c r="FP19" i="4"/>
  <c r="FP6" i="4"/>
  <c r="FP16" i="4"/>
  <c r="FP10" i="4"/>
  <c r="FP21" i="4"/>
  <c r="FP17" i="4"/>
  <c r="FR4" i="4" l="1"/>
  <c r="FR5" i="4" s="1"/>
  <c r="FS3" i="4"/>
  <c r="FR2" i="4"/>
  <c r="FQ21" i="4"/>
  <c r="FQ18" i="4"/>
  <c r="FQ20" i="4"/>
  <c r="FQ15" i="4"/>
  <c r="FQ17" i="4"/>
  <c r="FQ11" i="4"/>
  <c r="FQ12" i="4"/>
  <c r="FQ9" i="4"/>
  <c r="FQ7" i="4"/>
  <c r="FQ6" i="4"/>
  <c r="FQ19" i="4"/>
  <c r="FQ8" i="4"/>
  <c r="FQ10" i="4"/>
  <c r="FQ14" i="4"/>
  <c r="FQ13" i="4"/>
  <c r="FQ16" i="4"/>
  <c r="FS2" i="4" l="1"/>
  <c r="FS4" i="4"/>
  <c r="FS5" i="4" s="1"/>
  <c r="FT3" i="4"/>
  <c r="FR18" i="4"/>
  <c r="FR15" i="4"/>
  <c r="FR14" i="4"/>
  <c r="FR17" i="4"/>
  <c r="FR12" i="4"/>
  <c r="FR11" i="4"/>
  <c r="FR6" i="4"/>
  <c r="FR19" i="4"/>
  <c r="FR13" i="4"/>
  <c r="FR16" i="4"/>
  <c r="FR8" i="4"/>
  <c r="FR21" i="4"/>
  <c r="FR20" i="4"/>
  <c r="FR7" i="4"/>
  <c r="FR9" i="4"/>
  <c r="FR10" i="4"/>
  <c r="FT2" i="4" l="1"/>
  <c r="FT4" i="4"/>
  <c r="FT5" i="4" s="1"/>
  <c r="FU3" i="4"/>
  <c r="FS21" i="4"/>
  <c r="FS14" i="4"/>
  <c r="FS13" i="4"/>
  <c r="FS15" i="4"/>
  <c r="FS12" i="4"/>
  <c r="FS11" i="4"/>
  <c r="FS9" i="4"/>
  <c r="FS6" i="4"/>
  <c r="FS8" i="4"/>
  <c r="FS19" i="4"/>
  <c r="FS17" i="4"/>
  <c r="FS16" i="4"/>
  <c r="FS18" i="4"/>
  <c r="FS7" i="4"/>
  <c r="FS10" i="4"/>
  <c r="FS20" i="4"/>
  <c r="FU2" i="4" l="1"/>
  <c r="FV3" i="4"/>
  <c r="FU4" i="4"/>
  <c r="FU5" i="4" s="1"/>
  <c r="FT21" i="4"/>
  <c r="FT13" i="4"/>
  <c r="FT12" i="4"/>
  <c r="FT7" i="4"/>
  <c r="FT11" i="4"/>
  <c r="FT9" i="4"/>
  <c r="FT6" i="4"/>
  <c r="FT19" i="4"/>
  <c r="FT10" i="4"/>
  <c r="FT16" i="4"/>
  <c r="FT20" i="4"/>
  <c r="FT8" i="4"/>
  <c r="FT17" i="4"/>
  <c r="FT14" i="4"/>
  <c r="FT15" i="4"/>
  <c r="FT18" i="4"/>
  <c r="FU21" i="4" l="1"/>
  <c r="FU12" i="4"/>
  <c r="FU11" i="4"/>
  <c r="FU7" i="4"/>
  <c r="FU19" i="4"/>
  <c r="FU8" i="4"/>
  <c r="FU18" i="4"/>
  <c r="FU14" i="4"/>
  <c r="FU13" i="4"/>
  <c r="FU9" i="4"/>
  <c r="FU10" i="4"/>
  <c r="FU6" i="4"/>
  <c r="FU20" i="4"/>
  <c r="FU15" i="4"/>
  <c r="FU16" i="4"/>
  <c r="FU17" i="4"/>
  <c r="FW3" i="4"/>
  <c r="FV2" i="4"/>
  <c r="FV4" i="4"/>
  <c r="FV5" i="4" s="1"/>
  <c r="FX3" i="4" l="1"/>
  <c r="FW4" i="4"/>
  <c r="FW5" i="4" s="1"/>
  <c r="FW2" i="4"/>
  <c r="FV21" i="4"/>
  <c r="FV17" i="4"/>
  <c r="FV14" i="4"/>
  <c r="FV12" i="4"/>
  <c r="FV11" i="4"/>
  <c r="FV18" i="4"/>
  <c r="FV19" i="4"/>
  <c r="FV15" i="4"/>
  <c r="FV16" i="4"/>
  <c r="FV10" i="4"/>
  <c r="FV9" i="4"/>
  <c r="FV7" i="4"/>
  <c r="FV6" i="4"/>
  <c r="FV13" i="4"/>
  <c r="FV20" i="4"/>
  <c r="FV8" i="4"/>
  <c r="FW21" i="4" l="1"/>
  <c r="FW15" i="4"/>
  <c r="FW14" i="4"/>
  <c r="FW9" i="4"/>
  <c r="FW18" i="4"/>
  <c r="FW16" i="4"/>
  <c r="FW10" i="4"/>
  <c r="FW19" i="4"/>
  <c r="FW11" i="4"/>
  <c r="FW8" i="4"/>
  <c r="FW7" i="4"/>
  <c r="FW20" i="4"/>
  <c r="FW12" i="4"/>
  <c r="FW13" i="4"/>
  <c r="FW17" i="4"/>
  <c r="FW6" i="4"/>
  <c r="FX4" i="4"/>
  <c r="FX5" i="4" s="1"/>
  <c r="FY3" i="4"/>
  <c r="FX2" i="4"/>
  <c r="FX21" i="4" l="1"/>
  <c r="FX20" i="4"/>
  <c r="FX17" i="4"/>
  <c r="FX13" i="4"/>
  <c r="FX15" i="4"/>
  <c r="FX9" i="4"/>
  <c r="FX10" i="4"/>
  <c r="FX6" i="4"/>
  <c r="FX8" i="4"/>
  <c r="FX11" i="4"/>
  <c r="FX12" i="4"/>
  <c r="FX14" i="4"/>
  <c r="FX19" i="4"/>
  <c r="FX16" i="4"/>
  <c r="FX18" i="4"/>
  <c r="FX7" i="4"/>
  <c r="FY4" i="4"/>
  <c r="FY5" i="4" s="1"/>
  <c r="FZ3" i="4"/>
  <c r="FY2" i="4"/>
  <c r="FZ4" i="4" l="1"/>
  <c r="FZ5" i="4" s="1"/>
  <c r="FZ2" i="4"/>
  <c r="GA3" i="4"/>
  <c r="FY21" i="4"/>
  <c r="FY20" i="4"/>
  <c r="FY18" i="4"/>
  <c r="FY17" i="4"/>
  <c r="FY13" i="4"/>
  <c r="FY15" i="4"/>
  <c r="FY14" i="4"/>
  <c r="FY10" i="4"/>
  <c r="FY8" i="4"/>
  <c r="FY19" i="4"/>
  <c r="FY7" i="4"/>
  <c r="FY9" i="4"/>
  <c r="FY6" i="4"/>
  <c r="FY12" i="4"/>
  <c r="FY16" i="4"/>
  <c r="FY11" i="4"/>
  <c r="GA4" i="4" l="1"/>
  <c r="GA5" i="4" s="1"/>
  <c r="GB3" i="4"/>
  <c r="GA2" i="4"/>
  <c r="FZ21" i="4"/>
  <c r="FZ20" i="4"/>
  <c r="FZ13" i="4"/>
  <c r="FZ15" i="4"/>
  <c r="FZ12" i="4"/>
  <c r="FZ18" i="4"/>
  <c r="FZ11" i="4"/>
  <c r="FZ7" i="4"/>
  <c r="FZ19" i="4"/>
  <c r="FZ10" i="4"/>
  <c r="FZ8" i="4"/>
  <c r="FZ6" i="4"/>
  <c r="FZ17" i="4"/>
  <c r="FZ16" i="4"/>
  <c r="FZ9" i="4"/>
  <c r="FZ14" i="4"/>
  <c r="GB4" i="4" l="1"/>
  <c r="GB5" i="4" s="1"/>
  <c r="GB2" i="4"/>
  <c r="GC3" i="4"/>
  <c r="GA21" i="4"/>
  <c r="GA13" i="4"/>
  <c r="GA18" i="4"/>
  <c r="GA17" i="4"/>
  <c r="GA20" i="4"/>
  <c r="GA11" i="4"/>
  <c r="GA6" i="4"/>
  <c r="GA10" i="4"/>
  <c r="GA9" i="4"/>
  <c r="GA16" i="4"/>
  <c r="GA12" i="4"/>
  <c r="GA14" i="4"/>
  <c r="GA15" i="4"/>
  <c r="GA19" i="4"/>
  <c r="GA8" i="4"/>
  <c r="GA7" i="4"/>
  <c r="GC4" i="4" l="1"/>
  <c r="GC5" i="4" s="1"/>
  <c r="GD3" i="4"/>
  <c r="GC2" i="4"/>
  <c r="GB13" i="4"/>
  <c r="GB11" i="4"/>
  <c r="GB18" i="4"/>
  <c r="GB10" i="4"/>
  <c r="GB6" i="4"/>
  <c r="GB19" i="4"/>
  <c r="GB9" i="4"/>
  <c r="GB17" i="4"/>
  <c r="GB16" i="4"/>
  <c r="GB20" i="4"/>
  <c r="GB8" i="4"/>
  <c r="GB15" i="4"/>
  <c r="GB21" i="4"/>
  <c r="GB7" i="4"/>
  <c r="GB14" i="4"/>
  <c r="GB12" i="4"/>
  <c r="GD2" i="4" l="1"/>
  <c r="GE3" i="4"/>
  <c r="GD4" i="4"/>
  <c r="GD5" i="4" s="1"/>
  <c r="GC13" i="4"/>
  <c r="GC20" i="4"/>
  <c r="GC11" i="4"/>
  <c r="GC18" i="4"/>
  <c r="GC9" i="4"/>
  <c r="GC10" i="4"/>
  <c r="GC19" i="4"/>
  <c r="GC6" i="4"/>
  <c r="GC15" i="4"/>
  <c r="GC21" i="4"/>
  <c r="GC7" i="4"/>
  <c r="GC12" i="4"/>
  <c r="GC14" i="4"/>
  <c r="GC8" i="4"/>
  <c r="GC16" i="4"/>
  <c r="GC17" i="4"/>
  <c r="GD20" i="4" l="1"/>
  <c r="GD13" i="4"/>
  <c r="GD15" i="4"/>
  <c r="GD9" i="4"/>
  <c r="GD11" i="4"/>
  <c r="GD14" i="4"/>
  <c r="GD10" i="4"/>
  <c r="GD16" i="4"/>
  <c r="GD6" i="4"/>
  <c r="GD21" i="4"/>
  <c r="GD7" i="4"/>
  <c r="GD19" i="4"/>
  <c r="GD18" i="4"/>
  <c r="GD12" i="4"/>
  <c r="GD17" i="4"/>
  <c r="GD8" i="4"/>
  <c r="GE4" i="4"/>
  <c r="GE5" i="4" s="1"/>
  <c r="GF3" i="4"/>
  <c r="GE2" i="4"/>
  <c r="GF4" i="4" l="1"/>
  <c r="GF5" i="4" s="1"/>
  <c r="GF2" i="4"/>
  <c r="GG3" i="4"/>
  <c r="GE21" i="4"/>
  <c r="GE13" i="4"/>
  <c r="GE15" i="4"/>
  <c r="GE11" i="4"/>
  <c r="GE16" i="4"/>
  <c r="GE10" i="4"/>
  <c r="GE19" i="4"/>
  <c r="GE12" i="4"/>
  <c r="GE7" i="4"/>
  <c r="GE9" i="4"/>
  <c r="GE14" i="4"/>
  <c r="GE17" i="4"/>
  <c r="GE18" i="4"/>
  <c r="GE6" i="4"/>
  <c r="GE8" i="4"/>
  <c r="GE20" i="4"/>
  <c r="GG4" i="4" l="1"/>
  <c r="GG5" i="4" s="1"/>
  <c r="GH3" i="4"/>
  <c r="GG2" i="4"/>
  <c r="GF13" i="4"/>
  <c r="GF11" i="4"/>
  <c r="GF15" i="4"/>
  <c r="GF17" i="4"/>
  <c r="GF16" i="4"/>
  <c r="GF10" i="4"/>
  <c r="GF19" i="4"/>
  <c r="GF18" i="4"/>
  <c r="GF9" i="4"/>
  <c r="GF6" i="4"/>
  <c r="GF21" i="4"/>
  <c r="GF8" i="4"/>
  <c r="GF12" i="4"/>
  <c r="GF7" i="4"/>
  <c r="GF20" i="4"/>
  <c r="GF14" i="4"/>
  <c r="GH4" i="4" l="1"/>
  <c r="GH5" i="4" s="1"/>
  <c r="GH2" i="4"/>
  <c r="GI3" i="4"/>
  <c r="GG21" i="4"/>
  <c r="GG18" i="4"/>
  <c r="GG15" i="4"/>
  <c r="GG16" i="4"/>
  <c r="GG11" i="4"/>
  <c r="GG10" i="4"/>
  <c r="GG7" i="4"/>
  <c r="GG9" i="4"/>
  <c r="GG12" i="4"/>
  <c r="GG8" i="4"/>
  <c r="GG20" i="4"/>
  <c r="GG14" i="4"/>
  <c r="GG19" i="4"/>
  <c r="GG13" i="4"/>
  <c r="GG17" i="4"/>
  <c r="GG6" i="4"/>
  <c r="GI4" i="4" l="1"/>
  <c r="GI5" i="4" s="1"/>
  <c r="GI2" i="4"/>
  <c r="GJ3" i="4"/>
  <c r="GH20" i="4"/>
  <c r="GH15" i="4"/>
  <c r="GH18" i="4"/>
  <c r="GH11" i="4"/>
  <c r="GH7" i="4"/>
  <c r="GH19" i="4"/>
  <c r="GH12" i="4"/>
  <c r="GH14" i="4"/>
  <c r="GH21" i="4"/>
  <c r="GH6" i="4"/>
  <c r="GH17" i="4"/>
  <c r="GH10" i="4"/>
  <c r="GH13" i="4"/>
  <c r="GH9" i="4"/>
  <c r="GH16" i="4"/>
  <c r="GH8" i="4"/>
  <c r="GJ4" i="4" l="1"/>
  <c r="GJ5" i="4" s="1"/>
  <c r="GJ2" i="4"/>
  <c r="GK3" i="4"/>
  <c r="GI21" i="4"/>
  <c r="GI20" i="4"/>
  <c r="GI18" i="4"/>
  <c r="GI13" i="4"/>
  <c r="GI11" i="4"/>
  <c r="GI7" i="4"/>
  <c r="GI6" i="4"/>
  <c r="GI14" i="4"/>
  <c r="GI19" i="4"/>
  <c r="GI8" i="4"/>
  <c r="GI17" i="4"/>
  <c r="GI16" i="4"/>
  <c r="GI10" i="4"/>
  <c r="GI9" i="4"/>
  <c r="GI15" i="4"/>
  <c r="GI12" i="4"/>
  <c r="GK2" i="4" l="1"/>
  <c r="GL3" i="4"/>
  <c r="GK4" i="4"/>
  <c r="GK5" i="4" s="1"/>
  <c r="GJ20" i="4"/>
  <c r="GJ21" i="4"/>
  <c r="GJ13" i="4"/>
  <c r="GJ11" i="4"/>
  <c r="GJ7" i="4"/>
  <c r="GJ6" i="4"/>
  <c r="GJ8" i="4"/>
  <c r="GJ9" i="4"/>
  <c r="GJ19" i="4"/>
  <c r="GJ10" i="4"/>
  <c r="GJ17" i="4"/>
  <c r="GJ14" i="4"/>
  <c r="GJ12" i="4"/>
  <c r="GJ15" i="4"/>
  <c r="GJ18" i="4"/>
  <c r="GJ16" i="4"/>
  <c r="GK21" i="4" l="1"/>
  <c r="GK11" i="4"/>
  <c r="GK17" i="4"/>
  <c r="GK13" i="4"/>
  <c r="GK7" i="4"/>
  <c r="GK19" i="4"/>
  <c r="GK14" i="4"/>
  <c r="GK8" i="4"/>
  <c r="GK6" i="4"/>
  <c r="GK20" i="4"/>
  <c r="GK16" i="4"/>
  <c r="GK10" i="4"/>
  <c r="GK18" i="4"/>
  <c r="GK15" i="4"/>
  <c r="GK12" i="4"/>
  <c r="GK9" i="4"/>
  <c r="GM3" i="4"/>
  <c r="GL4" i="4"/>
  <c r="GL5" i="4" s="1"/>
  <c r="GL2" i="4"/>
  <c r="GN3" i="4" l="1"/>
  <c r="GM2" i="4"/>
  <c r="GM4" i="4"/>
  <c r="GM5" i="4" s="1"/>
  <c r="GL21" i="4"/>
  <c r="GL11" i="4"/>
  <c r="GL14" i="4"/>
  <c r="GL13" i="4"/>
  <c r="GL10" i="4"/>
  <c r="GL16" i="4"/>
  <c r="GL7" i="4"/>
  <c r="GL8" i="4"/>
  <c r="GL12" i="4"/>
  <c r="GL9" i="4"/>
  <c r="GL15" i="4"/>
  <c r="GL6" i="4"/>
  <c r="GL18" i="4"/>
  <c r="GL19" i="4"/>
  <c r="GL20" i="4"/>
  <c r="GL17" i="4"/>
  <c r="GM18" i="4" l="1"/>
  <c r="GM21" i="4"/>
  <c r="GM12" i="4"/>
  <c r="GM16" i="4"/>
  <c r="GM9" i="4"/>
  <c r="GM10" i="4"/>
  <c r="GM19" i="4"/>
  <c r="GM7" i="4"/>
  <c r="GM14" i="4"/>
  <c r="GM6" i="4"/>
  <c r="GM11" i="4"/>
  <c r="GM15" i="4"/>
  <c r="GM17" i="4"/>
  <c r="GM8" i="4"/>
  <c r="GM20" i="4"/>
  <c r="GM13" i="4"/>
  <c r="GN4" i="4"/>
  <c r="GN5" i="4" s="1"/>
  <c r="GO3" i="4"/>
  <c r="GN2" i="4"/>
  <c r="GO4" i="4" l="1"/>
  <c r="GO5" i="4" s="1"/>
  <c r="GP3" i="4"/>
  <c r="GO2" i="4"/>
  <c r="GN21" i="4"/>
  <c r="GN20" i="4"/>
  <c r="GN12" i="4"/>
  <c r="GN9" i="4"/>
  <c r="GN10" i="4"/>
  <c r="GN7" i="4"/>
  <c r="GN6" i="4"/>
  <c r="GN19" i="4"/>
  <c r="GN11" i="4"/>
  <c r="GN18" i="4"/>
  <c r="GN8" i="4"/>
  <c r="GN17" i="4"/>
  <c r="GN16" i="4"/>
  <c r="GN15" i="4"/>
  <c r="GN14" i="4"/>
  <c r="GN13" i="4"/>
  <c r="GQ3" i="4" l="1"/>
  <c r="GP2" i="4"/>
  <c r="GP4" i="4"/>
  <c r="GP5" i="4" s="1"/>
  <c r="GO21" i="4"/>
  <c r="GO18" i="4"/>
  <c r="GO15" i="4"/>
  <c r="GO9" i="4"/>
  <c r="GO19" i="4"/>
  <c r="GO12" i="4"/>
  <c r="GO6" i="4"/>
  <c r="GO7" i="4"/>
  <c r="GO14" i="4"/>
  <c r="GO8" i="4"/>
  <c r="GO20" i="4"/>
  <c r="GO10" i="4"/>
  <c r="GO17" i="4"/>
  <c r="GO16" i="4"/>
  <c r="GO13" i="4"/>
  <c r="GO11" i="4"/>
  <c r="GP21" i="4" l="1"/>
  <c r="GP15" i="4"/>
  <c r="GP11" i="4"/>
  <c r="GP13" i="4"/>
  <c r="GP14" i="4"/>
  <c r="GP6" i="4"/>
  <c r="GP9" i="4"/>
  <c r="GP19" i="4"/>
  <c r="GP7" i="4"/>
  <c r="GP10" i="4"/>
  <c r="GP8" i="4"/>
  <c r="GP20" i="4"/>
  <c r="GP17" i="4"/>
  <c r="GP12" i="4"/>
  <c r="GP18" i="4"/>
  <c r="GP16" i="4"/>
  <c r="GR3" i="4"/>
  <c r="GQ2" i="4"/>
  <c r="GQ4" i="4"/>
  <c r="GQ5" i="4" s="1"/>
  <c r="GS3" i="4" l="1"/>
  <c r="GR2" i="4"/>
  <c r="GR4" i="4"/>
  <c r="GR5" i="4" s="1"/>
  <c r="GQ18" i="4"/>
  <c r="GQ21" i="4"/>
  <c r="GQ14" i="4"/>
  <c r="GQ17" i="4"/>
  <c r="GQ16" i="4"/>
  <c r="GQ11" i="4"/>
  <c r="GQ15" i="4"/>
  <c r="GQ12" i="4"/>
  <c r="GQ13" i="4"/>
  <c r="GQ6" i="4"/>
  <c r="GQ9" i="4"/>
  <c r="GQ7" i="4"/>
  <c r="GQ10" i="4"/>
  <c r="GQ8" i="4"/>
  <c r="GQ20" i="4"/>
  <c r="GQ19" i="4"/>
  <c r="GR18" i="4" l="1"/>
  <c r="GR15" i="4"/>
  <c r="GR13" i="4"/>
  <c r="GR14" i="4"/>
  <c r="GR16" i="4"/>
  <c r="GR11" i="4"/>
  <c r="GR12" i="4"/>
  <c r="GR21" i="4"/>
  <c r="GR8" i="4"/>
  <c r="GR19" i="4"/>
  <c r="GR6" i="4"/>
  <c r="GR9" i="4"/>
  <c r="GR17" i="4"/>
  <c r="GR20" i="4"/>
  <c r="GR10" i="4"/>
  <c r="GR7" i="4"/>
  <c r="GT3" i="4"/>
  <c r="GS2" i="4"/>
  <c r="GS4" i="4"/>
  <c r="GS5" i="4" s="1"/>
  <c r="GS21" i="4" l="1"/>
  <c r="GS20" i="4"/>
  <c r="GS18" i="4"/>
  <c r="GS15" i="4"/>
  <c r="GS11" i="4"/>
  <c r="GS13" i="4"/>
  <c r="GS14" i="4"/>
  <c r="GS12" i="4"/>
  <c r="GS19" i="4"/>
  <c r="GS8" i="4"/>
  <c r="GS10" i="4"/>
  <c r="GS9" i="4"/>
  <c r="GS6" i="4"/>
  <c r="GS7" i="4"/>
  <c r="GS17" i="4"/>
  <c r="GS16" i="4"/>
  <c r="GT4" i="4"/>
  <c r="GT5" i="4" s="1"/>
  <c r="GT2" i="4"/>
  <c r="GU3" i="4"/>
  <c r="GT18" i="4" l="1"/>
  <c r="GT20" i="4"/>
  <c r="GT14" i="4"/>
  <c r="GT11" i="4"/>
  <c r="GT13" i="4"/>
  <c r="GT9" i="4"/>
  <c r="GT19" i="4"/>
  <c r="GT12" i="4"/>
  <c r="GT8" i="4"/>
  <c r="GT17" i="4"/>
  <c r="GT6" i="4"/>
  <c r="GT10" i="4"/>
  <c r="GT15" i="4"/>
  <c r="GT7" i="4"/>
  <c r="GT21" i="4"/>
  <c r="GT16" i="4"/>
  <c r="GU4" i="4"/>
  <c r="GU5" i="4" s="1"/>
  <c r="GU2" i="4"/>
  <c r="GV3" i="4"/>
  <c r="GV4" i="4" l="1"/>
  <c r="GV5" i="4" s="1"/>
  <c r="GW3" i="4"/>
  <c r="GV2" i="4"/>
  <c r="GU18" i="4"/>
  <c r="GU20" i="4"/>
  <c r="GU13" i="4"/>
  <c r="GU17" i="4"/>
  <c r="GU11" i="4"/>
  <c r="GU12" i="4"/>
  <c r="GU19" i="4"/>
  <c r="GU6" i="4"/>
  <c r="GU10" i="4"/>
  <c r="GU16" i="4"/>
  <c r="GU14" i="4"/>
  <c r="GU15" i="4"/>
  <c r="GU7" i="4"/>
  <c r="GU9" i="4"/>
  <c r="GU8" i="4"/>
  <c r="GU21" i="4"/>
  <c r="GW2" i="4" l="1"/>
  <c r="GW4" i="4"/>
  <c r="GW5" i="4" s="1"/>
  <c r="GX3" i="4"/>
  <c r="GV20" i="4"/>
  <c r="GV13" i="4"/>
  <c r="GV11" i="4"/>
  <c r="GV18" i="4"/>
  <c r="GV17" i="4"/>
  <c r="GV9" i="4"/>
  <c r="GV6" i="4"/>
  <c r="GV19" i="4"/>
  <c r="GV7" i="4"/>
  <c r="GV12" i="4"/>
  <c r="GV15" i="4"/>
  <c r="GV16" i="4"/>
  <c r="GV14" i="4"/>
  <c r="GV10" i="4"/>
  <c r="GV21" i="4"/>
  <c r="GV8" i="4"/>
  <c r="GX4" i="4" l="1"/>
  <c r="GX5" i="4" s="1"/>
  <c r="GX2" i="4"/>
  <c r="GY3" i="4"/>
  <c r="GW20" i="4"/>
  <c r="GW15" i="4"/>
  <c r="GW18" i="4"/>
  <c r="GW16" i="4"/>
  <c r="GW11" i="4"/>
  <c r="GW10" i="4"/>
  <c r="GW7" i="4"/>
  <c r="GW17" i="4"/>
  <c r="GW9" i="4"/>
  <c r="GW8" i="4"/>
  <c r="GW19" i="4"/>
  <c r="GW12" i="4"/>
  <c r="GW14" i="4"/>
  <c r="GW13" i="4"/>
  <c r="GW21" i="4"/>
  <c r="GW6" i="4"/>
  <c r="GY2" i="4" l="1"/>
  <c r="GY4" i="4"/>
  <c r="GY5" i="4" s="1"/>
  <c r="GZ3" i="4"/>
  <c r="GX20" i="4"/>
  <c r="GX18" i="4"/>
  <c r="GX17" i="4"/>
  <c r="GX11" i="4"/>
  <c r="GX15" i="4"/>
  <c r="GX16" i="4"/>
  <c r="GX10" i="4"/>
  <c r="GX12" i="4"/>
  <c r="GX19" i="4"/>
  <c r="GX8" i="4"/>
  <c r="GX14" i="4"/>
  <c r="GX21" i="4"/>
  <c r="GX9" i="4"/>
  <c r="GX6" i="4"/>
  <c r="GX13" i="4"/>
  <c r="GX7" i="4"/>
  <c r="GZ2" i="4" l="1"/>
  <c r="GZ4" i="4"/>
  <c r="GZ5" i="4" s="1"/>
  <c r="HA3" i="4"/>
  <c r="GY21" i="4"/>
  <c r="GY20" i="4"/>
  <c r="GY11" i="4"/>
  <c r="GY15" i="4"/>
  <c r="GY16" i="4"/>
  <c r="GY13" i="4"/>
  <c r="GY12" i="4"/>
  <c r="GY9" i="4"/>
  <c r="GY10" i="4"/>
  <c r="GY8" i="4"/>
  <c r="GY14" i="4"/>
  <c r="GY7" i="4"/>
  <c r="GY18" i="4"/>
  <c r="GY17" i="4"/>
  <c r="GY6" i="4"/>
  <c r="GY19" i="4"/>
  <c r="HA2" i="4" l="1"/>
  <c r="HA4" i="4"/>
  <c r="HA5" i="4" s="1"/>
  <c r="HB3" i="4"/>
  <c r="GZ21" i="4"/>
  <c r="GZ13" i="4"/>
  <c r="GZ17" i="4"/>
  <c r="GZ20" i="4"/>
  <c r="GZ16" i="4"/>
  <c r="GZ12" i="4"/>
  <c r="GZ11" i="4"/>
  <c r="GZ10" i="4"/>
  <c r="GZ9" i="4"/>
  <c r="GZ6" i="4"/>
  <c r="GZ8" i="4"/>
  <c r="GZ19" i="4"/>
  <c r="GZ7" i="4"/>
  <c r="GZ14" i="4"/>
  <c r="GZ18" i="4"/>
  <c r="GZ15" i="4"/>
  <c r="HB4" i="4" l="1"/>
  <c r="HB5" i="4" s="1"/>
  <c r="HC3" i="4"/>
  <c r="HB2" i="4"/>
  <c r="HA21" i="4"/>
  <c r="HA13" i="4"/>
  <c r="HA20" i="4"/>
  <c r="HA16" i="4"/>
  <c r="HA11" i="4"/>
  <c r="HA12" i="4"/>
  <c r="HA9" i="4"/>
  <c r="HA19" i="4"/>
  <c r="HA6" i="4"/>
  <c r="HA8" i="4"/>
  <c r="HA18" i="4"/>
  <c r="HA10" i="4"/>
  <c r="HA15" i="4"/>
  <c r="HA7" i="4"/>
  <c r="HA14" i="4"/>
  <c r="HA17" i="4"/>
  <c r="HD3" i="4" l="1"/>
  <c r="HC4" i="4"/>
  <c r="HC5" i="4" s="1"/>
  <c r="HC2" i="4"/>
  <c r="HB21" i="4"/>
  <c r="HB13" i="4"/>
  <c r="HB11" i="4"/>
  <c r="HB19" i="4"/>
  <c r="HB8" i="4"/>
  <c r="HB10" i="4"/>
  <c r="HB15" i="4"/>
  <c r="HB9" i="4"/>
  <c r="HB16" i="4"/>
  <c r="HB7" i="4"/>
  <c r="HB14" i="4"/>
  <c r="HB20" i="4"/>
  <c r="HB6" i="4"/>
  <c r="HB12" i="4"/>
  <c r="HB18" i="4"/>
  <c r="HB17" i="4"/>
  <c r="HC21" i="4" l="1"/>
  <c r="HC15" i="4"/>
  <c r="HC13" i="4"/>
  <c r="HC9" i="4"/>
  <c r="HC12" i="4"/>
  <c r="HC6" i="4"/>
  <c r="HC8" i="4"/>
  <c r="HC10" i="4"/>
  <c r="HC18" i="4"/>
  <c r="HC16" i="4"/>
  <c r="HC7" i="4"/>
  <c r="HC11" i="4"/>
  <c r="HC14" i="4"/>
  <c r="HC19" i="4"/>
  <c r="HC17" i="4"/>
  <c r="HC20" i="4"/>
  <c r="HD4" i="4"/>
  <c r="HD5" i="4" s="1"/>
  <c r="HE3" i="4"/>
  <c r="HD2" i="4"/>
  <c r="HD21" i="4" l="1"/>
  <c r="HD15" i="4"/>
  <c r="HD14" i="4"/>
  <c r="HD13" i="4"/>
  <c r="HD9" i="4"/>
  <c r="HD7" i="4"/>
  <c r="HD6" i="4"/>
  <c r="HD8" i="4"/>
  <c r="HD12" i="4"/>
  <c r="HD18" i="4"/>
  <c r="HD17" i="4"/>
  <c r="HD20" i="4"/>
  <c r="HD10" i="4"/>
  <c r="HD16" i="4"/>
  <c r="HD19" i="4"/>
  <c r="HD11" i="4"/>
  <c r="HE4" i="4"/>
  <c r="HE5" i="4" s="1"/>
  <c r="HE2" i="4"/>
  <c r="HF3" i="4"/>
  <c r="HF4" i="4" l="1"/>
  <c r="HF5" i="4" s="1"/>
  <c r="HF2" i="4"/>
  <c r="HG3" i="4"/>
  <c r="HE21" i="4"/>
  <c r="HE15" i="4"/>
  <c r="HE6" i="4"/>
  <c r="HE7" i="4"/>
  <c r="HE19" i="4"/>
  <c r="HE9" i="4"/>
  <c r="HE14" i="4"/>
  <c r="HE17" i="4"/>
  <c r="HE12" i="4"/>
  <c r="HE16" i="4"/>
  <c r="HE10" i="4"/>
  <c r="HE20" i="4"/>
  <c r="HE18" i="4"/>
  <c r="HE8" i="4"/>
  <c r="HE11" i="4"/>
  <c r="HE13" i="4"/>
  <c r="HG4" i="4" l="1"/>
  <c r="HG5" i="4" s="1"/>
  <c r="HH3" i="4"/>
  <c r="HG2" i="4"/>
  <c r="HF21" i="4"/>
  <c r="HF15" i="4"/>
  <c r="HF17" i="4"/>
  <c r="HF6" i="4"/>
  <c r="HF11" i="4"/>
  <c r="HF19" i="4"/>
  <c r="HF7" i="4"/>
  <c r="HF14" i="4"/>
  <c r="HF8" i="4"/>
  <c r="HF12" i="4"/>
  <c r="HF9" i="4"/>
  <c r="HF10" i="4"/>
  <c r="HF18" i="4"/>
  <c r="HF20" i="4"/>
  <c r="HF13" i="4"/>
  <c r="HF16" i="4"/>
  <c r="HH4" i="4" l="1"/>
  <c r="HH5" i="4" s="1"/>
  <c r="HI3" i="4"/>
  <c r="HH2" i="4"/>
  <c r="HG21" i="4"/>
  <c r="HG18" i="4"/>
  <c r="HG15" i="4"/>
  <c r="HG14" i="4"/>
  <c r="HG11" i="4"/>
  <c r="HG7" i="4"/>
  <c r="HG6" i="4"/>
  <c r="HG9" i="4"/>
  <c r="HG17" i="4"/>
  <c r="HG10" i="4"/>
  <c r="HG19" i="4"/>
  <c r="HG13" i="4"/>
  <c r="HG20" i="4"/>
  <c r="HG16" i="4"/>
  <c r="HG8" i="4"/>
  <c r="HG12" i="4"/>
  <c r="HI4" i="4" l="1"/>
  <c r="HI5" i="4" s="1"/>
  <c r="HJ3" i="4"/>
  <c r="HI2" i="4"/>
  <c r="HH21" i="4"/>
  <c r="HH18" i="4"/>
  <c r="HH14" i="4"/>
  <c r="HH13" i="4"/>
  <c r="HH10" i="4"/>
  <c r="HH11" i="4"/>
  <c r="HH7" i="4"/>
  <c r="HH6" i="4"/>
  <c r="HH8" i="4"/>
  <c r="HH16" i="4"/>
  <c r="HH19" i="4"/>
  <c r="HH12" i="4"/>
  <c r="HH15" i="4"/>
  <c r="HH9" i="4"/>
  <c r="HH17" i="4"/>
  <c r="HH20" i="4"/>
  <c r="HJ4" i="4" l="1"/>
  <c r="HJ5" i="4" s="1"/>
  <c r="HK3" i="4"/>
  <c r="HJ2" i="4"/>
  <c r="HI21" i="4"/>
  <c r="HI18" i="4"/>
  <c r="HI16" i="4"/>
  <c r="HI20" i="4"/>
  <c r="HI11" i="4"/>
  <c r="HI13" i="4"/>
  <c r="HI10" i="4"/>
  <c r="HI6" i="4"/>
  <c r="HI7" i="4"/>
  <c r="HI8" i="4"/>
  <c r="HI12" i="4"/>
  <c r="HI9" i="4"/>
  <c r="HI19" i="4"/>
  <c r="HI17" i="4"/>
  <c r="HI15" i="4"/>
  <c r="HI14" i="4"/>
  <c r="HK4" i="4" l="1"/>
  <c r="HK5" i="4" s="1"/>
  <c r="HK2" i="4"/>
  <c r="HL3" i="4"/>
  <c r="HJ21" i="4"/>
  <c r="HJ18" i="4"/>
  <c r="HJ13" i="4"/>
  <c r="HJ11" i="4"/>
  <c r="HJ10" i="4"/>
  <c r="HJ9" i="4"/>
  <c r="HJ19" i="4"/>
  <c r="HJ7" i="4"/>
  <c r="HJ8" i="4"/>
  <c r="HJ6" i="4"/>
  <c r="HJ17" i="4"/>
  <c r="HJ12" i="4"/>
  <c r="HJ20" i="4"/>
  <c r="HJ16" i="4"/>
  <c r="HJ15" i="4"/>
  <c r="HJ14" i="4"/>
  <c r="HL4" i="4" l="1"/>
  <c r="HL5" i="4" s="1"/>
  <c r="HL2" i="4"/>
  <c r="HM3" i="4"/>
  <c r="HK21" i="4"/>
  <c r="HK18" i="4"/>
  <c r="HK13" i="4"/>
  <c r="HK15" i="4"/>
  <c r="HK11" i="4"/>
  <c r="HK12" i="4"/>
  <c r="HK10" i="4"/>
  <c r="HK7" i="4"/>
  <c r="HK19" i="4"/>
  <c r="HK9" i="4"/>
  <c r="HK16" i="4"/>
  <c r="HK20" i="4"/>
  <c r="HK6" i="4"/>
  <c r="HK14" i="4"/>
  <c r="HK8" i="4"/>
  <c r="HK17" i="4"/>
  <c r="HM4" i="4" l="1"/>
  <c r="HM5" i="4" s="1"/>
  <c r="HM2" i="4"/>
  <c r="HN3" i="4"/>
  <c r="HL15" i="4"/>
  <c r="HL13" i="4"/>
  <c r="HL18" i="4"/>
  <c r="HL11" i="4"/>
  <c r="HL10" i="4"/>
  <c r="HL7" i="4"/>
  <c r="HL8" i="4"/>
  <c r="HL6" i="4"/>
  <c r="HL19" i="4"/>
  <c r="HL12" i="4"/>
  <c r="HL14" i="4"/>
  <c r="HL21" i="4"/>
  <c r="HL16" i="4"/>
  <c r="HL9" i="4"/>
  <c r="HL17" i="4"/>
  <c r="HL20" i="4"/>
  <c r="HN2" i="4" l="1"/>
  <c r="HO3" i="4"/>
  <c r="HN4" i="4"/>
  <c r="HN5" i="4" s="1"/>
  <c r="HM20" i="4"/>
  <c r="HM18" i="4"/>
  <c r="HM11" i="4"/>
  <c r="HM10" i="4"/>
  <c r="HM19" i="4"/>
  <c r="HM8" i="4"/>
  <c r="HM6" i="4"/>
  <c r="HM17" i="4"/>
  <c r="HM13" i="4"/>
  <c r="HM16" i="4"/>
  <c r="HM12" i="4"/>
  <c r="HM9" i="4"/>
  <c r="HM21" i="4"/>
  <c r="HM14" i="4"/>
  <c r="HM7" i="4"/>
  <c r="HM15" i="4"/>
  <c r="HN18" i="4" l="1"/>
  <c r="HN20" i="4"/>
  <c r="HN11" i="4"/>
  <c r="HN16" i="4"/>
  <c r="HN17" i="4"/>
  <c r="HN6" i="4"/>
  <c r="HN12" i="4"/>
  <c r="HN19" i="4"/>
  <c r="HN8" i="4"/>
  <c r="HN15" i="4"/>
  <c r="HN13" i="4"/>
  <c r="HN21" i="4"/>
  <c r="HN7" i="4"/>
  <c r="HN10" i="4"/>
  <c r="HN9" i="4"/>
  <c r="HN14" i="4"/>
  <c r="HO2" i="4"/>
  <c r="HP3" i="4"/>
  <c r="HO4" i="4"/>
  <c r="HO5" i="4" s="1"/>
  <c r="HO18" i="4" l="1"/>
  <c r="HO20" i="4"/>
  <c r="HO13" i="4"/>
  <c r="HO16" i="4"/>
  <c r="HO11" i="4"/>
  <c r="HO8" i="4"/>
  <c r="HO19" i="4"/>
  <c r="HO10" i="4"/>
  <c r="HO14" i="4"/>
  <c r="HO7" i="4"/>
  <c r="HO12" i="4"/>
  <c r="HO15" i="4"/>
  <c r="HO6" i="4"/>
  <c r="HO9" i="4"/>
  <c r="HO17" i="4"/>
  <c r="HO21" i="4"/>
  <c r="HP2" i="4"/>
  <c r="HQ3" i="4"/>
  <c r="HP4" i="4"/>
  <c r="HP5" i="4" s="1"/>
  <c r="HP18" i="4" l="1"/>
  <c r="HP20" i="4"/>
  <c r="HP13" i="4"/>
  <c r="HP7" i="4"/>
  <c r="HP9" i="4"/>
  <c r="HP11" i="4"/>
  <c r="HP19" i="4"/>
  <c r="HP12" i="4"/>
  <c r="HP10" i="4"/>
  <c r="HP14" i="4"/>
  <c r="HP8" i="4"/>
  <c r="HP15" i="4"/>
  <c r="HP16" i="4"/>
  <c r="HP21" i="4"/>
  <c r="HP6" i="4"/>
  <c r="HP17" i="4"/>
  <c r="HQ2" i="4"/>
  <c r="HQ4" i="4"/>
  <c r="HQ5" i="4" s="1"/>
  <c r="HR3" i="4"/>
  <c r="HR4" i="4" l="1"/>
  <c r="HR5" i="4" s="1"/>
  <c r="HS3" i="4"/>
  <c r="HR2" i="4"/>
  <c r="HQ21" i="4"/>
  <c r="HQ18" i="4"/>
  <c r="HQ20" i="4"/>
  <c r="HQ11" i="4"/>
  <c r="HQ13" i="4"/>
  <c r="HQ9" i="4"/>
  <c r="HQ6" i="4"/>
  <c r="HQ17" i="4"/>
  <c r="HQ7" i="4"/>
  <c r="HQ14" i="4"/>
  <c r="HQ8" i="4"/>
  <c r="HQ19" i="4"/>
  <c r="HQ16" i="4"/>
  <c r="HQ15" i="4"/>
  <c r="HQ12" i="4"/>
  <c r="HQ10" i="4"/>
  <c r="HS4" i="4" l="1"/>
  <c r="HS5" i="4" s="1"/>
  <c r="HT3" i="4"/>
  <c r="HS2" i="4"/>
  <c r="HR21" i="4"/>
  <c r="HR18" i="4"/>
  <c r="HR20" i="4"/>
  <c r="HR13" i="4"/>
  <c r="HR11" i="4"/>
  <c r="HR10" i="4"/>
  <c r="HR8" i="4"/>
  <c r="HR6" i="4"/>
  <c r="HR16" i="4"/>
  <c r="HR15" i="4"/>
  <c r="HR19" i="4"/>
  <c r="HR7" i="4"/>
  <c r="HR9" i="4"/>
  <c r="HR17" i="4"/>
  <c r="HR12" i="4"/>
  <c r="HR14" i="4"/>
  <c r="HT4" i="4" l="1"/>
  <c r="HT5" i="4" s="1"/>
  <c r="HU3" i="4"/>
  <c r="HT2" i="4"/>
  <c r="HS21" i="4"/>
  <c r="HS18" i="4"/>
  <c r="HS13" i="4"/>
  <c r="HS12" i="4"/>
  <c r="HS9" i="4"/>
  <c r="HS15" i="4"/>
  <c r="HS7" i="4"/>
  <c r="HS19" i="4"/>
  <c r="HS10" i="4"/>
  <c r="HS6" i="4"/>
  <c r="HS11" i="4"/>
  <c r="HS14" i="4"/>
  <c r="HS16" i="4"/>
  <c r="HS8" i="4"/>
  <c r="HS20" i="4"/>
  <c r="HS17" i="4"/>
  <c r="HU4" i="4" l="1"/>
  <c r="HU5" i="4" s="1"/>
  <c r="HU2" i="4"/>
  <c r="HV3" i="4"/>
  <c r="HT21" i="4"/>
  <c r="HT13" i="4"/>
  <c r="HT12" i="4"/>
  <c r="HT15" i="4"/>
  <c r="HT9" i="4"/>
  <c r="HT10" i="4"/>
  <c r="HT6" i="4"/>
  <c r="HT8" i="4"/>
  <c r="HT11" i="4"/>
  <c r="HT14" i="4"/>
  <c r="HT7" i="4"/>
  <c r="HT19" i="4"/>
  <c r="HT18" i="4"/>
  <c r="HT17" i="4"/>
  <c r="HT16" i="4"/>
  <c r="HT20" i="4"/>
  <c r="HV4" i="4" l="1"/>
  <c r="HV5" i="4" s="1"/>
  <c r="HW3" i="4"/>
  <c r="HV2" i="4"/>
  <c r="HU21" i="4"/>
  <c r="HU13" i="4"/>
  <c r="HU15" i="4"/>
  <c r="HU17" i="4"/>
  <c r="HU12" i="4"/>
  <c r="HU9" i="4"/>
  <c r="HU19" i="4"/>
  <c r="HU8" i="4"/>
  <c r="HU7" i="4"/>
  <c r="HU14" i="4"/>
  <c r="HU16" i="4"/>
  <c r="HU20" i="4"/>
  <c r="HU6" i="4"/>
  <c r="HU18" i="4"/>
  <c r="HU10" i="4"/>
  <c r="HU11" i="4"/>
  <c r="HW2" i="4" l="1"/>
  <c r="HW4" i="4"/>
  <c r="HW5" i="4" s="1"/>
  <c r="HX3" i="4"/>
  <c r="HV21" i="4"/>
  <c r="HV20" i="4"/>
  <c r="HV13" i="4"/>
  <c r="HV15" i="4"/>
  <c r="HV12" i="4"/>
  <c r="HV9" i="4"/>
  <c r="HV11" i="4"/>
  <c r="HV8" i="4"/>
  <c r="HV7" i="4"/>
  <c r="HV10" i="4"/>
  <c r="HV18" i="4"/>
  <c r="HV17" i="4"/>
  <c r="HV19" i="4"/>
  <c r="HV6" i="4"/>
  <c r="HV16" i="4"/>
  <c r="HV14" i="4"/>
  <c r="HX2" i="4" l="1"/>
  <c r="HY3" i="4"/>
  <c r="HX4" i="4"/>
  <c r="HX5" i="4" s="1"/>
  <c r="HW20" i="4"/>
  <c r="HW21" i="4"/>
  <c r="HW16" i="4"/>
  <c r="HW11" i="4"/>
  <c r="HW9" i="4"/>
  <c r="HW15" i="4"/>
  <c r="HW12" i="4"/>
  <c r="HW6" i="4"/>
  <c r="HW13" i="4"/>
  <c r="HW7" i="4"/>
  <c r="HW10" i="4"/>
  <c r="HW8" i="4"/>
  <c r="HW18" i="4"/>
  <c r="HW19" i="4"/>
  <c r="HW17" i="4"/>
  <c r="HW14" i="4"/>
  <c r="HX21" i="4" l="1"/>
  <c r="HX15" i="4"/>
  <c r="HX11" i="4"/>
  <c r="HX9" i="4"/>
  <c r="HX6" i="4"/>
  <c r="HX7" i="4"/>
  <c r="HX16" i="4"/>
  <c r="HX13" i="4"/>
  <c r="HX8" i="4"/>
  <c r="HX14" i="4"/>
  <c r="HX17" i="4"/>
  <c r="HX10" i="4"/>
  <c r="HX19" i="4"/>
  <c r="HX18" i="4"/>
  <c r="HX12" i="4"/>
  <c r="HX20" i="4"/>
  <c r="HZ3" i="4"/>
  <c r="HY2" i="4"/>
  <c r="HY4" i="4"/>
  <c r="HY5" i="4" s="1"/>
  <c r="HY20" i="4" l="1"/>
  <c r="HY15" i="4"/>
  <c r="HY14" i="4"/>
  <c r="HY12" i="4"/>
  <c r="HY11" i="4"/>
  <c r="HY21" i="4"/>
  <c r="HY9" i="4"/>
  <c r="HY8" i="4"/>
  <c r="HY16" i="4"/>
  <c r="HY10" i="4"/>
  <c r="HY17" i="4"/>
  <c r="HY6" i="4"/>
  <c r="HY19" i="4"/>
  <c r="HY7" i="4"/>
  <c r="HY13" i="4"/>
  <c r="HY18" i="4"/>
  <c r="HZ4" i="4"/>
  <c r="HZ5" i="4" s="1"/>
  <c r="IA3" i="4"/>
  <c r="HZ2" i="4"/>
  <c r="IB3" i="4" l="1"/>
  <c r="IA4" i="4"/>
  <c r="IA5" i="4" s="1"/>
  <c r="IA2" i="4"/>
  <c r="HZ20" i="4"/>
  <c r="HZ15" i="4"/>
  <c r="HZ13" i="4"/>
  <c r="HZ21" i="4"/>
  <c r="HZ14" i="4"/>
  <c r="HZ11" i="4"/>
  <c r="HZ9" i="4"/>
  <c r="HZ19" i="4"/>
  <c r="HZ6" i="4"/>
  <c r="HZ7" i="4"/>
  <c r="HZ16" i="4"/>
  <c r="HZ12" i="4"/>
  <c r="HZ8" i="4"/>
  <c r="HZ18" i="4"/>
  <c r="HZ17" i="4"/>
  <c r="HZ10" i="4"/>
  <c r="IA20" i="4" l="1"/>
  <c r="IA13" i="4"/>
  <c r="IA11" i="4"/>
  <c r="IA15" i="4"/>
  <c r="IA21" i="4"/>
  <c r="IA14" i="4"/>
  <c r="IA19" i="4"/>
  <c r="IA8" i="4"/>
  <c r="IA6" i="4"/>
  <c r="IA9" i="4"/>
  <c r="IA17" i="4"/>
  <c r="IA18" i="4"/>
  <c r="IA16" i="4"/>
  <c r="IA7" i="4"/>
  <c r="IA10" i="4"/>
  <c r="IA12" i="4"/>
  <c r="IC3" i="4"/>
  <c r="IB4" i="4"/>
  <c r="IB5" i="4" s="1"/>
  <c r="IB2" i="4"/>
  <c r="IB18" i="4" l="1"/>
  <c r="IB16" i="4"/>
  <c r="IB13" i="4"/>
  <c r="IB20" i="4"/>
  <c r="IB12" i="4"/>
  <c r="IB11" i="4"/>
  <c r="IB14" i="4"/>
  <c r="IB15" i="4"/>
  <c r="IB6" i="4"/>
  <c r="IB9" i="4"/>
  <c r="IB8" i="4"/>
  <c r="IB19" i="4"/>
  <c r="IB7" i="4"/>
  <c r="IB21" i="4"/>
  <c r="IB10" i="4"/>
  <c r="IB17" i="4"/>
  <c r="ID3" i="4"/>
  <c r="IC4" i="4"/>
  <c r="IC5" i="4" s="1"/>
  <c r="IC2" i="4"/>
  <c r="IC15" i="4" l="1"/>
  <c r="IC18" i="4"/>
  <c r="IC21" i="4"/>
  <c r="IC17" i="4"/>
  <c r="IC16" i="4"/>
  <c r="IC11" i="4"/>
  <c r="IC10" i="4"/>
  <c r="IC6" i="4"/>
  <c r="IC8" i="4"/>
  <c r="IC7" i="4"/>
  <c r="IC13" i="4"/>
  <c r="IC9" i="4"/>
  <c r="IC20" i="4"/>
  <c r="IC12" i="4"/>
  <c r="IC19" i="4"/>
  <c r="IC14" i="4"/>
  <c r="IE3" i="4"/>
  <c r="ID4" i="4"/>
  <c r="ID5" i="4" s="1"/>
  <c r="ID2" i="4"/>
  <c r="IE2" i="4" l="1"/>
  <c r="IE4" i="4"/>
  <c r="IE5" i="4" s="1"/>
  <c r="IF3" i="4"/>
  <c r="ID18" i="4"/>
  <c r="ID17" i="4"/>
  <c r="ID16" i="4"/>
  <c r="ID11" i="4"/>
  <c r="ID10" i="4"/>
  <c r="ID6" i="4"/>
  <c r="ID19" i="4"/>
  <c r="ID12" i="4"/>
  <c r="ID20" i="4"/>
  <c r="ID13" i="4"/>
  <c r="ID21" i="4"/>
  <c r="ID8" i="4"/>
  <c r="ID7" i="4"/>
  <c r="ID15" i="4"/>
  <c r="ID14" i="4"/>
  <c r="ID9" i="4"/>
  <c r="IG3" i="4" l="1"/>
  <c r="IF2" i="4"/>
  <c r="IF4" i="4"/>
  <c r="IF5" i="4" s="1"/>
  <c r="IE17" i="4"/>
  <c r="IE13" i="4"/>
  <c r="IE16" i="4"/>
  <c r="IE11" i="4"/>
  <c r="IE18" i="4"/>
  <c r="IE21" i="4"/>
  <c r="IE14" i="4"/>
  <c r="IE10" i="4"/>
  <c r="IE6" i="4"/>
  <c r="IE7" i="4"/>
  <c r="IE8" i="4"/>
  <c r="IE12" i="4"/>
  <c r="IE20" i="4"/>
  <c r="IE19" i="4"/>
  <c r="IE15" i="4"/>
  <c r="IE9" i="4"/>
  <c r="IF16" i="4" l="1"/>
  <c r="IF18" i="4"/>
  <c r="IF11" i="4"/>
  <c r="IF13" i="4"/>
  <c r="IF14" i="4"/>
  <c r="IF17" i="4"/>
  <c r="IF10" i="4"/>
  <c r="IF19" i="4"/>
  <c r="IF9" i="4"/>
  <c r="IF7" i="4"/>
  <c r="IF20" i="4"/>
  <c r="IF12" i="4"/>
  <c r="IF15" i="4"/>
  <c r="IF21" i="4"/>
  <c r="IF6" i="4"/>
  <c r="IF8" i="4"/>
  <c r="IH3" i="4"/>
  <c r="IG2" i="4"/>
  <c r="IG4" i="4"/>
  <c r="IG5" i="4" s="1"/>
  <c r="IG18" i="4" l="1"/>
  <c r="IG17" i="4"/>
  <c r="IG11" i="4"/>
  <c r="IG16" i="4"/>
  <c r="IG13" i="4"/>
  <c r="IG10" i="4"/>
  <c r="IG19" i="4"/>
  <c r="IG21" i="4"/>
  <c r="IG7" i="4"/>
  <c r="IG12" i="4"/>
  <c r="IG15" i="4"/>
  <c r="IG6" i="4"/>
  <c r="IG9" i="4"/>
  <c r="IG14" i="4"/>
  <c r="IG8" i="4"/>
  <c r="IG20" i="4"/>
  <c r="IH4" i="4"/>
  <c r="IH5" i="4" s="1"/>
  <c r="II3" i="4"/>
  <c r="IH2" i="4"/>
  <c r="II4" i="4" l="1"/>
  <c r="II5" i="4" s="1"/>
  <c r="IJ3" i="4"/>
  <c r="II2" i="4"/>
  <c r="IH18" i="4"/>
  <c r="IH17" i="4"/>
  <c r="IH16" i="4"/>
  <c r="IH11" i="4"/>
  <c r="IH13" i="4"/>
  <c r="IH14" i="4"/>
  <c r="IH10" i="4"/>
  <c r="IH6" i="4"/>
  <c r="IH21" i="4"/>
  <c r="IH9" i="4"/>
  <c r="IH19" i="4"/>
  <c r="IH15" i="4"/>
  <c r="IH8" i="4"/>
  <c r="IH12" i="4"/>
  <c r="IH7" i="4"/>
  <c r="IH20" i="4"/>
  <c r="IJ4" i="4" l="1"/>
  <c r="IJ5" i="4" s="1"/>
  <c r="IK3" i="4"/>
  <c r="IJ2" i="4"/>
  <c r="II21" i="4"/>
  <c r="II18" i="4"/>
  <c r="II20" i="4"/>
  <c r="II13" i="4"/>
  <c r="II10" i="4"/>
  <c r="II6" i="4"/>
  <c r="II8" i="4"/>
  <c r="II14" i="4"/>
  <c r="II7" i="4"/>
  <c r="II17" i="4"/>
  <c r="II19" i="4"/>
  <c r="II9" i="4"/>
  <c r="II11" i="4"/>
  <c r="II12" i="4"/>
  <c r="II16" i="4"/>
  <c r="II15" i="4"/>
  <c r="IK4" i="4" l="1"/>
  <c r="IK5" i="4" s="1"/>
  <c r="IL3" i="4"/>
  <c r="IK2" i="4"/>
  <c r="IJ21" i="4"/>
  <c r="IJ13" i="4"/>
  <c r="IJ17" i="4"/>
  <c r="IJ12" i="4"/>
  <c r="IJ10" i="4"/>
  <c r="IJ14" i="4"/>
  <c r="IJ18" i="4"/>
  <c r="IJ8" i="4"/>
  <c r="IJ11" i="4"/>
  <c r="IJ9" i="4"/>
  <c r="IJ6" i="4"/>
  <c r="IJ7" i="4"/>
  <c r="IJ15" i="4"/>
  <c r="IJ20" i="4"/>
  <c r="IJ19" i="4"/>
  <c r="IJ16" i="4"/>
  <c r="IM3" i="4" l="1"/>
  <c r="IL4" i="4"/>
  <c r="IL5" i="4" s="1"/>
  <c r="IL2" i="4"/>
  <c r="IK18" i="4"/>
  <c r="IK21" i="4"/>
  <c r="IK13" i="4"/>
  <c r="IK7" i="4"/>
  <c r="IK8" i="4"/>
  <c r="IK19" i="4"/>
  <c r="IK10" i="4"/>
  <c r="IK17" i="4"/>
  <c r="IK9" i="4"/>
  <c r="IK15" i="4"/>
  <c r="IK12" i="4"/>
  <c r="IK11" i="4"/>
  <c r="IK16" i="4"/>
  <c r="IK6" i="4"/>
  <c r="IK14" i="4"/>
  <c r="IK20" i="4"/>
  <c r="IL21" i="4" l="1"/>
  <c r="IL17" i="4"/>
  <c r="IL13" i="4"/>
  <c r="IL11" i="4"/>
  <c r="IL12" i="4"/>
  <c r="IL14" i="4"/>
  <c r="IL8" i="4"/>
  <c r="IL7" i="4"/>
  <c r="IL19" i="4"/>
  <c r="IL6" i="4"/>
  <c r="IL10" i="4"/>
  <c r="IL15" i="4"/>
  <c r="IL18" i="4"/>
  <c r="IL9" i="4"/>
  <c r="IL20" i="4"/>
  <c r="IL16" i="4"/>
  <c r="IM4" i="4"/>
  <c r="IM5" i="4" s="1"/>
  <c r="IM2" i="4"/>
  <c r="IN3" i="4"/>
  <c r="IM20" i="4" l="1"/>
  <c r="IM17" i="4"/>
  <c r="IM16" i="4"/>
  <c r="IM13" i="4"/>
  <c r="IM18" i="4"/>
  <c r="IM11" i="4"/>
  <c r="IM21" i="4"/>
  <c r="IM15" i="4"/>
  <c r="IM10" i="4"/>
  <c r="IM12" i="4"/>
  <c r="IM8" i="4"/>
  <c r="IM6" i="4"/>
  <c r="IM7" i="4"/>
  <c r="IM19" i="4"/>
  <c r="IM9" i="4"/>
  <c r="IM14" i="4"/>
  <c r="IN4" i="4"/>
  <c r="IN5" i="4" s="1"/>
  <c r="IN2" i="4"/>
  <c r="IO3" i="4"/>
  <c r="IN21" i="4" l="1"/>
  <c r="IN16" i="4"/>
  <c r="IN13" i="4"/>
  <c r="IN11" i="4"/>
  <c r="IN9" i="4"/>
  <c r="IN6" i="4"/>
  <c r="IN7" i="4"/>
  <c r="IN15" i="4"/>
  <c r="IN19" i="4"/>
  <c r="IN8" i="4"/>
  <c r="IN12" i="4"/>
  <c r="IN18" i="4"/>
  <c r="IN10" i="4"/>
  <c r="IN14" i="4"/>
  <c r="IN20" i="4"/>
  <c r="IN17" i="4"/>
  <c r="IO2" i="4"/>
  <c r="IO4" i="4"/>
  <c r="IO5" i="4" s="1"/>
  <c r="IP3" i="4"/>
  <c r="IP2" i="4" l="1"/>
  <c r="IP4" i="4"/>
  <c r="IP5" i="4" s="1"/>
  <c r="IQ3" i="4"/>
  <c r="IO21" i="4"/>
  <c r="IO20" i="4"/>
  <c r="IO15" i="4"/>
  <c r="IO16" i="4"/>
  <c r="IO11" i="4"/>
  <c r="IO14" i="4"/>
  <c r="IO10" i="4"/>
  <c r="IO9" i="4"/>
  <c r="IO6" i="4"/>
  <c r="IO8" i="4"/>
  <c r="IO18" i="4"/>
  <c r="IO12" i="4"/>
  <c r="IO13" i="4"/>
  <c r="IO19" i="4"/>
  <c r="IO7" i="4"/>
  <c r="IO17" i="4"/>
  <c r="IQ2" i="4" l="1"/>
  <c r="IQ4" i="4"/>
  <c r="IQ5" i="4" s="1"/>
  <c r="IR3" i="4"/>
  <c r="IP21" i="4"/>
  <c r="IP20" i="4"/>
  <c r="IP9" i="4"/>
  <c r="IP15" i="4"/>
  <c r="IP11" i="4"/>
  <c r="IP7" i="4"/>
  <c r="IP17" i="4"/>
  <c r="IP8" i="4"/>
  <c r="IP19" i="4"/>
  <c r="IP10" i="4"/>
  <c r="IP6" i="4"/>
  <c r="IP18" i="4"/>
  <c r="IP12" i="4"/>
  <c r="IP16" i="4"/>
  <c r="IP13" i="4"/>
  <c r="IP14" i="4"/>
  <c r="IS3" i="4" l="1"/>
  <c r="IR2" i="4"/>
  <c r="IR4" i="4"/>
  <c r="IR5" i="4" s="1"/>
  <c r="IQ20" i="4"/>
  <c r="IQ15" i="4"/>
  <c r="IQ18" i="4"/>
  <c r="IQ21" i="4"/>
  <c r="IQ9" i="4"/>
  <c r="IQ11" i="4"/>
  <c r="IQ7" i="4"/>
  <c r="IQ19" i="4"/>
  <c r="IQ13" i="4"/>
  <c r="IQ6" i="4"/>
  <c r="IQ14" i="4"/>
  <c r="IQ16" i="4"/>
  <c r="IQ8" i="4"/>
  <c r="IQ12" i="4"/>
  <c r="IQ10" i="4"/>
  <c r="IQ17" i="4"/>
  <c r="IR20" i="4" l="1"/>
  <c r="IR18" i="4"/>
  <c r="IR17" i="4"/>
  <c r="IR15" i="4"/>
  <c r="IR11" i="4"/>
  <c r="IR13" i="4"/>
  <c r="IR12" i="4"/>
  <c r="IR7" i="4"/>
  <c r="IR9" i="4"/>
  <c r="IR8" i="4"/>
  <c r="IR21" i="4"/>
  <c r="IR10" i="4"/>
  <c r="IR19" i="4"/>
  <c r="IR14" i="4"/>
  <c r="IR16" i="4"/>
  <c r="IR6" i="4"/>
  <c r="IS2" i="4"/>
  <c r="IS4" i="4"/>
  <c r="IS5" i="4" s="1"/>
  <c r="IT3" i="4"/>
  <c r="IT2" i="4" l="1"/>
  <c r="IT4" i="4"/>
  <c r="IT5" i="4" s="1"/>
  <c r="IU3" i="4"/>
  <c r="IS21" i="4"/>
  <c r="IS18" i="4"/>
  <c r="IS20" i="4"/>
  <c r="IS15" i="4"/>
  <c r="IS11" i="4"/>
  <c r="IS9" i="4"/>
  <c r="IS8" i="4"/>
  <c r="IS19" i="4"/>
  <c r="IS16" i="4"/>
  <c r="IS10" i="4"/>
  <c r="IS6" i="4"/>
  <c r="IS13" i="4"/>
  <c r="IS14" i="4"/>
  <c r="IS12" i="4"/>
  <c r="IS17" i="4"/>
  <c r="IS7" i="4"/>
  <c r="IU2" i="4" l="1"/>
  <c r="IV3" i="4"/>
  <c r="IU4" i="4"/>
  <c r="IU5" i="4" s="1"/>
  <c r="IT20" i="4"/>
  <c r="IT15" i="4"/>
  <c r="IT11" i="4"/>
  <c r="IT19" i="4"/>
  <c r="IT10" i="4"/>
  <c r="IT9" i="4"/>
  <c r="IT7" i="4"/>
  <c r="IT17" i="4"/>
  <c r="IT14" i="4"/>
  <c r="IT13" i="4"/>
  <c r="IT21" i="4"/>
  <c r="IT12" i="4"/>
  <c r="IT6" i="4"/>
  <c r="IT8" i="4"/>
  <c r="IT18" i="4"/>
  <c r="IT16" i="4"/>
  <c r="IU21" i="4" l="1"/>
  <c r="IU20" i="4"/>
  <c r="IU13" i="4"/>
  <c r="IU15" i="4"/>
  <c r="IU11" i="4"/>
  <c r="IU9" i="4"/>
  <c r="IU6" i="4"/>
  <c r="IU10" i="4"/>
  <c r="IU8" i="4"/>
  <c r="IU7" i="4"/>
  <c r="IU17" i="4"/>
  <c r="IU16" i="4"/>
  <c r="IU14" i="4"/>
  <c r="IU18" i="4"/>
  <c r="IU19" i="4"/>
  <c r="IU12" i="4"/>
  <c r="IW3" i="4"/>
  <c r="IV2" i="4"/>
  <c r="IV4" i="4"/>
  <c r="IV5" i="4" s="1"/>
  <c r="IX3" i="4" l="1"/>
  <c r="IW2" i="4"/>
  <c r="IW4" i="4"/>
  <c r="IW5" i="4" s="1"/>
  <c r="IV21" i="4"/>
  <c r="IV20" i="4"/>
  <c r="IV13" i="4"/>
  <c r="IV11" i="4"/>
  <c r="IV9" i="4"/>
  <c r="IV14" i="4"/>
  <c r="IV7" i="4"/>
  <c r="IV17" i="4"/>
  <c r="IV8" i="4"/>
  <c r="IV19" i="4"/>
  <c r="IV15" i="4"/>
  <c r="IV18" i="4"/>
  <c r="IV6" i="4"/>
  <c r="IV10" i="4"/>
  <c r="IV16" i="4"/>
  <c r="IV12" i="4"/>
  <c r="IW18" i="4" l="1"/>
  <c r="IW20" i="4"/>
  <c r="IW21" i="4"/>
  <c r="IW13" i="4"/>
  <c r="IW11" i="4"/>
  <c r="IW12" i="4"/>
  <c r="IW8" i="4"/>
  <c r="IW19" i="4"/>
  <c r="IW7" i="4"/>
  <c r="IW16" i="4"/>
  <c r="IW15" i="4"/>
  <c r="IW14" i="4"/>
  <c r="IW6" i="4"/>
  <c r="IW9" i="4"/>
  <c r="IW17" i="4"/>
  <c r="IW10" i="4"/>
  <c r="IY3" i="4"/>
  <c r="IX4" i="4"/>
  <c r="IX5" i="4" s="1"/>
  <c r="IX2" i="4"/>
  <c r="IX18" i="4" l="1"/>
  <c r="IX13" i="4"/>
  <c r="IX11" i="4"/>
  <c r="IX8" i="4"/>
  <c r="IX12" i="4"/>
  <c r="IX6" i="4"/>
  <c r="IX7" i="4"/>
  <c r="IX21" i="4"/>
  <c r="IX16" i="4"/>
  <c r="IX20" i="4"/>
  <c r="IX14" i="4"/>
  <c r="IX19" i="4"/>
  <c r="IX15" i="4"/>
  <c r="IX17" i="4"/>
  <c r="IX9" i="4"/>
  <c r="IX10" i="4"/>
  <c r="IY4" i="4"/>
  <c r="IY5" i="4" s="1"/>
  <c r="IZ3" i="4"/>
  <c r="IY2" i="4"/>
  <c r="IZ4" i="4" l="1"/>
  <c r="IZ5" i="4" s="1"/>
  <c r="JA3" i="4"/>
  <c r="IZ2" i="4"/>
  <c r="IY18" i="4"/>
  <c r="IY15" i="4"/>
  <c r="IY13" i="4"/>
  <c r="IY14" i="4"/>
  <c r="IY9" i="4"/>
  <c r="IY8" i="4"/>
  <c r="IY10" i="4"/>
  <c r="IY6" i="4"/>
  <c r="IY20" i="4"/>
  <c r="IY21" i="4"/>
  <c r="IY17" i="4"/>
  <c r="IY19" i="4"/>
  <c r="IY7" i="4"/>
  <c r="IY11" i="4"/>
  <c r="IY12" i="4"/>
  <c r="IY16" i="4"/>
  <c r="JA4" i="4" l="1"/>
  <c r="JA5" i="4" s="1"/>
  <c r="JB3" i="4"/>
  <c r="JA2" i="4"/>
  <c r="IZ13" i="4"/>
  <c r="IZ15" i="4"/>
  <c r="IZ14" i="4"/>
  <c r="IZ10" i="4"/>
  <c r="IZ8" i="4"/>
  <c r="IZ17" i="4"/>
  <c r="IZ20" i="4"/>
  <c r="IZ18" i="4"/>
  <c r="IZ6" i="4"/>
  <c r="IZ7" i="4"/>
  <c r="IZ12" i="4"/>
  <c r="IZ9" i="4"/>
  <c r="IZ11" i="4"/>
  <c r="IZ21" i="4"/>
  <c r="IZ19" i="4"/>
  <c r="IZ16" i="4"/>
  <c r="JC3" i="4" l="1"/>
  <c r="JB4" i="4"/>
  <c r="JB5" i="4" s="1"/>
  <c r="JB2" i="4"/>
  <c r="JA18" i="4"/>
  <c r="JA21" i="4"/>
  <c r="JA15" i="4"/>
  <c r="JA13" i="4"/>
  <c r="JA6" i="4"/>
  <c r="JA9" i="4"/>
  <c r="JA8" i="4"/>
  <c r="JA7" i="4"/>
  <c r="JA16" i="4"/>
  <c r="JA10" i="4"/>
  <c r="JA17" i="4"/>
  <c r="JA14" i="4"/>
  <c r="JA19" i="4"/>
  <c r="JA11" i="4"/>
  <c r="JA20" i="4"/>
  <c r="JA12" i="4"/>
  <c r="JB21" i="4" l="1"/>
  <c r="JB17" i="4"/>
  <c r="JB11" i="4"/>
  <c r="JB13" i="4"/>
  <c r="JB7" i="4"/>
  <c r="JB14" i="4"/>
  <c r="JB8" i="4"/>
  <c r="JB19" i="4"/>
  <c r="JB15" i="4"/>
  <c r="JB9" i="4"/>
  <c r="JB18" i="4"/>
  <c r="JB16" i="4"/>
  <c r="JB20" i="4"/>
  <c r="JB10" i="4"/>
  <c r="JB12" i="4"/>
  <c r="JB6" i="4"/>
  <c r="JD3" i="4"/>
  <c r="JC4" i="4"/>
  <c r="JC5" i="4" s="1"/>
  <c r="JC2" i="4"/>
  <c r="JE3" i="4" l="1"/>
  <c r="JD4" i="4"/>
  <c r="JD5" i="4" s="1"/>
  <c r="JD2" i="4"/>
  <c r="JC18" i="4"/>
  <c r="JC21" i="4"/>
  <c r="JC11" i="4"/>
  <c r="JC13" i="4"/>
  <c r="JC12" i="4"/>
  <c r="JC7" i="4"/>
  <c r="JC19" i="4"/>
  <c r="JC10" i="4"/>
  <c r="JC15" i="4"/>
  <c r="JC20" i="4"/>
  <c r="JC17" i="4"/>
  <c r="JC16" i="4"/>
  <c r="JC6" i="4"/>
  <c r="JC8" i="4"/>
  <c r="JC9" i="4"/>
  <c r="JC14" i="4"/>
  <c r="JD21" i="4" l="1"/>
  <c r="JD18" i="4"/>
  <c r="JD9" i="4"/>
  <c r="JD13" i="4"/>
  <c r="JD11" i="4"/>
  <c r="JD16" i="4"/>
  <c r="JD7" i="4"/>
  <c r="JD6" i="4"/>
  <c r="JD10" i="4"/>
  <c r="JD8" i="4"/>
  <c r="JD19" i="4"/>
  <c r="JD14" i="4"/>
  <c r="JD12" i="4"/>
  <c r="JD15" i="4"/>
  <c r="JD20" i="4"/>
  <c r="JD17" i="4"/>
  <c r="JE4" i="4"/>
  <c r="JE5" i="4" s="1"/>
  <c r="JF3" i="4"/>
  <c r="JE2" i="4"/>
  <c r="JF4" i="4" l="1"/>
  <c r="JF5" i="4" s="1"/>
  <c r="JG3" i="4"/>
  <c r="JF2" i="4"/>
  <c r="JE21" i="4"/>
  <c r="JE20" i="4"/>
  <c r="JE18" i="4"/>
  <c r="JE15" i="4"/>
  <c r="JE13" i="4"/>
  <c r="JE11" i="4"/>
  <c r="JE14" i="4"/>
  <c r="JE16" i="4"/>
  <c r="JE6" i="4"/>
  <c r="JE17" i="4"/>
  <c r="JE8" i="4"/>
  <c r="JE12" i="4"/>
  <c r="JE10" i="4"/>
  <c r="JE19" i="4"/>
  <c r="JE9" i="4"/>
  <c r="JE7" i="4"/>
  <c r="JG4" i="4" l="1"/>
  <c r="JG5" i="4" s="1"/>
  <c r="JG2" i="4"/>
  <c r="JH3" i="4"/>
  <c r="JF21" i="4"/>
  <c r="JF20" i="4"/>
  <c r="JF11" i="4"/>
  <c r="JF14" i="4"/>
  <c r="JF13" i="4"/>
  <c r="JF10" i="4"/>
  <c r="JF16" i="4"/>
  <c r="JF12" i="4"/>
  <c r="JF7" i="4"/>
  <c r="JF6" i="4"/>
  <c r="JF9" i="4"/>
  <c r="JF18" i="4"/>
  <c r="JF8" i="4"/>
  <c r="JF19" i="4"/>
  <c r="JF17" i="4"/>
  <c r="JF15" i="4"/>
  <c r="JH4" i="4" l="1"/>
  <c r="JH5" i="4" s="1"/>
  <c r="JI3" i="4"/>
  <c r="JH2" i="4"/>
  <c r="JG21" i="4"/>
  <c r="JG11" i="4"/>
  <c r="JG16" i="4"/>
  <c r="JG10" i="4"/>
  <c r="JG7" i="4"/>
  <c r="JG6" i="4"/>
  <c r="JG14" i="4"/>
  <c r="JG8" i="4"/>
  <c r="JG19" i="4"/>
  <c r="JG18" i="4"/>
  <c r="JG12" i="4"/>
  <c r="JG13" i="4"/>
  <c r="JG20" i="4"/>
  <c r="JG9" i="4"/>
  <c r="JG17" i="4"/>
  <c r="JG15" i="4"/>
  <c r="JI2" i="4" l="1"/>
  <c r="JI4" i="4"/>
  <c r="JI5" i="4" s="1"/>
  <c r="JJ3" i="4"/>
  <c r="JH11" i="4"/>
  <c r="JH7" i="4"/>
  <c r="JH16" i="4"/>
  <c r="JH8" i="4"/>
  <c r="JH6" i="4"/>
  <c r="JH10" i="4"/>
  <c r="JH17" i="4"/>
  <c r="JH9" i="4"/>
  <c r="JH14" i="4"/>
  <c r="JH15" i="4"/>
  <c r="JH21" i="4"/>
  <c r="JH19" i="4"/>
  <c r="JH18" i="4"/>
  <c r="JH20" i="4"/>
  <c r="JH12" i="4"/>
  <c r="JH13" i="4"/>
  <c r="JJ2" i="4" l="1"/>
  <c r="JJ4" i="4"/>
  <c r="JJ5" i="4" s="1"/>
  <c r="JK3" i="4"/>
  <c r="JI21" i="4"/>
  <c r="JI18" i="4"/>
  <c r="JI15" i="4"/>
  <c r="JI11" i="4"/>
  <c r="JI17" i="4"/>
  <c r="JI10" i="4"/>
  <c r="JI6" i="4"/>
  <c r="JI7" i="4"/>
  <c r="JI13" i="4"/>
  <c r="JI19" i="4"/>
  <c r="JI9" i="4"/>
  <c r="JI12" i="4"/>
  <c r="JI16" i="4"/>
  <c r="JI8" i="4"/>
  <c r="JI14" i="4"/>
  <c r="JI20" i="4"/>
  <c r="JK2" i="4" l="1"/>
  <c r="JK4" i="4"/>
  <c r="JK5" i="4" s="1"/>
  <c r="JL3" i="4"/>
  <c r="JJ18" i="4"/>
  <c r="JJ20" i="4"/>
  <c r="JJ15" i="4"/>
  <c r="JJ11" i="4"/>
  <c r="JJ17" i="4"/>
  <c r="JJ12" i="4"/>
  <c r="JJ6" i="4"/>
  <c r="JJ7" i="4"/>
  <c r="JJ16" i="4"/>
  <c r="JJ10" i="4"/>
  <c r="JJ8" i="4"/>
  <c r="JJ19" i="4"/>
  <c r="JJ21" i="4"/>
  <c r="JJ13" i="4"/>
  <c r="JJ9" i="4"/>
  <c r="JJ14" i="4"/>
  <c r="JM3" i="4" l="1"/>
  <c r="JL2" i="4"/>
  <c r="JL4" i="4"/>
  <c r="JL5" i="4" s="1"/>
  <c r="JK21" i="4"/>
  <c r="JK20" i="4"/>
  <c r="JK18" i="4"/>
  <c r="JK15" i="4"/>
  <c r="JK11" i="4"/>
  <c r="JK12" i="4"/>
  <c r="JK6" i="4"/>
  <c r="JK16" i="4"/>
  <c r="JK13" i="4"/>
  <c r="JK19" i="4"/>
  <c r="JK9" i="4"/>
  <c r="JK14" i="4"/>
  <c r="JK7" i="4"/>
  <c r="JK8" i="4"/>
  <c r="JK17" i="4"/>
  <c r="JK10" i="4"/>
  <c r="JL21" i="4" l="1"/>
  <c r="JL20" i="4"/>
  <c r="JL18" i="4"/>
  <c r="JL17" i="4"/>
  <c r="JL13" i="4"/>
  <c r="JL14" i="4"/>
  <c r="JL11" i="4"/>
  <c r="JL12" i="4"/>
  <c r="JL9" i="4"/>
  <c r="JL6" i="4"/>
  <c r="JL7" i="4"/>
  <c r="JL8" i="4"/>
  <c r="JL19" i="4"/>
  <c r="JL15" i="4"/>
  <c r="JL10" i="4"/>
  <c r="JL16" i="4"/>
  <c r="JN3" i="4"/>
  <c r="JM2" i="4"/>
  <c r="JM4" i="4"/>
  <c r="JM5" i="4" s="1"/>
  <c r="JM21" i="4" l="1"/>
  <c r="JM20" i="4"/>
  <c r="JM13" i="4"/>
  <c r="JM18" i="4"/>
  <c r="JM11" i="4"/>
  <c r="JM12" i="4"/>
  <c r="JM19" i="4"/>
  <c r="JM7" i="4"/>
  <c r="JM14" i="4"/>
  <c r="JM15" i="4"/>
  <c r="JM10" i="4"/>
  <c r="JM6" i="4"/>
  <c r="JM8" i="4"/>
  <c r="JM9" i="4"/>
  <c r="JM17" i="4"/>
  <c r="JM16" i="4"/>
  <c r="JN2" i="4"/>
  <c r="JO3" i="4"/>
  <c r="JN4" i="4"/>
  <c r="JN5" i="4" s="1"/>
  <c r="JN21" i="4" l="1"/>
  <c r="JN18" i="4"/>
  <c r="JN13" i="4"/>
  <c r="JN20" i="4"/>
  <c r="JN16" i="4"/>
  <c r="JN11" i="4"/>
  <c r="JN12" i="4"/>
  <c r="JN6" i="4"/>
  <c r="JN19" i="4"/>
  <c r="JN14" i="4"/>
  <c r="JN17" i="4"/>
  <c r="JN7" i="4"/>
  <c r="JN10" i="4"/>
  <c r="JN15" i="4"/>
  <c r="JN9" i="4"/>
  <c r="JN8" i="4"/>
  <c r="JO2" i="4"/>
  <c r="JO4" i="4"/>
  <c r="JO5" i="4" s="1"/>
  <c r="JP3" i="4"/>
  <c r="JP4" i="4" l="1"/>
  <c r="JP5" i="4" s="1"/>
  <c r="JP2" i="4"/>
  <c r="JQ3" i="4"/>
  <c r="JO21" i="4"/>
  <c r="JO20" i="4"/>
  <c r="JO15" i="4"/>
  <c r="JO16" i="4"/>
  <c r="JO13" i="4"/>
  <c r="JO9" i="4"/>
  <c r="JO19" i="4"/>
  <c r="JO10" i="4"/>
  <c r="JO8" i="4"/>
  <c r="JO18" i="4"/>
  <c r="JO14" i="4"/>
  <c r="JO6" i="4"/>
  <c r="JO11" i="4"/>
  <c r="JO17" i="4"/>
  <c r="JO12" i="4"/>
  <c r="JO7" i="4"/>
  <c r="JQ4" i="4" l="1"/>
  <c r="JQ5" i="4" s="1"/>
  <c r="JQ2" i="4"/>
  <c r="JR3" i="4"/>
  <c r="JP13" i="4"/>
  <c r="JP20" i="4"/>
  <c r="JP15" i="4"/>
  <c r="JP9" i="4"/>
  <c r="JP10" i="4"/>
  <c r="JP12" i="4"/>
  <c r="JP17" i="4"/>
  <c r="JP21" i="4"/>
  <c r="JP8" i="4"/>
  <c r="JP6" i="4"/>
  <c r="JP11" i="4"/>
  <c r="JP18" i="4"/>
  <c r="JP14" i="4"/>
  <c r="JP19" i="4"/>
  <c r="JP16" i="4"/>
  <c r="JP7" i="4"/>
  <c r="JR2" i="4" l="1"/>
  <c r="JR4" i="4"/>
  <c r="JR5" i="4" s="1"/>
  <c r="JS3" i="4"/>
  <c r="JQ20" i="4"/>
  <c r="JQ13" i="4"/>
  <c r="JQ14" i="4"/>
  <c r="JQ15" i="4"/>
  <c r="JQ9" i="4"/>
  <c r="JQ10" i="4"/>
  <c r="JQ12" i="4"/>
  <c r="JQ8" i="4"/>
  <c r="JQ17" i="4"/>
  <c r="JQ16" i="4"/>
  <c r="JQ7" i="4"/>
  <c r="JQ18" i="4"/>
  <c r="JQ6" i="4"/>
  <c r="JQ19" i="4"/>
  <c r="JQ11" i="4"/>
  <c r="JQ21" i="4"/>
  <c r="JT3" i="4" l="1"/>
  <c r="JS2" i="4"/>
  <c r="JS4" i="4"/>
  <c r="JS5" i="4" s="1"/>
  <c r="JR13" i="4"/>
  <c r="JR15" i="4"/>
  <c r="JR12" i="4"/>
  <c r="JR9" i="4"/>
  <c r="JR17" i="4"/>
  <c r="JR10" i="4"/>
  <c r="JR8" i="4"/>
  <c r="JR6" i="4"/>
  <c r="JR14" i="4"/>
  <c r="JR18" i="4"/>
  <c r="JR7" i="4"/>
  <c r="JR19" i="4"/>
  <c r="JR20" i="4"/>
  <c r="JR21" i="4"/>
  <c r="JR11" i="4"/>
  <c r="JR16" i="4"/>
  <c r="JS21" i="4" l="1"/>
  <c r="JS16" i="4"/>
  <c r="JS15" i="4"/>
  <c r="JS13" i="4"/>
  <c r="JS11" i="4"/>
  <c r="JS10" i="4"/>
  <c r="JS8" i="4"/>
  <c r="JS19" i="4"/>
  <c r="JS17" i="4"/>
  <c r="JS12" i="4"/>
  <c r="JS9" i="4"/>
  <c r="JS18" i="4"/>
  <c r="JS7" i="4"/>
  <c r="JS6" i="4"/>
  <c r="JS20" i="4"/>
  <c r="JS14" i="4"/>
  <c r="JU3" i="4"/>
  <c r="JT4" i="4"/>
  <c r="JT5" i="4" s="1"/>
  <c r="JT2" i="4"/>
  <c r="JT18" i="4" l="1"/>
  <c r="JT21" i="4"/>
  <c r="JT15" i="4"/>
  <c r="JT13" i="4"/>
  <c r="JT11" i="4"/>
  <c r="JT19" i="4"/>
  <c r="JT12" i="4"/>
  <c r="JT7" i="4"/>
  <c r="JT14" i="4"/>
  <c r="JT8" i="4"/>
  <c r="JT17" i="4"/>
  <c r="JT20" i="4"/>
  <c r="JT6" i="4"/>
  <c r="JT10" i="4"/>
  <c r="JT9" i="4"/>
  <c r="JT16" i="4"/>
  <c r="JV3" i="4"/>
  <c r="JU4" i="4"/>
  <c r="JU5" i="4" s="1"/>
  <c r="JU2" i="4"/>
  <c r="JU21" i="4" l="1"/>
  <c r="JU18" i="4"/>
  <c r="JU13" i="4"/>
  <c r="JU11" i="4"/>
  <c r="JU10" i="4"/>
  <c r="JU6" i="4"/>
  <c r="JU20" i="4"/>
  <c r="JU17" i="4"/>
  <c r="JU15" i="4"/>
  <c r="JU19" i="4"/>
  <c r="JU12" i="4"/>
  <c r="JU9" i="4"/>
  <c r="JU8" i="4"/>
  <c r="JU16" i="4"/>
  <c r="JU7" i="4"/>
  <c r="JU14" i="4"/>
  <c r="JW3" i="4"/>
  <c r="JV4" i="4"/>
  <c r="JV5" i="4" s="1"/>
  <c r="JV2" i="4"/>
  <c r="JV21" i="4" l="1"/>
  <c r="JV13" i="4"/>
  <c r="JV18" i="4"/>
  <c r="JV11" i="4"/>
  <c r="JV10" i="4"/>
  <c r="JV12" i="4"/>
  <c r="JV6" i="4"/>
  <c r="JV7" i="4"/>
  <c r="JV8" i="4"/>
  <c r="JV15" i="4"/>
  <c r="JV19" i="4"/>
  <c r="JV20" i="4"/>
  <c r="JV9" i="4"/>
  <c r="JV16" i="4"/>
  <c r="JV17" i="4"/>
  <c r="JV14" i="4"/>
  <c r="JW4" i="4"/>
  <c r="JW5" i="4" s="1"/>
  <c r="JX3" i="4"/>
  <c r="JW2" i="4"/>
  <c r="JW21" i="4" l="1"/>
  <c r="JW18" i="4"/>
  <c r="JW13" i="4"/>
  <c r="JW11" i="4"/>
  <c r="JW14" i="4"/>
  <c r="JW17" i="4"/>
  <c r="JW9" i="4"/>
  <c r="JW10" i="4"/>
  <c r="JW8" i="4"/>
  <c r="JW6" i="4"/>
  <c r="JW7" i="4"/>
  <c r="JW16" i="4"/>
  <c r="JW20" i="4"/>
  <c r="JW15" i="4"/>
  <c r="JW19" i="4"/>
  <c r="JW12" i="4"/>
  <c r="JX4" i="4"/>
  <c r="JX5" i="4" s="1"/>
  <c r="JX2" i="4"/>
  <c r="JY3" i="4"/>
  <c r="JX15" i="4" l="1"/>
  <c r="JX16" i="4"/>
  <c r="JX13" i="4"/>
  <c r="JX11" i="4"/>
  <c r="JX9" i="4"/>
  <c r="JX17" i="4"/>
  <c r="JX10" i="4"/>
  <c r="JX14" i="4"/>
  <c r="JX8" i="4"/>
  <c r="JX6" i="4"/>
  <c r="JX7" i="4"/>
  <c r="JX18" i="4"/>
  <c r="JX21" i="4"/>
  <c r="JX12" i="4"/>
  <c r="JX19" i="4"/>
  <c r="JX20" i="4"/>
  <c r="JZ3" i="4"/>
  <c r="JY4" i="4"/>
  <c r="JY5" i="4" s="1"/>
  <c r="JY2" i="4"/>
  <c r="JY20" i="4" l="1"/>
  <c r="JY21" i="4"/>
  <c r="JY16" i="4"/>
  <c r="JY15" i="4"/>
  <c r="JY12" i="4"/>
  <c r="JY11" i="4"/>
  <c r="JY9" i="4"/>
  <c r="JY17" i="4"/>
  <c r="JY6" i="4"/>
  <c r="JY10" i="4"/>
  <c r="JY14" i="4"/>
  <c r="JY19" i="4"/>
  <c r="JY13" i="4"/>
  <c r="JY8" i="4"/>
  <c r="JY18" i="4"/>
  <c r="JY7" i="4"/>
  <c r="KA3" i="4"/>
  <c r="JZ2" i="4"/>
  <c r="JZ4" i="4"/>
  <c r="JZ5" i="4" s="1"/>
  <c r="KA2" i="4" l="1"/>
  <c r="KB3" i="4"/>
  <c r="KA4" i="4"/>
  <c r="KA5" i="4" s="1"/>
  <c r="JZ16" i="4"/>
  <c r="JZ20" i="4"/>
  <c r="JZ11" i="4"/>
  <c r="JZ15" i="4"/>
  <c r="JZ6" i="4"/>
  <c r="JZ8" i="4"/>
  <c r="JZ7" i="4"/>
  <c r="JZ19" i="4"/>
  <c r="JZ18" i="4"/>
  <c r="JZ12" i="4"/>
  <c r="JZ14" i="4"/>
  <c r="JZ17" i="4"/>
  <c r="JZ10" i="4"/>
  <c r="JZ21" i="4"/>
  <c r="JZ13" i="4"/>
  <c r="JZ9" i="4"/>
  <c r="KA18" i="4" l="1"/>
  <c r="KA21" i="4"/>
  <c r="KA15" i="4"/>
  <c r="KA16" i="4"/>
  <c r="KA11" i="4"/>
  <c r="KA20" i="4"/>
  <c r="KA12" i="4"/>
  <c r="KA9" i="4"/>
  <c r="KA6" i="4"/>
  <c r="KA8" i="4"/>
  <c r="KA19" i="4"/>
  <c r="KA7" i="4"/>
  <c r="KA13" i="4"/>
  <c r="KA17" i="4"/>
  <c r="KA10" i="4"/>
  <c r="KA14" i="4"/>
  <c r="KC3" i="4"/>
  <c r="KB2" i="4"/>
  <c r="KB4" i="4"/>
  <c r="KB5" i="4" s="1"/>
  <c r="KB18" i="4" l="1"/>
  <c r="KB21" i="4"/>
  <c r="KB16" i="4"/>
  <c r="KB11" i="4"/>
  <c r="KB20" i="4"/>
  <c r="KB9" i="4"/>
  <c r="KB7" i="4"/>
  <c r="KB8" i="4"/>
  <c r="KB10" i="4"/>
  <c r="KB19" i="4"/>
  <c r="KB12" i="4"/>
  <c r="KB15" i="4"/>
  <c r="KB17" i="4"/>
  <c r="KB6" i="4"/>
  <c r="KB14" i="4"/>
  <c r="KB13" i="4"/>
  <c r="KD3" i="4"/>
  <c r="KC2" i="4"/>
  <c r="KC4" i="4"/>
  <c r="KC5" i="4" s="1"/>
  <c r="KC18" i="4" l="1"/>
  <c r="KC21" i="4"/>
  <c r="KC20" i="4"/>
  <c r="KC14" i="4"/>
  <c r="KC7" i="4"/>
  <c r="KC11" i="4"/>
  <c r="KC6" i="4"/>
  <c r="KC8" i="4"/>
  <c r="KC10" i="4"/>
  <c r="KC19" i="4"/>
  <c r="KC17" i="4"/>
  <c r="KC16" i="4"/>
  <c r="KC15" i="4"/>
  <c r="KC13" i="4"/>
  <c r="KC9" i="4"/>
  <c r="KC12" i="4"/>
  <c r="KD4" i="4"/>
  <c r="KD5" i="4" s="1"/>
  <c r="KE3" i="4"/>
  <c r="KD2" i="4"/>
  <c r="KE2" i="4" l="1"/>
  <c r="KE4" i="4"/>
  <c r="KE5" i="4" s="1"/>
  <c r="KF3" i="4"/>
  <c r="KD18" i="4"/>
  <c r="KD21" i="4"/>
  <c r="KD17" i="4"/>
  <c r="KD13" i="4"/>
  <c r="KD14" i="4"/>
  <c r="KD11" i="4"/>
  <c r="KD6" i="4"/>
  <c r="KD16" i="4"/>
  <c r="KD9" i="4"/>
  <c r="KD12" i="4"/>
  <c r="KD15" i="4"/>
  <c r="KD20" i="4"/>
  <c r="KD8" i="4"/>
  <c r="KD19" i="4"/>
  <c r="KD7" i="4"/>
  <c r="KD10" i="4"/>
  <c r="KF4" i="4" l="1"/>
  <c r="KF5" i="4" s="1"/>
  <c r="KF2" i="4"/>
  <c r="KG3" i="4"/>
  <c r="KE18" i="4"/>
  <c r="KE13" i="4"/>
  <c r="KE21" i="4"/>
  <c r="KE14" i="4"/>
  <c r="KE7" i="4"/>
  <c r="KE8" i="4"/>
  <c r="KE10" i="4"/>
  <c r="KE17" i="4"/>
  <c r="KE9" i="4"/>
  <c r="KE12" i="4"/>
  <c r="KE16" i="4"/>
  <c r="KE11" i="4"/>
  <c r="KE15" i="4"/>
  <c r="KE6" i="4"/>
  <c r="KE20" i="4"/>
  <c r="KE19" i="4"/>
  <c r="KG4" i="4" l="1"/>
  <c r="KG5" i="4" s="1"/>
  <c r="KH3" i="4"/>
  <c r="KG2" i="4"/>
  <c r="KF21" i="4"/>
  <c r="KF13" i="4"/>
  <c r="KF14" i="4"/>
  <c r="KF11" i="4"/>
  <c r="KF7" i="4"/>
  <c r="KF9" i="4"/>
  <c r="KF12" i="4"/>
  <c r="KF19" i="4"/>
  <c r="KF20" i="4"/>
  <c r="KF17" i="4"/>
  <c r="KF16" i="4"/>
  <c r="KF6" i="4"/>
  <c r="KF10" i="4"/>
  <c r="KF8" i="4"/>
  <c r="KF15" i="4"/>
  <c r="KF18" i="4"/>
  <c r="KH4" i="4" l="1"/>
  <c r="KH5" i="4" s="1"/>
  <c r="KI3" i="4"/>
  <c r="KH2" i="4"/>
  <c r="KG21" i="4"/>
  <c r="KG18" i="4"/>
  <c r="KG20" i="4"/>
  <c r="KG13" i="4"/>
  <c r="KG14" i="4"/>
  <c r="KG17" i="4"/>
  <c r="KG7" i="4"/>
  <c r="KG6" i="4"/>
  <c r="KG19" i="4"/>
  <c r="KG8" i="4"/>
  <c r="KG10" i="4"/>
  <c r="KG15" i="4"/>
  <c r="KG9" i="4"/>
  <c r="KG12" i="4"/>
  <c r="KG11" i="4"/>
  <c r="KG16" i="4"/>
  <c r="KI4" i="4" l="1"/>
  <c r="KI5" i="4" s="1"/>
  <c r="KJ3" i="4"/>
  <c r="KI2" i="4"/>
  <c r="KH20" i="4"/>
  <c r="KH15" i="4"/>
  <c r="KH13" i="4"/>
  <c r="KH12" i="4"/>
  <c r="KH6" i="4"/>
  <c r="KH9" i="4"/>
  <c r="KH14" i="4"/>
  <c r="KH8" i="4"/>
  <c r="KH18" i="4"/>
  <c r="KH7" i="4"/>
  <c r="KH17" i="4"/>
  <c r="KH11" i="4"/>
  <c r="KH16" i="4"/>
  <c r="KH21" i="4"/>
  <c r="KH19" i="4"/>
  <c r="KH10" i="4"/>
  <c r="KJ4" i="4" l="1"/>
  <c r="KJ5" i="4" s="1"/>
  <c r="KK3" i="4"/>
  <c r="KJ2" i="4"/>
  <c r="KI15" i="4"/>
  <c r="KI13" i="4"/>
  <c r="KI18" i="4"/>
  <c r="KI7" i="4"/>
  <c r="KI6" i="4"/>
  <c r="KI12" i="4"/>
  <c r="KI19" i="4"/>
  <c r="KI11" i="4"/>
  <c r="KI9" i="4"/>
  <c r="KI10" i="4"/>
  <c r="KI8" i="4"/>
  <c r="KI20" i="4"/>
  <c r="KI17" i="4"/>
  <c r="KI14" i="4"/>
  <c r="KI16" i="4"/>
  <c r="KI21" i="4"/>
  <c r="KL3" i="4" l="1"/>
  <c r="KK4" i="4"/>
  <c r="KK5" i="4" s="1"/>
  <c r="KK2" i="4"/>
  <c r="KJ18" i="4"/>
  <c r="KJ11" i="4"/>
  <c r="KJ15" i="4"/>
  <c r="KJ13" i="4"/>
  <c r="KJ7" i="4"/>
  <c r="KJ8" i="4"/>
  <c r="KJ6" i="4"/>
  <c r="KJ14" i="4"/>
  <c r="KJ16" i="4"/>
  <c r="KJ10" i="4"/>
  <c r="KJ12" i="4"/>
  <c r="KJ21" i="4"/>
  <c r="KJ9" i="4"/>
  <c r="KJ19" i="4"/>
  <c r="KJ20" i="4"/>
  <c r="KJ17" i="4"/>
  <c r="KK21" i="4" l="1"/>
  <c r="KK15" i="4"/>
  <c r="KK13" i="4"/>
  <c r="KK11" i="4"/>
  <c r="KK18" i="4"/>
  <c r="KK9" i="4"/>
  <c r="KK10" i="4"/>
  <c r="KK6" i="4"/>
  <c r="KK12" i="4"/>
  <c r="KK8" i="4"/>
  <c r="KK16" i="4"/>
  <c r="KK19" i="4"/>
  <c r="KK20" i="4"/>
  <c r="KK17" i="4"/>
  <c r="KK14" i="4"/>
  <c r="KK7" i="4"/>
  <c r="KM3" i="4"/>
  <c r="KL2" i="4"/>
  <c r="KL4" i="4"/>
  <c r="KL5" i="4" s="1"/>
  <c r="KL15" i="4" l="1"/>
  <c r="KL13" i="4"/>
  <c r="KL21" i="4"/>
  <c r="KL11" i="4"/>
  <c r="KL7" i="4"/>
  <c r="KL9" i="4"/>
  <c r="KL8" i="4"/>
  <c r="KL18" i="4"/>
  <c r="KL12" i="4"/>
  <c r="KL16" i="4"/>
  <c r="KL14" i="4"/>
  <c r="KL17" i="4"/>
  <c r="KL6" i="4"/>
  <c r="KL10" i="4"/>
  <c r="KL20" i="4"/>
  <c r="KL19" i="4"/>
  <c r="KN3" i="4"/>
  <c r="KM4" i="4"/>
  <c r="KM5" i="4" s="1"/>
  <c r="KM2" i="4"/>
  <c r="KM21" i="4" l="1"/>
  <c r="KM20" i="4"/>
  <c r="KM15" i="4"/>
  <c r="KM13" i="4"/>
  <c r="KM11" i="4"/>
  <c r="KM7" i="4"/>
  <c r="KM19" i="4"/>
  <c r="KM10" i="4"/>
  <c r="KM8" i="4"/>
  <c r="KM6" i="4"/>
  <c r="KM17" i="4"/>
  <c r="KM12" i="4"/>
  <c r="KM18" i="4"/>
  <c r="KM16" i="4"/>
  <c r="KM14" i="4"/>
  <c r="KM9" i="4"/>
  <c r="KO3" i="4"/>
  <c r="KN4" i="4"/>
  <c r="KN5" i="4" s="1"/>
  <c r="KN2" i="4"/>
  <c r="KN20" i="4" l="1"/>
  <c r="KN16" i="4"/>
  <c r="KN11" i="4"/>
  <c r="KN13" i="4"/>
  <c r="KN6" i="4"/>
  <c r="KN12" i="4"/>
  <c r="KN8" i="4"/>
  <c r="KN21" i="4"/>
  <c r="KN19" i="4"/>
  <c r="KN7" i="4"/>
  <c r="KN17" i="4"/>
  <c r="KN18" i="4"/>
  <c r="KN15" i="4"/>
  <c r="KN14" i="4"/>
  <c r="KN9" i="4"/>
  <c r="KN10" i="4"/>
  <c r="KO4" i="4"/>
  <c r="KO5" i="4" s="1"/>
  <c r="KP3" i="4"/>
  <c r="KO2" i="4"/>
  <c r="KP4" i="4" l="1"/>
  <c r="KP5" i="4" s="1"/>
  <c r="KP2" i="4"/>
  <c r="KQ3" i="4"/>
  <c r="KO21" i="4"/>
  <c r="KO20" i="4"/>
  <c r="KO18" i="4"/>
  <c r="KO17" i="4"/>
  <c r="KO16" i="4"/>
  <c r="KO11" i="4"/>
  <c r="KO19" i="4"/>
  <c r="KO12" i="4"/>
  <c r="KO6" i="4"/>
  <c r="KO8" i="4"/>
  <c r="KO10" i="4"/>
  <c r="KO14" i="4"/>
  <c r="KO13" i="4"/>
  <c r="KO15" i="4"/>
  <c r="KO9" i="4"/>
  <c r="KO7" i="4"/>
  <c r="KQ2" i="4" l="1"/>
  <c r="KQ4" i="4"/>
  <c r="KQ5" i="4" s="1"/>
  <c r="KR3" i="4"/>
  <c r="KP17" i="4"/>
  <c r="KP16" i="4"/>
  <c r="KP11" i="4"/>
  <c r="KP19" i="4"/>
  <c r="KP7" i="4"/>
  <c r="KP20" i="4"/>
  <c r="KP15" i="4"/>
  <c r="KP18" i="4"/>
  <c r="KP8" i="4"/>
  <c r="KP10" i="4"/>
  <c r="KP12" i="4"/>
  <c r="KP9" i="4"/>
  <c r="KP13" i="4"/>
  <c r="KP21" i="4"/>
  <c r="KP6" i="4"/>
  <c r="KP14" i="4"/>
  <c r="KS3" i="4" l="1"/>
  <c r="KR2" i="4"/>
  <c r="KR4" i="4"/>
  <c r="KR5" i="4" s="1"/>
  <c r="KQ21" i="4"/>
  <c r="KQ17" i="4"/>
  <c r="KQ15" i="4"/>
  <c r="KQ11" i="4"/>
  <c r="KQ14" i="4"/>
  <c r="KQ13" i="4"/>
  <c r="KQ9" i="4"/>
  <c r="KQ10" i="4"/>
  <c r="KQ7" i="4"/>
  <c r="KQ19" i="4"/>
  <c r="KQ6" i="4"/>
  <c r="KQ18" i="4"/>
  <c r="KQ20" i="4"/>
  <c r="KQ12" i="4"/>
  <c r="KQ16" i="4"/>
  <c r="KQ8" i="4"/>
  <c r="KR21" i="4" l="1"/>
  <c r="KR14" i="4"/>
  <c r="KR12" i="4"/>
  <c r="KR13" i="4"/>
  <c r="KR17" i="4"/>
  <c r="KR11" i="4"/>
  <c r="KR9" i="4"/>
  <c r="KR6" i="4"/>
  <c r="KR16" i="4"/>
  <c r="KR15" i="4"/>
  <c r="KR8" i="4"/>
  <c r="KR18" i="4"/>
  <c r="KR7" i="4"/>
  <c r="KR19" i="4"/>
  <c r="KR20" i="4"/>
  <c r="KR10" i="4"/>
  <c r="KT3" i="4"/>
  <c r="KS2" i="4"/>
  <c r="KS4" i="4"/>
  <c r="KS5" i="4" s="1"/>
  <c r="KT2" i="4" l="1"/>
  <c r="KT4" i="4"/>
  <c r="KT5" i="4" s="1"/>
  <c r="KU3" i="4"/>
  <c r="KS20" i="4"/>
  <c r="KS21" i="4"/>
  <c r="KS18" i="4"/>
  <c r="KS12" i="4"/>
  <c r="KS11" i="4"/>
  <c r="KS10" i="4"/>
  <c r="KS14" i="4"/>
  <c r="KS6" i="4"/>
  <c r="KS15" i="4"/>
  <c r="KS17" i="4"/>
  <c r="KS13" i="4"/>
  <c r="KS8" i="4"/>
  <c r="KS19" i="4"/>
  <c r="KS16" i="4"/>
  <c r="KS7" i="4"/>
  <c r="KS9" i="4"/>
  <c r="KU4" i="4" l="1"/>
  <c r="KU5" i="4" s="1"/>
  <c r="KV3" i="4"/>
  <c r="KU2" i="4"/>
  <c r="KT20" i="4"/>
  <c r="KT21" i="4"/>
  <c r="KT18" i="4"/>
  <c r="KT11" i="4"/>
  <c r="KT14" i="4"/>
  <c r="KT12" i="4"/>
  <c r="KT10" i="4"/>
  <c r="KT8" i="4"/>
  <c r="KT6" i="4"/>
  <c r="KT9" i="4"/>
  <c r="KT17" i="4"/>
  <c r="KT13" i="4"/>
  <c r="KT15" i="4"/>
  <c r="KT16" i="4"/>
  <c r="KT19" i="4"/>
  <c r="KT7" i="4"/>
  <c r="KV4" i="4" l="1"/>
  <c r="KV5" i="4" s="1"/>
  <c r="KV2" i="4"/>
  <c r="KW3" i="4"/>
  <c r="KU21" i="4"/>
  <c r="KU20" i="4"/>
  <c r="KU18" i="4"/>
  <c r="KU12" i="4"/>
  <c r="KU15" i="4"/>
  <c r="KU16" i="4"/>
  <c r="KU10" i="4"/>
  <c r="KU9" i="4"/>
  <c r="KU19" i="4"/>
  <c r="KU17" i="4"/>
  <c r="KU13" i="4"/>
  <c r="KU8" i="4"/>
  <c r="KU14" i="4"/>
  <c r="KU7" i="4"/>
  <c r="KU6" i="4"/>
  <c r="KU11" i="4"/>
  <c r="KW4" i="4" l="1"/>
  <c r="KW5" i="4" s="1"/>
  <c r="KX3" i="4"/>
  <c r="KW2" i="4"/>
  <c r="KV21" i="4"/>
  <c r="KV20" i="4"/>
  <c r="KV11" i="4"/>
  <c r="KV15" i="4"/>
  <c r="KV13" i="4"/>
  <c r="KV12" i="4"/>
  <c r="KV10" i="4"/>
  <c r="KV9" i="4"/>
  <c r="KV6" i="4"/>
  <c r="KV19" i="4"/>
  <c r="KV14" i="4"/>
  <c r="KV8" i="4"/>
  <c r="KV7" i="4"/>
  <c r="KV17" i="4"/>
  <c r="KV16" i="4"/>
  <c r="KV18" i="4"/>
  <c r="KX2" i="4" l="1"/>
  <c r="KY3" i="4"/>
  <c r="KX4" i="4"/>
  <c r="KX5" i="4" s="1"/>
  <c r="KW21" i="4"/>
  <c r="KW20" i="4"/>
  <c r="KW18" i="4"/>
  <c r="KW15" i="4"/>
  <c r="KW11" i="4"/>
  <c r="KW13" i="4"/>
  <c r="KW12" i="4"/>
  <c r="KW9" i="4"/>
  <c r="KW7" i="4"/>
  <c r="KW6" i="4"/>
  <c r="KW19" i="4"/>
  <c r="KW8" i="4"/>
  <c r="KW14" i="4"/>
  <c r="KW16" i="4"/>
  <c r="KW10" i="4"/>
  <c r="KW17" i="4"/>
  <c r="KX20" i="4" l="1"/>
  <c r="KX21" i="4"/>
  <c r="KX15" i="4"/>
  <c r="KX17" i="4"/>
  <c r="KX13" i="4"/>
  <c r="KX14" i="4"/>
  <c r="KX10" i="4"/>
  <c r="KX9" i="4"/>
  <c r="KX6" i="4"/>
  <c r="KX12" i="4"/>
  <c r="KX8" i="4"/>
  <c r="KX7" i="4"/>
  <c r="KX18" i="4"/>
  <c r="KX16" i="4"/>
  <c r="KX19" i="4"/>
  <c r="KX11" i="4"/>
  <c r="KY2" i="4"/>
  <c r="KZ3" i="4"/>
  <c r="KY4" i="4"/>
  <c r="KY5" i="4" s="1"/>
  <c r="LA3" i="4" l="1"/>
  <c r="KZ4" i="4"/>
  <c r="KZ5" i="4" s="1"/>
  <c r="KZ2" i="4"/>
  <c r="KY21" i="4"/>
  <c r="KY18" i="4"/>
  <c r="KY13" i="4"/>
  <c r="KY20" i="4"/>
  <c r="KY15" i="4"/>
  <c r="KY17" i="4"/>
  <c r="KY10" i="4"/>
  <c r="KY6" i="4"/>
  <c r="KY7" i="4"/>
  <c r="KY9" i="4"/>
  <c r="KY14" i="4"/>
  <c r="KY16" i="4"/>
  <c r="KY11" i="4"/>
  <c r="KY19" i="4"/>
  <c r="KY12" i="4"/>
  <c r="KY8" i="4"/>
  <c r="KZ15" i="4" l="1"/>
  <c r="KZ13" i="4"/>
  <c r="KZ18" i="4"/>
  <c r="KZ6" i="4"/>
  <c r="KZ9" i="4"/>
  <c r="KZ12" i="4"/>
  <c r="KZ7" i="4"/>
  <c r="KZ11" i="4"/>
  <c r="KZ19" i="4"/>
  <c r="KZ14" i="4"/>
  <c r="KZ16" i="4"/>
  <c r="KZ17" i="4"/>
  <c r="KZ20" i="4"/>
  <c r="KZ21" i="4"/>
  <c r="KZ10" i="4"/>
  <c r="KZ8" i="4"/>
  <c r="LA4" i="4"/>
  <c r="LA5" i="4" s="1"/>
  <c r="LA2" i="4"/>
  <c r="LB3" i="4"/>
  <c r="LB4" i="4" l="1"/>
  <c r="LB5" i="4" s="1"/>
  <c r="LB2" i="4"/>
  <c r="LC3" i="4"/>
  <c r="LA18" i="4"/>
  <c r="LA13" i="4"/>
  <c r="LA11" i="4"/>
  <c r="LA9" i="4"/>
  <c r="LA6" i="4"/>
  <c r="LA8" i="4"/>
  <c r="LA19" i="4"/>
  <c r="LA14" i="4"/>
  <c r="LA17" i="4"/>
  <c r="LA7" i="4"/>
  <c r="LA21" i="4"/>
  <c r="LA15" i="4"/>
  <c r="LA10" i="4"/>
  <c r="LA12" i="4"/>
  <c r="LA20" i="4"/>
  <c r="LA16" i="4"/>
  <c r="LD3" i="4" l="1"/>
  <c r="LC4" i="4"/>
  <c r="LC5" i="4" s="1"/>
  <c r="LC2" i="4"/>
  <c r="LB18" i="4"/>
  <c r="LB14" i="4"/>
  <c r="LB13" i="4"/>
  <c r="LB11" i="4"/>
  <c r="LB10" i="4"/>
  <c r="LB6" i="4"/>
  <c r="LB17" i="4"/>
  <c r="LB8" i="4"/>
  <c r="LB12" i="4"/>
  <c r="LB20" i="4"/>
  <c r="LB9" i="4"/>
  <c r="LB7" i="4"/>
  <c r="LB19" i="4"/>
  <c r="LB15" i="4"/>
  <c r="LB21" i="4"/>
  <c r="LB16" i="4"/>
  <c r="LC21" i="4" l="1"/>
  <c r="LC18" i="4"/>
  <c r="LC13" i="4"/>
  <c r="LC11" i="4"/>
  <c r="LC16" i="4"/>
  <c r="LC8" i="4"/>
  <c r="LC14" i="4"/>
  <c r="LC9" i="4"/>
  <c r="LC12" i="4"/>
  <c r="LC10" i="4"/>
  <c r="LC15" i="4"/>
  <c r="LC20" i="4"/>
  <c r="LC19" i="4"/>
  <c r="LC7" i="4"/>
  <c r="LC6" i="4"/>
  <c r="LC17" i="4"/>
  <c r="LE3" i="4"/>
  <c r="LD2" i="4"/>
  <c r="LD4" i="4"/>
  <c r="LD5" i="4" s="1"/>
  <c r="LD18" i="4" l="1"/>
  <c r="LD20" i="4"/>
  <c r="LD13" i="4"/>
  <c r="LD16" i="4"/>
  <c r="LD15" i="4"/>
  <c r="LD11" i="4"/>
  <c r="LD6" i="4"/>
  <c r="LD7" i="4"/>
  <c r="LD8" i="4"/>
  <c r="LD19" i="4"/>
  <c r="LD9" i="4"/>
  <c r="LD21" i="4"/>
  <c r="LD14" i="4"/>
  <c r="LD10" i="4"/>
  <c r="LD12" i="4"/>
  <c r="LD17" i="4"/>
  <c r="LF3" i="4"/>
  <c r="LE4" i="4"/>
  <c r="LE5" i="4" s="1"/>
  <c r="LE2" i="4"/>
  <c r="LE21" i="4" l="1"/>
  <c r="LE18" i="4"/>
  <c r="LE15" i="4"/>
  <c r="LE11" i="4"/>
  <c r="LE16" i="4"/>
  <c r="LE9" i="4"/>
  <c r="LE12" i="4"/>
  <c r="LE10" i="4"/>
  <c r="LE8" i="4"/>
  <c r="LE19" i="4"/>
  <c r="LE7" i="4"/>
  <c r="LE14" i="4"/>
  <c r="LE17" i="4"/>
  <c r="LE20" i="4"/>
  <c r="LE6" i="4"/>
  <c r="LE13" i="4"/>
  <c r="LG3" i="4"/>
  <c r="LF4" i="4"/>
  <c r="LF5" i="4" s="1"/>
  <c r="LF2" i="4"/>
  <c r="LG4" i="4" l="1"/>
  <c r="LG5" i="4" s="1"/>
  <c r="LG2" i="4"/>
  <c r="LH3" i="4"/>
  <c r="LF18" i="4"/>
  <c r="LF16" i="4"/>
  <c r="LF11" i="4"/>
  <c r="LF15" i="4"/>
  <c r="LF9" i="4"/>
  <c r="LF6" i="4"/>
  <c r="LF19" i="4"/>
  <c r="LF8" i="4"/>
  <c r="LF12" i="4"/>
  <c r="LF17" i="4"/>
  <c r="LF7" i="4"/>
  <c r="LF14" i="4"/>
  <c r="LF10" i="4"/>
  <c r="LF13" i="4"/>
  <c r="LF21" i="4"/>
  <c r="LF20" i="4"/>
  <c r="LI3" i="4" l="1"/>
  <c r="LH4" i="4"/>
  <c r="LH5" i="4" s="1"/>
  <c r="LH2" i="4"/>
  <c r="LG21" i="4"/>
  <c r="LG11" i="4"/>
  <c r="LG16" i="4"/>
  <c r="LG13" i="4"/>
  <c r="LG12" i="4"/>
  <c r="LG19" i="4"/>
  <c r="LG8" i="4"/>
  <c r="LG10" i="4"/>
  <c r="LG6" i="4"/>
  <c r="LG15" i="4"/>
  <c r="LG18" i="4"/>
  <c r="LG7" i="4"/>
  <c r="LG17" i="4"/>
  <c r="LG20" i="4"/>
  <c r="LG14" i="4"/>
  <c r="LG9" i="4"/>
  <c r="LH21" i="4" l="1"/>
  <c r="LH20" i="4"/>
  <c r="LH13" i="4"/>
  <c r="LH11" i="4"/>
  <c r="LH16" i="4"/>
  <c r="LH7" i="4"/>
  <c r="LH6" i="4"/>
  <c r="LH18" i="4"/>
  <c r="LH19" i="4"/>
  <c r="LH17" i="4"/>
  <c r="LH8" i="4"/>
  <c r="LH10" i="4"/>
  <c r="LH9" i="4"/>
  <c r="LH15" i="4"/>
  <c r="LH14" i="4"/>
  <c r="LH12" i="4"/>
  <c r="LJ3" i="4"/>
  <c r="LI2" i="4"/>
  <c r="LI4" i="4"/>
  <c r="LI5" i="4" s="1"/>
  <c r="LI21" i="4" l="1"/>
  <c r="LI20" i="4"/>
  <c r="LI13" i="4"/>
  <c r="LI16" i="4"/>
  <c r="LI11" i="4"/>
  <c r="LI7" i="4"/>
  <c r="LI10" i="4"/>
  <c r="LI6" i="4"/>
  <c r="LI15" i="4"/>
  <c r="LI14" i="4"/>
  <c r="LI18" i="4"/>
  <c r="LI8" i="4"/>
  <c r="LI17" i="4"/>
  <c r="LI12" i="4"/>
  <c r="LI9" i="4"/>
  <c r="LI19" i="4"/>
  <c r="LJ4" i="4"/>
  <c r="LJ5" i="4" s="1"/>
  <c r="LJ2" i="4"/>
  <c r="LK3" i="4"/>
  <c r="LK4" i="4" l="1"/>
  <c r="LK5" i="4" s="1"/>
  <c r="LK2" i="4"/>
  <c r="LL3" i="4"/>
  <c r="LJ21" i="4"/>
  <c r="LJ13" i="4"/>
  <c r="LJ11" i="4"/>
  <c r="LJ7" i="4"/>
  <c r="LJ10" i="4"/>
  <c r="LJ8" i="4"/>
  <c r="LJ12" i="4"/>
  <c r="LJ20" i="4"/>
  <c r="LJ9" i="4"/>
  <c r="LJ14" i="4"/>
  <c r="LJ18" i="4"/>
  <c r="LJ16" i="4"/>
  <c r="LJ6" i="4"/>
  <c r="LJ17" i="4"/>
  <c r="LJ19" i="4"/>
  <c r="LJ15" i="4"/>
  <c r="LL4" i="4" l="1"/>
  <c r="LL5" i="4" s="1"/>
  <c r="LL2" i="4"/>
  <c r="LM3" i="4"/>
  <c r="LK16" i="4"/>
  <c r="LK21" i="4"/>
  <c r="LK10" i="4"/>
  <c r="LK6" i="4"/>
  <c r="LK7" i="4"/>
  <c r="LK14" i="4"/>
  <c r="LK8" i="4"/>
  <c r="LK19" i="4"/>
  <c r="LK12" i="4"/>
  <c r="LK18" i="4"/>
  <c r="LK9" i="4"/>
  <c r="LK20" i="4"/>
  <c r="LK13" i="4"/>
  <c r="LK17" i="4"/>
  <c r="LK15" i="4"/>
  <c r="LK11" i="4"/>
  <c r="LM4" i="4" l="1"/>
  <c r="LM5" i="4" s="1"/>
  <c r="LM2" i="4"/>
  <c r="LN3" i="4"/>
  <c r="LL21" i="4"/>
  <c r="LL11" i="4"/>
  <c r="LL10" i="4"/>
  <c r="LL7" i="4"/>
  <c r="LL6" i="4"/>
  <c r="LL8" i="4"/>
  <c r="LL19" i="4"/>
  <c r="LL12" i="4"/>
  <c r="LL13" i="4"/>
  <c r="LL9" i="4"/>
  <c r="LL16" i="4"/>
  <c r="LL14" i="4"/>
  <c r="LL15" i="4"/>
  <c r="LL17" i="4"/>
  <c r="LL20" i="4"/>
  <c r="LL18" i="4"/>
  <c r="LN4" i="4" l="1"/>
  <c r="LN5" i="4" s="1"/>
  <c r="LO3" i="4"/>
  <c r="LN2" i="4"/>
  <c r="LM21" i="4"/>
  <c r="LM20" i="4"/>
  <c r="LM17" i="4"/>
  <c r="LM11" i="4"/>
  <c r="LM15" i="4"/>
  <c r="LM6" i="4"/>
  <c r="LM9" i="4"/>
  <c r="LM19" i="4"/>
  <c r="LM7" i="4"/>
  <c r="LM10" i="4"/>
  <c r="LM8" i="4"/>
  <c r="LM12" i="4"/>
  <c r="LM14" i="4"/>
  <c r="LM13" i="4"/>
  <c r="LM18" i="4"/>
  <c r="LM16" i="4"/>
  <c r="LO2" i="4" l="1"/>
  <c r="LP3" i="4"/>
  <c r="LO4" i="4"/>
  <c r="LO5" i="4" s="1"/>
  <c r="LN21" i="4"/>
  <c r="LN20" i="4"/>
  <c r="LN15" i="4"/>
  <c r="LN17" i="4"/>
  <c r="LN13" i="4"/>
  <c r="LN14" i="4"/>
  <c r="LN11" i="4"/>
  <c r="LN8" i="4"/>
  <c r="LN6" i="4"/>
  <c r="LN7" i="4"/>
  <c r="LN18" i="4"/>
  <c r="LN9" i="4"/>
  <c r="LN19" i="4"/>
  <c r="LN16" i="4"/>
  <c r="LN10" i="4"/>
  <c r="LN12" i="4"/>
  <c r="LO18" i="4" l="1"/>
  <c r="LO20" i="4"/>
  <c r="LO15" i="4"/>
  <c r="LO17" i="4"/>
  <c r="LO16" i="4"/>
  <c r="LO13" i="4"/>
  <c r="LO21" i="4"/>
  <c r="LO12" i="4"/>
  <c r="LO14" i="4"/>
  <c r="LO9" i="4"/>
  <c r="LO10" i="4"/>
  <c r="LO6" i="4"/>
  <c r="LO7" i="4"/>
  <c r="LO19" i="4"/>
  <c r="LO8" i="4"/>
  <c r="LO11" i="4"/>
  <c r="LQ3" i="4"/>
  <c r="LP4" i="4"/>
  <c r="LP5" i="4" s="1"/>
  <c r="LP2" i="4"/>
  <c r="LP21" i="4" l="1"/>
  <c r="LP13" i="4"/>
  <c r="LP18" i="4"/>
  <c r="LP9" i="4"/>
  <c r="LP15" i="4"/>
  <c r="LP14" i="4"/>
  <c r="LP19" i="4"/>
  <c r="LP8" i="4"/>
  <c r="LP12" i="4"/>
  <c r="LP11" i="4"/>
  <c r="LP17" i="4"/>
  <c r="LP20" i="4"/>
  <c r="LP6" i="4"/>
  <c r="LP7" i="4"/>
  <c r="LP16" i="4"/>
  <c r="LP10" i="4"/>
  <c r="LQ2" i="4"/>
  <c r="LR3" i="4"/>
  <c r="LQ4" i="4"/>
  <c r="LQ5" i="4" s="1"/>
  <c r="LQ21" i="4" l="1"/>
  <c r="LQ20" i="4"/>
  <c r="LQ15" i="4"/>
  <c r="LQ18" i="4"/>
  <c r="LQ13" i="4"/>
  <c r="LQ14" i="4"/>
  <c r="LQ9" i="4"/>
  <c r="LQ7" i="4"/>
  <c r="LQ12" i="4"/>
  <c r="LQ19" i="4"/>
  <c r="LQ6" i="4"/>
  <c r="LQ17" i="4"/>
  <c r="LQ11" i="4"/>
  <c r="LQ8" i="4"/>
  <c r="LQ16" i="4"/>
  <c r="LQ10" i="4"/>
  <c r="LR2" i="4"/>
  <c r="LR4" i="4"/>
  <c r="LR5" i="4" s="1"/>
  <c r="LS3" i="4"/>
  <c r="LT3" i="4" l="1"/>
  <c r="LS4" i="4"/>
  <c r="LS5" i="4" s="1"/>
  <c r="LS2" i="4"/>
  <c r="LR15" i="4"/>
  <c r="LR13" i="4"/>
  <c r="LR11" i="4"/>
  <c r="LR9" i="4"/>
  <c r="LR18" i="4"/>
  <c r="LR17" i="4"/>
  <c r="LR8" i="4"/>
  <c r="LR16" i="4"/>
  <c r="LR21" i="4"/>
  <c r="LR20" i="4"/>
  <c r="LR10" i="4"/>
  <c r="LR6" i="4"/>
  <c r="LR19" i="4"/>
  <c r="LR12" i="4"/>
  <c r="LR7" i="4"/>
  <c r="LR14" i="4"/>
  <c r="LS15" i="4" l="1"/>
  <c r="LS11" i="4"/>
  <c r="LS18" i="4"/>
  <c r="LS17" i="4"/>
  <c r="LS13" i="4"/>
  <c r="LS9" i="4"/>
  <c r="LS14" i="4"/>
  <c r="LS12" i="4"/>
  <c r="LS6" i="4"/>
  <c r="LS10" i="4"/>
  <c r="LS16" i="4"/>
  <c r="LS19" i="4"/>
  <c r="LS20" i="4"/>
  <c r="LS21" i="4"/>
  <c r="LS7" i="4"/>
  <c r="LS8" i="4"/>
  <c r="LU3" i="4"/>
  <c r="LT4" i="4"/>
  <c r="LT5" i="4" s="1"/>
  <c r="LT2" i="4"/>
  <c r="LT18" i="4" l="1"/>
  <c r="LT13" i="4"/>
  <c r="LT14" i="4"/>
  <c r="LT15" i="4"/>
  <c r="LT17" i="4"/>
  <c r="LT9" i="4"/>
  <c r="LT11" i="4"/>
  <c r="LT8" i="4"/>
  <c r="LT12" i="4"/>
  <c r="LT19" i="4"/>
  <c r="LT7" i="4"/>
  <c r="LT16" i="4"/>
  <c r="LT6" i="4"/>
  <c r="LT10" i="4"/>
  <c r="LT20" i="4"/>
  <c r="LT21" i="4"/>
  <c r="LV3" i="4"/>
  <c r="LU4" i="4"/>
  <c r="LU5" i="4" s="1"/>
  <c r="LU2" i="4"/>
  <c r="LU18" i="4" l="1"/>
  <c r="LU20" i="4"/>
  <c r="LU15" i="4"/>
  <c r="LU11" i="4"/>
  <c r="LU12" i="4"/>
  <c r="LU9" i="4"/>
  <c r="LU6" i="4"/>
  <c r="LU8" i="4"/>
  <c r="LU19" i="4"/>
  <c r="LU17" i="4"/>
  <c r="LU16" i="4"/>
  <c r="LU21" i="4"/>
  <c r="LU7" i="4"/>
  <c r="LU14" i="4"/>
  <c r="LU13" i="4"/>
  <c r="LU10" i="4"/>
  <c r="LW3" i="4"/>
  <c r="LV4" i="4"/>
  <c r="LV5" i="4" s="1"/>
  <c r="LV2" i="4"/>
  <c r="LV20" i="4" l="1"/>
  <c r="LV15" i="4"/>
  <c r="LV17" i="4"/>
  <c r="LV11" i="4"/>
  <c r="LV18" i="4"/>
  <c r="LV9" i="4"/>
  <c r="LV7" i="4"/>
  <c r="LV8" i="4"/>
  <c r="LV6" i="4"/>
  <c r="LV19" i="4"/>
  <c r="LV14" i="4"/>
  <c r="LV10" i="4"/>
  <c r="LV12" i="4"/>
  <c r="LV16" i="4"/>
  <c r="LV21" i="4"/>
  <c r="LV13" i="4"/>
  <c r="LX3" i="4"/>
  <c r="LW2" i="4"/>
  <c r="LW4" i="4"/>
  <c r="LW5" i="4" s="1"/>
  <c r="LY3" i="4" l="1"/>
  <c r="LX2" i="4"/>
  <c r="LX4" i="4"/>
  <c r="LX5" i="4" s="1"/>
  <c r="LW20" i="4"/>
  <c r="LW18" i="4"/>
  <c r="LW21" i="4"/>
  <c r="LW13" i="4"/>
  <c r="LW17" i="4"/>
  <c r="LW11" i="4"/>
  <c r="LW9" i="4"/>
  <c r="LW8" i="4"/>
  <c r="LW7" i="4"/>
  <c r="LW6" i="4"/>
  <c r="LW14" i="4"/>
  <c r="LW19" i="4"/>
  <c r="LW12" i="4"/>
  <c r="LW10" i="4"/>
  <c r="LW15" i="4"/>
  <c r="LW16" i="4"/>
  <c r="LX21" i="4" l="1"/>
  <c r="LX13" i="4"/>
  <c r="LX20" i="4"/>
  <c r="LX11" i="4"/>
  <c r="LX7" i="4"/>
  <c r="LX9" i="4"/>
  <c r="LX17" i="4"/>
  <c r="LX14" i="4"/>
  <c r="LX6" i="4"/>
  <c r="LX19" i="4"/>
  <c r="LX10" i="4"/>
  <c r="LX12" i="4"/>
  <c r="LX8" i="4"/>
  <c r="LX16" i="4"/>
  <c r="LX15" i="4"/>
  <c r="LX18" i="4"/>
  <c r="LZ3" i="4"/>
  <c r="LY2" i="4"/>
  <c r="LY4" i="4"/>
  <c r="LY5" i="4" s="1"/>
  <c r="LY21" i="4" l="1"/>
  <c r="LY20" i="4"/>
  <c r="LY18" i="4"/>
  <c r="LY13" i="4"/>
  <c r="LY17" i="4"/>
  <c r="LY11" i="4"/>
  <c r="LY7" i="4"/>
  <c r="LY16" i="4"/>
  <c r="LY10" i="4"/>
  <c r="LY8" i="4"/>
  <c r="LY6" i="4"/>
  <c r="LY19" i="4"/>
  <c r="LY9" i="4"/>
  <c r="LY14" i="4"/>
  <c r="LY15" i="4"/>
  <c r="LY12" i="4"/>
  <c r="LZ4" i="4"/>
  <c r="LZ5" i="4" s="1"/>
  <c r="MA3" i="4"/>
  <c r="LZ2" i="4"/>
  <c r="MA4" i="4" l="1"/>
  <c r="MA5" i="4" s="1"/>
  <c r="MB3" i="4"/>
  <c r="MA2" i="4"/>
  <c r="LZ21" i="4"/>
  <c r="LZ20" i="4"/>
  <c r="LZ18" i="4"/>
  <c r="LZ13" i="4"/>
  <c r="LZ11" i="4"/>
  <c r="LZ12" i="4"/>
  <c r="LZ10" i="4"/>
  <c r="LZ19" i="4"/>
  <c r="LZ8" i="4"/>
  <c r="LZ16" i="4"/>
  <c r="LZ9" i="4"/>
  <c r="LZ14" i="4"/>
  <c r="LZ17" i="4"/>
  <c r="LZ15" i="4"/>
  <c r="LZ7" i="4"/>
  <c r="LZ6" i="4"/>
  <c r="MB4" i="4" l="1"/>
  <c r="MB5" i="4" s="1"/>
  <c r="MC3" i="4"/>
  <c r="MB2" i="4"/>
  <c r="MA21" i="4"/>
  <c r="MA20" i="4"/>
  <c r="MA13" i="4"/>
  <c r="MA16" i="4"/>
  <c r="MA19" i="4"/>
  <c r="MA7" i="4"/>
  <c r="MA17" i="4"/>
  <c r="MA15" i="4"/>
  <c r="MA18" i="4"/>
  <c r="MA6" i="4"/>
  <c r="MA9" i="4"/>
  <c r="MA8" i="4"/>
  <c r="MA12" i="4"/>
  <c r="MA10" i="4"/>
  <c r="MA11" i="4"/>
  <c r="MA14" i="4"/>
  <c r="MC4" i="4" l="1"/>
  <c r="MC5" i="4" s="1"/>
  <c r="MD3" i="4"/>
  <c r="MC2" i="4"/>
  <c r="MB21" i="4"/>
  <c r="MB13" i="4"/>
  <c r="MB14" i="4"/>
  <c r="MB10" i="4"/>
  <c r="MB11" i="4"/>
  <c r="MB8" i="4"/>
  <c r="MB7" i="4"/>
  <c r="MB6" i="4"/>
  <c r="MB19" i="4"/>
  <c r="MB16" i="4"/>
  <c r="MB18" i="4"/>
  <c r="MB12" i="4"/>
  <c r="MB15" i="4"/>
  <c r="MB20" i="4"/>
  <c r="MB17" i="4"/>
  <c r="MB9" i="4"/>
  <c r="MD4" i="4" l="1"/>
  <c r="MD5" i="4" s="1"/>
  <c r="ME3" i="4"/>
  <c r="MD2" i="4"/>
  <c r="MC21" i="4"/>
  <c r="MC11" i="4"/>
  <c r="MC8" i="4"/>
  <c r="MC6" i="4"/>
  <c r="MC15" i="4"/>
  <c r="MC10" i="4"/>
  <c r="MC19" i="4"/>
  <c r="MC16" i="4"/>
  <c r="MC7" i="4"/>
  <c r="MC14" i="4"/>
  <c r="MC20" i="4"/>
  <c r="MC9" i="4"/>
  <c r="MC12" i="4"/>
  <c r="MC13" i="4"/>
  <c r="MC18" i="4"/>
  <c r="MC17" i="4"/>
  <c r="ME4" i="4" l="1"/>
  <c r="ME5" i="4" s="1"/>
  <c r="MF3" i="4"/>
  <c r="ME2" i="4"/>
  <c r="MD21" i="4"/>
  <c r="MD12" i="4"/>
  <c r="MD8" i="4"/>
  <c r="MD14" i="4"/>
  <c r="MD6" i="4"/>
  <c r="MD13" i="4"/>
  <c r="MD7" i="4"/>
  <c r="MD20" i="4"/>
  <c r="MD18" i="4"/>
  <c r="MD9" i="4"/>
  <c r="MD17" i="4"/>
  <c r="MD16" i="4"/>
  <c r="MD19" i="4"/>
  <c r="MD15" i="4"/>
  <c r="MD11" i="4"/>
  <c r="MD10" i="4"/>
  <c r="MF2" i="4" l="1"/>
  <c r="MF4" i="4"/>
  <c r="MF5" i="4" s="1"/>
  <c r="MG3" i="4"/>
  <c r="ME21" i="4"/>
  <c r="ME16" i="4"/>
  <c r="ME11" i="4"/>
  <c r="ME12" i="4"/>
  <c r="ME9" i="4"/>
  <c r="ME6" i="4"/>
  <c r="ME7" i="4"/>
  <c r="ME10" i="4"/>
  <c r="ME8" i="4"/>
  <c r="ME14" i="4"/>
  <c r="ME18" i="4"/>
  <c r="ME17" i="4"/>
  <c r="ME20" i="4"/>
  <c r="ME19" i="4"/>
  <c r="ME13" i="4"/>
  <c r="ME15" i="4"/>
  <c r="MH3" i="4" l="1"/>
  <c r="MG4" i="4"/>
  <c r="MG5" i="4" s="1"/>
  <c r="MG2" i="4"/>
  <c r="MF21" i="4"/>
  <c r="MF18" i="4"/>
  <c r="MF13" i="4"/>
  <c r="MF17" i="4"/>
  <c r="MF16" i="4"/>
  <c r="MF11" i="4"/>
  <c r="MF15" i="4"/>
  <c r="MF12" i="4"/>
  <c r="MF7" i="4"/>
  <c r="MF6" i="4"/>
  <c r="MF10" i="4"/>
  <c r="MF8" i="4"/>
  <c r="MF20" i="4"/>
  <c r="MF19" i="4"/>
  <c r="MF9" i="4"/>
  <c r="MF14" i="4"/>
  <c r="MG18" i="4" l="1"/>
  <c r="MG21" i="4"/>
  <c r="MG13" i="4"/>
  <c r="MG16" i="4"/>
  <c r="MG15" i="4"/>
  <c r="MG10" i="4"/>
  <c r="MG7" i="4"/>
  <c r="MG12" i="4"/>
  <c r="MG19" i="4"/>
  <c r="MG14" i="4"/>
  <c r="MG17" i="4"/>
  <c r="MG9" i="4"/>
  <c r="MG20" i="4"/>
  <c r="MG8" i="4"/>
  <c r="MG6" i="4"/>
  <c r="MG11" i="4"/>
  <c r="MH2" i="4"/>
  <c r="MH4" i="4"/>
  <c r="MH5" i="4" s="1"/>
  <c r="MI3" i="4"/>
  <c r="MI2" i="4" l="1"/>
  <c r="MI4" i="4"/>
  <c r="MI5" i="4" s="1"/>
  <c r="MJ3" i="4"/>
  <c r="MH21" i="4"/>
  <c r="MH13" i="4"/>
  <c r="MH16" i="4"/>
  <c r="MH15" i="4"/>
  <c r="MH10" i="4"/>
  <c r="MH6" i="4"/>
  <c r="MH8" i="4"/>
  <c r="MH14" i="4"/>
  <c r="MH9" i="4"/>
  <c r="MH20" i="4"/>
  <c r="MH18" i="4"/>
  <c r="MH11" i="4"/>
  <c r="MH17" i="4"/>
  <c r="MH7" i="4"/>
  <c r="MH19" i="4"/>
  <c r="MH12" i="4"/>
  <c r="MJ2" i="4" l="1"/>
  <c r="MJ4" i="4"/>
  <c r="MJ5" i="4" s="1"/>
  <c r="MK3" i="4"/>
  <c r="MI21" i="4"/>
  <c r="MI16" i="4"/>
  <c r="MI12" i="4"/>
  <c r="MI13" i="4"/>
  <c r="MI10" i="4"/>
  <c r="MI7" i="4"/>
  <c r="MI15" i="4"/>
  <c r="MI6" i="4"/>
  <c r="MI18" i="4"/>
  <c r="MI19" i="4"/>
  <c r="MI9" i="4"/>
  <c r="MI11" i="4"/>
  <c r="MI20" i="4"/>
  <c r="MI17" i="4"/>
  <c r="MI8" i="4"/>
  <c r="MI14" i="4"/>
  <c r="MK2" i="4" l="1"/>
  <c r="MK4" i="4"/>
  <c r="MK5" i="4" s="1"/>
  <c r="ML3" i="4"/>
  <c r="MJ15" i="4"/>
  <c r="MJ11" i="4"/>
  <c r="MJ14" i="4"/>
  <c r="MJ13" i="4"/>
  <c r="MJ10" i="4"/>
  <c r="MJ6" i="4"/>
  <c r="MJ19" i="4"/>
  <c r="MJ9" i="4"/>
  <c r="MJ7" i="4"/>
  <c r="MJ12" i="4"/>
  <c r="MJ16" i="4"/>
  <c r="MJ17" i="4"/>
  <c r="MJ20" i="4"/>
  <c r="MJ18" i="4"/>
  <c r="MJ21" i="4"/>
  <c r="MJ8" i="4"/>
  <c r="ML2" i="4" l="1"/>
  <c r="MM3" i="4"/>
  <c r="ML4" i="4"/>
  <c r="ML5" i="4" s="1"/>
  <c r="MK18" i="4"/>
  <c r="MK15" i="4"/>
  <c r="MK11" i="4"/>
  <c r="MK10" i="4"/>
  <c r="MK14" i="4"/>
  <c r="MK6" i="4"/>
  <c r="MK9" i="4"/>
  <c r="MK20" i="4"/>
  <c r="MK7" i="4"/>
  <c r="MK17" i="4"/>
  <c r="MK16" i="4"/>
  <c r="MK19" i="4"/>
  <c r="MK13" i="4"/>
  <c r="MK21" i="4"/>
  <c r="MK8" i="4"/>
  <c r="MK12" i="4"/>
  <c r="ML18" i="4" l="1"/>
  <c r="ML17" i="4"/>
  <c r="ML15" i="4"/>
  <c r="ML11" i="4"/>
  <c r="ML8" i="4"/>
  <c r="ML7" i="4"/>
  <c r="ML6" i="4"/>
  <c r="ML14" i="4"/>
  <c r="ML10" i="4"/>
  <c r="ML12" i="4"/>
  <c r="ML19" i="4"/>
  <c r="ML16" i="4"/>
  <c r="ML20" i="4"/>
  <c r="ML21" i="4"/>
  <c r="ML13" i="4"/>
  <c r="ML9" i="4"/>
  <c r="MM2" i="4"/>
  <c r="MN3" i="4"/>
  <c r="MM4" i="4"/>
  <c r="MM5" i="4" s="1"/>
  <c r="MM20" i="4" l="1"/>
  <c r="MM18" i="4"/>
  <c r="MM11" i="4"/>
  <c r="MM15" i="4"/>
  <c r="MM14" i="4"/>
  <c r="MM17" i="4"/>
  <c r="MM13" i="4"/>
  <c r="MM9" i="4"/>
  <c r="MM7" i="4"/>
  <c r="MM6" i="4"/>
  <c r="MM8" i="4"/>
  <c r="MM10" i="4"/>
  <c r="MM19" i="4"/>
  <c r="MM16" i="4"/>
  <c r="MM12" i="4"/>
  <c r="MM21" i="4"/>
  <c r="MO3" i="4"/>
  <c r="MN2" i="4"/>
  <c r="MN4" i="4"/>
  <c r="MN5" i="4" s="1"/>
  <c r="MN20" i="4" l="1"/>
  <c r="MN11" i="4"/>
  <c r="MN14" i="4"/>
  <c r="MN9" i="4"/>
  <c r="MN13" i="4"/>
  <c r="MN19" i="4"/>
  <c r="MN8" i="4"/>
  <c r="MN6" i="4"/>
  <c r="MN15" i="4"/>
  <c r="MN7" i="4"/>
  <c r="MN21" i="4"/>
  <c r="MN18" i="4"/>
  <c r="MN16" i="4"/>
  <c r="MN17" i="4"/>
  <c r="MN12" i="4"/>
  <c r="MN10" i="4"/>
  <c r="MP3" i="4"/>
  <c r="MO2" i="4"/>
  <c r="MO4" i="4"/>
  <c r="MO5" i="4" s="1"/>
  <c r="MO20" i="4" l="1"/>
  <c r="MO18" i="4"/>
  <c r="MO21" i="4"/>
  <c r="MO13" i="4"/>
  <c r="MO12" i="4"/>
  <c r="MO16" i="4"/>
  <c r="MO11" i="4"/>
  <c r="MO10" i="4"/>
  <c r="MO6" i="4"/>
  <c r="MO9" i="4"/>
  <c r="MO7" i="4"/>
  <c r="MO19" i="4"/>
  <c r="MO17" i="4"/>
  <c r="MO14" i="4"/>
  <c r="MO15" i="4"/>
  <c r="MO8" i="4"/>
  <c r="MP4" i="4"/>
  <c r="MP5" i="4" s="1"/>
  <c r="MQ3" i="4"/>
  <c r="MP2" i="4"/>
  <c r="MP21" i="4" l="1"/>
  <c r="MP18" i="4"/>
  <c r="MP16" i="4"/>
  <c r="MP11" i="4"/>
  <c r="MP13" i="4"/>
  <c r="MP20" i="4"/>
  <c r="MP10" i="4"/>
  <c r="MP8" i="4"/>
  <c r="MP12" i="4"/>
  <c r="MP19" i="4"/>
  <c r="MP9" i="4"/>
  <c r="MP6" i="4"/>
  <c r="MP14" i="4"/>
  <c r="MP7" i="4"/>
  <c r="MP15" i="4"/>
  <c r="MP17" i="4"/>
  <c r="MQ4" i="4"/>
  <c r="MQ5" i="4" s="1"/>
  <c r="MR3" i="4"/>
  <c r="MQ2" i="4"/>
  <c r="MR4" i="4" l="1"/>
  <c r="MR5" i="4" s="1"/>
  <c r="MS3" i="4"/>
  <c r="MR2" i="4"/>
  <c r="MQ21" i="4"/>
  <c r="MQ18" i="4"/>
  <c r="MQ15" i="4"/>
  <c r="MQ20" i="4"/>
  <c r="MQ13" i="4"/>
  <c r="MQ16" i="4"/>
  <c r="MQ11" i="4"/>
  <c r="MQ9" i="4"/>
  <c r="MQ19" i="4"/>
  <c r="MQ10" i="4"/>
  <c r="MQ8" i="4"/>
  <c r="MQ17" i="4"/>
  <c r="MQ14" i="4"/>
  <c r="MQ7" i="4"/>
  <c r="MQ6" i="4"/>
  <c r="MQ12" i="4"/>
  <c r="MS4" i="4" l="1"/>
  <c r="MS5" i="4" s="1"/>
  <c r="MT3" i="4"/>
  <c r="MS2" i="4"/>
  <c r="MR21" i="4"/>
  <c r="MR18" i="4"/>
  <c r="MR15" i="4"/>
  <c r="MR13" i="4"/>
  <c r="MR14" i="4"/>
  <c r="MR9" i="4"/>
  <c r="MR20" i="4"/>
  <c r="MR8" i="4"/>
  <c r="MR7" i="4"/>
  <c r="MR19" i="4"/>
  <c r="MR11" i="4"/>
  <c r="MR6" i="4"/>
  <c r="MR17" i="4"/>
  <c r="MR16" i="4"/>
  <c r="MR12" i="4"/>
  <c r="MR10" i="4"/>
  <c r="MT4" i="4" l="1"/>
  <c r="MT5" i="4" s="1"/>
  <c r="MT2" i="4"/>
  <c r="MU3" i="4"/>
  <c r="MS21" i="4"/>
  <c r="MS18" i="4"/>
  <c r="MS15" i="4"/>
  <c r="MS12" i="4"/>
  <c r="MS11" i="4"/>
  <c r="MS13" i="4"/>
  <c r="MS20" i="4"/>
  <c r="MS9" i="4"/>
  <c r="MS8" i="4"/>
  <c r="MS10" i="4"/>
  <c r="MS7" i="4"/>
  <c r="MS17" i="4"/>
  <c r="MS14" i="4"/>
  <c r="MS16" i="4"/>
  <c r="MS19" i="4"/>
  <c r="MS6" i="4"/>
  <c r="MT20" i="4" l="1"/>
  <c r="MT21" i="4"/>
  <c r="MT15" i="4"/>
  <c r="MT13" i="4"/>
  <c r="MT14" i="4"/>
  <c r="MT8" i="4"/>
  <c r="MT6" i="4"/>
  <c r="MT19" i="4"/>
  <c r="MT7" i="4"/>
  <c r="MT16" i="4"/>
  <c r="MT9" i="4"/>
  <c r="MT11" i="4"/>
  <c r="MT18" i="4"/>
  <c r="MT10" i="4"/>
  <c r="MT12" i="4"/>
  <c r="MT17" i="4"/>
  <c r="MV3" i="4"/>
  <c r="MU4" i="4"/>
  <c r="MU5" i="4" s="1"/>
  <c r="MU2" i="4"/>
  <c r="MU20" i="4" l="1"/>
  <c r="MU21" i="4"/>
  <c r="MU15" i="4"/>
  <c r="MU14" i="4"/>
  <c r="MU11" i="4"/>
  <c r="MU10" i="4"/>
  <c r="MU6" i="4"/>
  <c r="MU7" i="4"/>
  <c r="MU8" i="4"/>
  <c r="MU18" i="4"/>
  <c r="MU17" i="4"/>
  <c r="MU19" i="4"/>
  <c r="MU12" i="4"/>
  <c r="MU9" i="4"/>
  <c r="MU13" i="4"/>
  <c r="MU16" i="4"/>
  <c r="MW3" i="4"/>
  <c r="MV4" i="4"/>
  <c r="MV5" i="4" s="1"/>
  <c r="MV2" i="4"/>
  <c r="MV21" i="4" l="1"/>
  <c r="MV11" i="4"/>
  <c r="MV7" i="4"/>
  <c r="MV19" i="4"/>
  <c r="MV10" i="4"/>
  <c r="MV17" i="4"/>
  <c r="MV8" i="4"/>
  <c r="MV18" i="4"/>
  <c r="MV13" i="4"/>
  <c r="MV20" i="4"/>
  <c r="MV14" i="4"/>
  <c r="MV9" i="4"/>
  <c r="MV15" i="4"/>
  <c r="MV16" i="4"/>
  <c r="MV12" i="4"/>
  <c r="MV6" i="4"/>
  <c r="MX3" i="4"/>
  <c r="MW4" i="4"/>
  <c r="MW5" i="4" s="1"/>
  <c r="MW2" i="4"/>
  <c r="MY3" i="4" l="1"/>
  <c r="MX4" i="4"/>
  <c r="MX5" i="4" s="1"/>
  <c r="MX2" i="4"/>
  <c r="MX21" i="4" l="1"/>
  <c r="MX20" i="4"/>
  <c r="MX11" i="4"/>
  <c r="MX12" i="4"/>
  <c r="MX6" i="4"/>
  <c r="MX7" i="4"/>
  <c r="MX9" i="4"/>
  <c r="MX17" i="4"/>
  <c r="MX10" i="4"/>
  <c r="MX18" i="4"/>
  <c r="MX19" i="4"/>
  <c r="MX14" i="4"/>
  <c r="MX16" i="4"/>
  <c r="MX8" i="4"/>
  <c r="MX15" i="4"/>
  <c r="MX13" i="4"/>
  <c r="MY4" i="4"/>
  <c r="MY5" i="4" s="1"/>
  <c r="MY2" i="4"/>
  <c r="MZ3" i="4"/>
  <c r="MZ4" i="4" l="1"/>
  <c r="MZ5" i="4" s="1"/>
  <c r="NA3" i="4"/>
  <c r="MZ2" i="4"/>
  <c r="MY21" i="4"/>
  <c r="MY13" i="4"/>
  <c r="MY11" i="4"/>
  <c r="MY9" i="4"/>
  <c r="MY6" i="4"/>
  <c r="MY8" i="4"/>
  <c r="MY7" i="4"/>
  <c r="MY19" i="4"/>
  <c r="MY20" i="4"/>
  <c r="MY10" i="4"/>
  <c r="MY12" i="4"/>
  <c r="MY14" i="4"/>
  <c r="MY17" i="4"/>
  <c r="MY16" i="4"/>
  <c r="MY18" i="4"/>
  <c r="MY15" i="4"/>
  <c r="NA2" i="4" l="1"/>
  <c r="NB3" i="4"/>
  <c r="NA4" i="4"/>
  <c r="NA5" i="4" s="1"/>
  <c r="MZ21" i="4"/>
  <c r="MZ18" i="4"/>
  <c r="MZ20" i="4"/>
  <c r="MZ13" i="4"/>
  <c r="MZ16" i="4"/>
  <c r="MZ9" i="4"/>
  <c r="MZ6" i="4"/>
  <c r="MZ19" i="4"/>
  <c r="MZ11" i="4"/>
  <c r="MZ14" i="4"/>
  <c r="MZ7" i="4"/>
  <c r="MZ10" i="4"/>
  <c r="MZ8" i="4"/>
  <c r="MZ17" i="4"/>
  <c r="MZ15" i="4"/>
  <c r="MZ12" i="4"/>
  <c r="NA18" i="4" l="1"/>
  <c r="NA20" i="4"/>
  <c r="NA16" i="4"/>
  <c r="NA12" i="4"/>
  <c r="NA9" i="4"/>
  <c r="NA6" i="4"/>
  <c r="NA15" i="4"/>
  <c r="NA10" i="4"/>
  <c r="NA7" i="4"/>
  <c r="NA19" i="4"/>
  <c r="NA17" i="4"/>
  <c r="NA14" i="4"/>
  <c r="NA11" i="4"/>
  <c r="NA13" i="4"/>
  <c r="NA21" i="4"/>
  <c r="NA8" i="4"/>
  <c r="NB2" i="4"/>
  <c r="NB4" i="4"/>
  <c r="NB5" i="4" s="1"/>
  <c r="NC3" i="4"/>
  <c r="NC2" i="4" l="1"/>
  <c r="NC4" i="4"/>
  <c r="NC5" i="4" s="1"/>
  <c r="NB21" i="4"/>
  <c r="NB18" i="4"/>
  <c r="NB16" i="4"/>
  <c r="NB9" i="4"/>
  <c r="NB7" i="4"/>
  <c r="NB6" i="4"/>
  <c r="NB14" i="4"/>
  <c r="NB19" i="4"/>
  <c r="NB10" i="4"/>
  <c r="NB15" i="4"/>
  <c r="NB8" i="4"/>
  <c r="NB11" i="4"/>
  <c r="NB13" i="4"/>
  <c r="NB17" i="4"/>
  <c r="NB20" i="4"/>
  <c r="NB12" i="4"/>
  <c r="NC15" i="4" l="1"/>
  <c r="C37" i="4" s="1"/>
  <c r="NC18" i="4"/>
  <c r="C40" i="4" s="1"/>
  <c r="NC11" i="4"/>
  <c r="C33" i="4" s="1"/>
  <c r="NC16" i="4"/>
  <c r="C38" i="4" s="1"/>
  <c r="NC7" i="4"/>
  <c r="C29" i="4" s="1"/>
  <c r="NC10" i="4"/>
  <c r="NC8" i="4"/>
  <c r="NC6" i="4"/>
  <c r="C28" i="4" s="1"/>
  <c r="NC13" i="4"/>
  <c r="C35" i="4" s="1"/>
  <c r="NC19" i="4"/>
  <c r="C41" i="4" s="1"/>
  <c r="NC12" i="4"/>
  <c r="C34" i="4" s="1"/>
  <c r="NC14" i="4"/>
  <c r="C36" i="4" s="1"/>
  <c r="NC17" i="4"/>
  <c r="NC20" i="4"/>
  <c r="C42" i="4" s="1"/>
  <c r="NC9" i="4"/>
  <c r="NC21" i="4"/>
  <c r="N43" i="4" s="1"/>
  <c r="C30" i="4"/>
  <c r="C43" i="4"/>
  <c r="C31" i="4"/>
  <c r="C39" i="4"/>
  <c r="C32" i="4"/>
  <c r="D31" i="4"/>
  <c r="D35" i="4"/>
  <c r="D42" i="4"/>
  <c r="D43" i="4"/>
  <c r="D29" i="4"/>
  <c r="D30" i="4"/>
  <c r="D41" i="4"/>
  <c r="D32" i="4"/>
  <c r="D40" i="4"/>
  <c r="D28" i="4"/>
  <c r="D39" i="4"/>
  <c r="E29" i="4"/>
  <c r="E36" i="4"/>
  <c r="E37" i="4"/>
  <c r="E33" i="4"/>
  <c r="D36" i="4"/>
  <c r="D37" i="4"/>
  <c r="F32" i="4"/>
  <c r="E41" i="4"/>
  <c r="E40" i="4"/>
  <c r="F43" i="4"/>
  <c r="E43" i="4"/>
  <c r="E42" i="4"/>
  <c r="D33" i="4"/>
  <c r="E39" i="4"/>
  <c r="E30" i="4"/>
  <c r="I35" i="4"/>
  <c r="G42" i="4"/>
  <c r="F39" i="4"/>
  <c r="G36" i="4"/>
  <c r="D38" i="4"/>
  <c r="F33" i="4"/>
  <c r="F28" i="4"/>
  <c r="F38" i="4"/>
  <c r="E31" i="4"/>
  <c r="G33" i="4"/>
  <c r="F36" i="4"/>
  <c r="G31" i="4"/>
  <c r="E34" i="4"/>
  <c r="F37" i="4"/>
  <c r="F34" i="4"/>
  <c r="G32" i="4"/>
  <c r="F30" i="4"/>
  <c r="F42" i="4"/>
  <c r="F31" i="4"/>
  <c r="H34" i="4"/>
  <c r="E38" i="4"/>
  <c r="G29" i="4"/>
  <c r="D34" i="4"/>
  <c r="G35" i="4"/>
  <c r="F40" i="4"/>
  <c r="G28" i="4"/>
  <c r="E28" i="4"/>
  <c r="E32" i="4"/>
  <c r="G30" i="4"/>
  <c r="G40" i="4"/>
  <c r="E35" i="4"/>
  <c r="G39" i="4"/>
  <c r="F41" i="4"/>
  <c r="I30" i="4"/>
  <c r="G41" i="4"/>
  <c r="H37" i="4"/>
  <c r="H32" i="4"/>
  <c r="G37" i="4"/>
  <c r="I32" i="4"/>
  <c r="F35" i="4"/>
  <c r="H35" i="4"/>
  <c r="F29" i="4"/>
  <c r="G43" i="4"/>
  <c r="G38" i="4"/>
  <c r="I38" i="4"/>
  <c r="H43" i="4"/>
  <c r="H33" i="4"/>
  <c r="H29" i="4"/>
  <c r="G34" i="4"/>
  <c r="H40" i="4"/>
  <c r="H39" i="4"/>
  <c r="H31" i="4"/>
  <c r="H30" i="4"/>
  <c r="I29" i="4"/>
  <c r="I42" i="4"/>
  <c r="H36" i="4"/>
  <c r="J38" i="4"/>
  <c r="I36" i="4"/>
  <c r="J40" i="4"/>
  <c r="I28" i="4"/>
  <c r="J36" i="4"/>
  <c r="H41" i="4"/>
  <c r="I41" i="4"/>
  <c r="I39" i="4"/>
  <c r="I37" i="4"/>
  <c r="I40" i="4"/>
  <c r="J30" i="4"/>
  <c r="H28" i="4"/>
  <c r="I43" i="4"/>
  <c r="I34" i="4"/>
  <c r="K39" i="4"/>
  <c r="J28" i="4"/>
  <c r="I33" i="4"/>
  <c r="J35" i="4"/>
  <c r="H42" i="4"/>
  <c r="J43" i="4"/>
  <c r="I31" i="4"/>
  <c r="K31" i="4"/>
  <c r="K28" i="4"/>
  <c r="L42" i="4"/>
  <c r="H38" i="4"/>
  <c r="K42" i="4"/>
  <c r="K32" i="4"/>
  <c r="K38" i="4"/>
  <c r="K36" i="4"/>
  <c r="J42" i="4"/>
  <c r="J33" i="4"/>
  <c r="J37" i="4"/>
  <c r="J34" i="4"/>
  <c r="J31" i="4"/>
  <c r="J29" i="4"/>
  <c r="J41" i="4"/>
  <c r="K30" i="4"/>
  <c r="K37" i="4"/>
  <c r="J32" i="4"/>
  <c r="K40" i="4"/>
  <c r="K33" i="4"/>
  <c r="M29" i="4"/>
  <c r="K43" i="4"/>
  <c r="K35" i="4"/>
  <c r="L35" i="4"/>
  <c r="L37" i="4"/>
  <c r="L31" i="4"/>
  <c r="J39" i="4"/>
  <c r="N33" i="4"/>
  <c r="L30" i="4"/>
  <c r="L28" i="4"/>
  <c r="K29" i="4"/>
  <c r="L39" i="4"/>
  <c r="L41" i="4"/>
  <c r="K41" i="4"/>
  <c r="L34" i="4"/>
  <c r="L36" i="4"/>
  <c r="L33" i="4"/>
  <c r="M28" i="4"/>
  <c r="M40" i="4"/>
  <c r="L38" i="4"/>
  <c r="K34" i="4"/>
  <c r="L40" i="4"/>
  <c r="L32" i="4"/>
  <c r="L29" i="4"/>
  <c r="M37" i="4"/>
  <c r="M30" i="4"/>
  <c r="N41" i="4"/>
  <c r="N31" i="4"/>
  <c r="M33" i="4"/>
  <c r="M38" i="4"/>
  <c r="M39" i="4"/>
  <c r="L43" i="4"/>
  <c r="M35" i="4"/>
  <c r="M36" i="4"/>
  <c r="N35" i="4"/>
  <c r="M31" i="4"/>
  <c r="M34" i="4"/>
  <c r="M42" i="4"/>
  <c r="M41" i="4"/>
  <c r="M32" i="4"/>
  <c r="M43" i="4"/>
  <c r="N28" i="4"/>
  <c r="N40" i="4"/>
  <c r="N37" i="4"/>
  <c r="N36" i="4"/>
  <c r="N30" i="4"/>
  <c r="N39" i="4"/>
  <c r="N29" i="4"/>
  <c r="N42" i="4"/>
  <c r="N38" i="4"/>
  <c r="N32" i="4"/>
  <c r="N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tc={C796EA30-244D-4A29-9A52-B47D747AD97F}</author>
  </authors>
  <commentList>
    <comment ref="B2" authorId="0" shapeId="0" xr:uid="{C796EA30-244D-4A29-9A52-B47D747AD97F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hourly rate per Insperity Employee Info report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tc={B0974341-DC9A-408B-889A-16A21610A8F8}</author>
    <author>tc={16CBA73C-0CA5-4A13-ADCC-C56BBB3A9FF8}</author>
  </authors>
  <commentList>
    <comment ref="GE5" authorId="0" shapeId="0" xr:uid="{B0974341-DC9A-408B-889A-16A21610A8F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Holiday. All locations closed</t>
      </text>
    </comment>
    <comment ref="GF5" authorId="1" shapeId="0" xr:uid="{16CBA73C-0CA5-4A13-ADCC-C56BBB3A9FF8}">
      <text>
        <t>[Threaded comment]
Your version of Excel allows you to read this threaded comment; however, any edits to it will get removed if the file is opened in a newer version of Excel. Learn more: https://go.microsoft.com/fwlink/?linkid=870924
Comment:
    Hoboken, Ridgewood, Denville, Red Bank, Old Bridge, and Bel Air were closed on the 5th due to lack of staff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<sst xmlns="http://schemas.openxmlformats.org/spreadsheetml/2006/main" count="1053" uniqueCount="350">
  <si>
    <t>Category</t>
  </si>
  <si>
    <t>Sub-Category (INTERNAL ONLY)</t>
  </si>
  <si>
    <t>Item Name</t>
  </si>
  <si>
    <t>Per Syringe?</t>
  </si>
  <si>
    <t>Latest FFS</t>
  </si>
  <si>
    <t>Body Contouring</t>
  </si>
  <si>
    <t>CoolSculpt</t>
  </si>
  <si>
    <t>CoolSculpting Elite</t>
  </si>
  <si>
    <t>Cryo - Body Contouring</t>
  </si>
  <si>
    <t>Cryo Skin 4.0 - Body</t>
  </si>
  <si>
    <t>EmSculpt</t>
  </si>
  <si>
    <t>EMSCULPT NEO</t>
  </si>
  <si>
    <t>Facials</t>
  </si>
  <si>
    <t>Clear and Brilliant</t>
  </si>
  <si>
    <t>Add-on Clear and Brilliant 2nd Area</t>
  </si>
  <si>
    <t>Add-on Clear and Brilliant 3rd Area</t>
  </si>
  <si>
    <t>Other Chemical Peels</t>
  </si>
  <si>
    <t>Chemical Peel</t>
  </si>
  <si>
    <t>SkinMedica</t>
  </si>
  <si>
    <t>Chemical Peel (SkinMedica)</t>
  </si>
  <si>
    <t>Clear and Brilliant 1 Treatment Area (Face, Neck or Chest)</t>
  </si>
  <si>
    <t>Cryo - Facials</t>
  </si>
  <si>
    <t>CryoSkin 4.0 Facial</t>
  </si>
  <si>
    <t>Deep Pore Facial</t>
  </si>
  <si>
    <t>Dermaplane</t>
  </si>
  <si>
    <t>Dermaplane Add-on</t>
  </si>
  <si>
    <t>Dermaplaning</t>
  </si>
  <si>
    <t>DiamondGlow</t>
  </si>
  <si>
    <t>DiamondGlow - Brightening</t>
  </si>
  <si>
    <t>DiamondGlow - Even and Correct</t>
  </si>
  <si>
    <t>DiamondGlow - HA5</t>
  </si>
  <si>
    <t>DiamondGlow - Pore Clairfying</t>
  </si>
  <si>
    <t>DiamondGlow - TNS</t>
  </si>
  <si>
    <t>DiamondGlow Extraction Add-on (Large Area)</t>
  </si>
  <si>
    <t>DiamondGlow Extraction Add-on (Small Area)</t>
  </si>
  <si>
    <t>DiamondGlow Facial</t>
  </si>
  <si>
    <t>Express Facial</t>
  </si>
  <si>
    <t>Other Facials</t>
  </si>
  <si>
    <t>Facial - Eye Mask Add-on</t>
  </si>
  <si>
    <t>Facial - LED Add-on</t>
  </si>
  <si>
    <t>Hydrafacial</t>
  </si>
  <si>
    <t>Hydrafacial - Deluxe Facial</t>
  </si>
  <si>
    <t>Hydrafacial - Eye Perk Treatment</t>
  </si>
  <si>
    <t>Hydrafacial - Lip Perk Treatment</t>
  </si>
  <si>
    <t>Hydrafacial - Platinum Facial</t>
  </si>
  <si>
    <t>Hydrojelly/Cream Mask -Add-on</t>
  </si>
  <si>
    <t>Instant Bright Eye Mask Add On</t>
  </si>
  <si>
    <t>Instant Bright Eye Mask Add-on</t>
  </si>
  <si>
    <t>Signature Facial</t>
  </si>
  <si>
    <t>Signature Hydrafacial</t>
  </si>
  <si>
    <t>Fire &amp; Ice</t>
  </si>
  <si>
    <t>Fire and Ice Facial</t>
  </si>
  <si>
    <t>Hydrafacial - Lip Perk Add-On</t>
  </si>
  <si>
    <t>Filler</t>
  </si>
  <si>
    <t>Belotero</t>
  </si>
  <si>
    <t>Belotero (Balance)</t>
  </si>
  <si>
    <t>Y</t>
  </si>
  <si>
    <t>Other Filler</t>
  </si>
  <si>
    <t>Dermal Fillers</t>
  </si>
  <si>
    <t>Hylenex</t>
  </si>
  <si>
    <t>Juvederm</t>
  </si>
  <si>
    <t>Juvederm (Ultra Plus)</t>
  </si>
  <si>
    <t>Juvederm (Ultra)</t>
  </si>
  <si>
    <t>Juvederm (Volbella)</t>
  </si>
  <si>
    <t>Juvederm (Vollure)</t>
  </si>
  <si>
    <t>Juvederm (Voluma)</t>
  </si>
  <si>
    <t>Juvederm Half Syringe (Ultra)</t>
  </si>
  <si>
    <t>Juvederm Upcharge 100</t>
  </si>
  <si>
    <t>Juvederm Volbella (Half Syringe)</t>
  </si>
  <si>
    <t>Juvederm Volux</t>
  </si>
  <si>
    <t>Kybella</t>
  </si>
  <si>
    <t>Kybella Double Chin Treatment</t>
  </si>
  <si>
    <t>Lip Filler</t>
  </si>
  <si>
    <t>Radiesse</t>
  </si>
  <si>
    <t>Non-Surgical Brazilian Butt Lift Mini (Radiesse)</t>
  </si>
  <si>
    <t>Non-Surgical Brazilian Butt Lift Ultimate (Radiesse)</t>
  </si>
  <si>
    <t>Non-Surgical Mini BBL Radiesse</t>
  </si>
  <si>
    <t>Non-Surgical Ultimate BBL Radiesse</t>
  </si>
  <si>
    <t>Radiesse (with Lidocaine)</t>
  </si>
  <si>
    <t>Restylane</t>
  </si>
  <si>
    <t>Restylane - L</t>
  </si>
  <si>
    <t>Restylane (Contour)</t>
  </si>
  <si>
    <t>Restylane Defyne</t>
  </si>
  <si>
    <t>Restylane Kysse</t>
  </si>
  <si>
    <t>Restylane Lyft</t>
  </si>
  <si>
    <t>Restylane Refyne</t>
  </si>
  <si>
    <t>Sculptra</t>
  </si>
  <si>
    <t>SkinVive</t>
  </si>
  <si>
    <t>Undereye Filler</t>
  </si>
  <si>
    <t>Versa</t>
  </si>
  <si>
    <t>PRF</t>
  </si>
  <si>
    <t>PRF Add-on</t>
  </si>
  <si>
    <t>PRF Gel</t>
  </si>
  <si>
    <t>PRF Rejuvenation Injections (inc. Undereye)</t>
  </si>
  <si>
    <t>PRF Hair Loss</t>
  </si>
  <si>
    <t>PRF Undereye + Morpheus Resurfacing</t>
  </si>
  <si>
    <t>Other Injectables</t>
  </si>
  <si>
    <t>PRP</t>
  </si>
  <si>
    <t>PRP Undereye + Morpheus Resurfacing Tip</t>
  </si>
  <si>
    <t>PRF/PRP Injectable Upcharge</t>
  </si>
  <si>
    <t>Laser Hair Removal</t>
  </si>
  <si>
    <t>Laser Hair Removal (Buttocks)</t>
  </si>
  <si>
    <t>Laser Hair Removal (Extra Large)</t>
  </si>
  <si>
    <t>Laser Hair Removal (Feet)</t>
  </si>
  <si>
    <t>Laser Hair Removal (Full Body)</t>
  </si>
  <si>
    <t>Laser Hair Removal (Hands)</t>
  </si>
  <si>
    <t>Laser Hair Removal (Jawline)</t>
  </si>
  <si>
    <t>Laser Hair Removal (Large)</t>
  </si>
  <si>
    <t>Laser Hair Removal (Lower Body)</t>
  </si>
  <si>
    <t>Laser Hair Removal (Medium)</t>
  </si>
  <si>
    <t>Laser Hair Removal (Peri-A)</t>
  </si>
  <si>
    <t>Laser Hair Removal (Side Burns)</t>
  </si>
  <si>
    <t>Laser Hair Removal (Small)</t>
  </si>
  <si>
    <t>Laser Hair Removal (Stomach)</t>
  </si>
  <si>
    <t>Laser Hair Removal (Upper Body)</t>
  </si>
  <si>
    <t>Laser Hair Removal (Upper Lip)</t>
  </si>
  <si>
    <t>Laser Hair Removal Areola</t>
  </si>
  <si>
    <t>Laser Hair Removal Back</t>
  </si>
  <si>
    <t>Laser Hair Removal Bikini Line</t>
  </si>
  <si>
    <t>Laser Hair Removal Bikini line Extended</t>
  </si>
  <si>
    <t>Laser Hair Removal Brazilian</t>
  </si>
  <si>
    <t>Laser Hair Removal Chest</t>
  </si>
  <si>
    <t>Laser Hair Removal Chin</t>
  </si>
  <si>
    <t>Laser Hair Removal Full Arms</t>
  </si>
  <si>
    <t>Laser Hair Removal Full Bikini</t>
  </si>
  <si>
    <t>Laser Hair Removal Full Legs</t>
  </si>
  <si>
    <t>Laser Hair Removal Full Lower Face &amp; Neck</t>
  </si>
  <si>
    <t>Laser Hair Removal Glabella (between eyebrows)</t>
  </si>
  <si>
    <t>Laser Hair Removal Linea Trail</t>
  </si>
  <si>
    <t>Laser Hair Removal Lip and Chin</t>
  </si>
  <si>
    <t>Laser Hair Removal Lower Arms</t>
  </si>
  <si>
    <t>Laser Hair Removal Lower Face</t>
  </si>
  <si>
    <t>Laser Hair Removal Lower Legs</t>
  </si>
  <si>
    <t>Laser Hair Removal Neck</t>
  </si>
  <si>
    <t>Laser Hair Removal Outer Ears</t>
  </si>
  <si>
    <t>Laser Hair Removal Underarms</t>
  </si>
  <si>
    <t>Laser Hair Removal Upper Arms</t>
  </si>
  <si>
    <t>Laser Hair Removal Upper Legs</t>
  </si>
  <si>
    <t>Laser Hair Removal Upper Lip</t>
  </si>
  <si>
    <t>Laser Hair Removal Lower Body</t>
  </si>
  <si>
    <t>Laser Hair Removal Upper Body</t>
  </si>
  <si>
    <t>Laser Hair Removal Side Burns</t>
  </si>
  <si>
    <t>Laser Hair Removal Feet</t>
  </si>
  <si>
    <t>Laser Hair Removal Jawline</t>
  </si>
  <si>
    <t>Laser Hair Removal Stomach</t>
  </si>
  <si>
    <t>Laser Hair Removal Hands</t>
  </si>
  <si>
    <t>Laser Hair Removal Buttocks</t>
  </si>
  <si>
    <t>Laser Hair Removal Full Body</t>
  </si>
  <si>
    <t>Laser Hair Removal Peri-A</t>
  </si>
  <si>
    <t>Laser Hair Removal Full Face &amp; Neck</t>
  </si>
  <si>
    <t>Laser Hair Removal Face &amp; Neck</t>
  </si>
  <si>
    <t>Laser Hair Removal Face</t>
  </si>
  <si>
    <t>Neurotoxins</t>
  </si>
  <si>
    <t>Botox</t>
  </si>
  <si>
    <t>Dysport</t>
  </si>
  <si>
    <t>Jeuveau</t>
  </si>
  <si>
    <t>Xeomin</t>
  </si>
  <si>
    <t>Line Tamer Memberships Merz 50</t>
  </si>
  <si>
    <t>Other Toxin</t>
  </si>
  <si>
    <t>Lip Flip/Gummy Smile</t>
  </si>
  <si>
    <t>New Quarterly Xeomin Treatment</t>
  </si>
  <si>
    <t>Quarterly Xeomin Treatment</t>
  </si>
  <si>
    <t>Trap Tox</t>
  </si>
  <si>
    <t>Underarm Sweat Reduction Tox</t>
  </si>
  <si>
    <t>Wrinkle Relaxer-2 Areas (Botox)</t>
  </si>
  <si>
    <t>Wrinkle Relaxer-2 Areas (Dysport)</t>
  </si>
  <si>
    <t>Wrinkle Relaxer-2 Areas (Jeuveau)</t>
  </si>
  <si>
    <t>Wrinkle Relaxer-2 Areas (Xeomin)</t>
  </si>
  <si>
    <t>Wrinkle Relaxer-3 Areas (Botox)</t>
  </si>
  <si>
    <t>Wrinkle Relaxer-3 Areas (Dysport)</t>
  </si>
  <si>
    <t>Wrinkle Relaxer-3 Areas (Jeuveau)</t>
  </si>
  <si>
    <t>Wrinkle Relaxer-3 Areas (Xeomin)</t>
  </si>
  <si>
    <t>Wrinkle Relaxer-New Patient</t>
  </si>
  <si>
    <t>Wrinkle Relaxers-Existing Patient</t>
  </si>
  <si>
    <t>Letybo</t>
  </si>
  <si>
    <t>Line Tamer Touch Up</t>
  </si>
  <si>
    <t>Line Tamer Letybo Upcharge</t>
  </si>
  <si>
    <t>Wrinkle Relaxer-3 Areas (Letybo)</t>
  </si>
  <si>
    <t>New Quarterly Toxin Treatment</t>
  </si>
  <si>
    <t>Quarterly Toxin Treatment</t>
  </si>
  <si>
    <t>Wrinkle Relaxer-2 Areas (Letybo)</t>
  </si>
  <si>
    <t>Other</t>
  </si>
  <si>
    <t>Consults</t>
  </si>
  <si>
    <t>Follow Up</t>
  </si>
  <si>
    <t>Follow-Up</t>
  </si>
  <si>
    <t>Good Faith Exam</t>
  </si>
  <si>
    <t>N/A</t>
  </si>
  <si>
    <t>Medical Chart Release Consent</t>
  </si>
  <si>
    <t>New Client Consultation Add-on</t>
  </si>
  <si>
    <t>Non-Surgical Brazilian Butt Lift Consultation</t>
  </si>
  <si>
    <t>Non-Surgical Butt Lift Consult</t>
  </si>
  <si>
    <t>Provider Consultation</t>
  </si>
  <si>
    <t>Provider Follow up call</t>
  </si>
  <si>
    <t>Provider Follow-Up Call</t>
  </si>
  <si>
    <t>Skincare Consult</t>
  </si>
  <si>
    <t>Social Media Consent</t>
  </si>
  <si>
    <t>B12-Injection</t>
  </si>
  <si>
    <t>PRP Add-on</t>
  </si>
  <si>
    <t>PRP Add-on 15ml</t>
  </si>
  <si>
    <t>PRP Add-on 30ml</t>
  </si>
  <si>
    <t>PRP for Hair Loss</t>
  </si>
  <si>
    <t>PRP for Hairloss</t>
  </si>
  <si>
    <t>PRP Rejuvenation Injections</t>
  </si>
  <si>
    <t>PRP Rejuvenation Injections (inc. Undereye)</t>
  </si>
  <si>
    <t>PRP Undereye &amp; Resurfacing Rejuvenation</t>
  </si>
  <si>
    <t>PRP Undereye Resurfacing Rejuvenation</t>
  </si>
  <si>
    <t>SkinMedica Peel - Rejuvnize</t>
  </si>
  <si>
    <t>Skin Rejuvenation</t>
  </si>
  <si>
    <t>Microneedling</t>
  </si>
  <si>
    <t>Add-on 2nd Microneedling Area</t>
  </si>
  <si>
    <t>Morpheus</t>
  </si>
  <si>
    <t>Add-on 2nd Morpheus8 Area</t>
  </si>
  <si>
    <t>Add-on Morpheus8 - Prime Tip</t>
  </si>
  <si>
    <t>Add-on Morpheus8 - Resurfacing Tip</t>
  </si>
  <si>
    <t>IPL</t>
  </si>
  <si>
    <t>IPL Add on 2nd area</t>
  </si>
  <si>
    <t>IPL Add-on 2nd area</t>
  </si>
  <si>
    <t>IPL Photofacial (1 Area)</t>
  </si>
  <si>
    <t>IPL Spot Treatment</t>
  </si>
  <si>
    <t>Microneedling (1 Area)</t>
  </si>
  <si>
    <t>Morpheus8 RF Microneedling (1 area)</t>
  </si>
  <si>
    <t>Pro-Nox</t>
  </si>
  <si>
    <t>Pronox Add-on</t>
  </si>
  <si>
    <t>SkinMedica Peel - Illuminize</t>
  </si>
  <si>
    <t>SkinMedica Peel - Vitalize</t>
  </si>
  <si>
    <t>VI Peel</t>
  </si>
  <si>
    <t>VI Peel - Body</t>
  </si>
  <si>
    <t>VI Peel - Precision Plus</t>
  </si>
  <si>
    <t>VI Peel - Precision+Purify</t>
  </si>
  <si>
    <t>VI Peel - Purify</t>
  </si>
  <si>
    <t>PCA</t>
  </si>
  <si>
    <t>PCA Senci Peel</t>
  </si>
  <si>
    <t>PCA Pigment Correct Peel</t>
  </si>
  <si>
    <t>PCA Acne Peel</t>
  </si>
  <si>
    <t>PCA Peel</t>
  </si>
  <si>
    <t>PCA Chemical Peel</t>
  </si>
  <si>
    <t>PCA 4% Retinol Booster</t>
  </si>
  <si>
    <t>PCA Bright and Even Peel</t>
  </si>
  <si>
    <t>Laser Hair Removal Chest and Stomach</t>
  </si>
  <si>
    <t>PCA Ultra Peel</t>
  </si>
  <si>
    <t>PCA 6% Retinol Booster</t>
  </si>
  <si>
    <t>Laser Hair Removal Face and Neck</t>
  </si>
  <si>
    <t>Laser Hair Removal Full Body (clavicle down)</t>
  </si>
  <si>
    <t>PCA Advanced Treatment Booster</t>
  </si>
  <si>
    <t>Topical Xeomin Add-on</t>
  </si>
  <si>
    <t>Salmon DNA</t>
  </si>
  <si>
    <t>PDRN Tone-Up Add-On</t>
  </si>
  <si>
    <t>PDRN Tone-Up Add-On (2 Areas)</t>
  </si>
  <si>
    <t>Add-on 2nd area IPL Photofacial</t>
  </si>
  <si>
    <t>Laser Hair Removal Back and Shoulders</t>
  </si>
  <si>
    <t>Laser Hair Removal Cheeks</t>
  </si>
  <si>
    <t>Laser Hair Removal Full Body w/ Face and Neck</t>
  </si>
  <si>
    <t>Laser Hair Removal Shoulders</t>
  </si>
  <si>
    <t>Complimentary Consultation</t>
  </si>
  <si>
    <t>Model Consultation</t>
  </si>
  <si>
    <t>Add-On 2nd Area PCA Peel</t>
  </si>
  <si>
    <t>Evolysse</t>
  </si>
  <si>
    <t>Evolysse Form</t>
  </si>
  <si>
    <t>Evolysse Smooth</t>
  </si>
  <si>
    <t>Other Skin Rejuvenation</t>
  </si>
  <si>
    <t>Subcision for Scarring</t>
  </si>
  <si>
    <t>BBL - 10 Syringes</t>
  </si>
  <si>
    <t>BBL - 20 Syringes</t>
  </si>
  <si>
    <t>BBL - 30 Syringes</t>
  </si>
  <si>
    <t>BBL - 40 Syringes</t>
  </si>
  <si>
    <t>BBL - 50 Syringes</t>
  </si>
  <si>
    <t>Laser Genesis Pigment/Vascular</t>
  </si>
  <si>
    <t>Laser Genesis Facial - Face</t>
  </si>
  <si>
    <t>Topical Letybo Add-On</t>
  </si>
  <si>
    <t>Signature Laser Facial - Face</t>
  </si>
  <si>
    <t>Laser Pigment Treatment</t>
  </si>
  <si>
    <t>Dermal Filler - Sculptra</t>
  </si>
  <si>
    <t>Morpheus8 RF Microneedling - Abdomen</t>
  </si>
  <si>
    <t>Injectables</t>
  </si>
  <si>
    <t>PRF Undereye + Morpheus Resurfacing or Prime</t>
  </si>
  <si>
    <t>Extractions Add-on (Small Area)</t>
  </si>
  <si>
    <t>Extractions Add-on (Large Area)</t>
  </si>
  <si>
    <t>Nefertiti Tox - Xeomin Only</t>
  </si>
  <si>
    <t>Xeomin - Lower Face Bundle</t>
  </si>
  <si>
    <t>Platysmal Band Tox - Xeomin Only</t>
  </si>
  <si>
    <t>Masseter Tox - Xeomin Only</t>
  </si>
  <si>
    <t>Nasal Tox - Xeomin Only</t>
  </si>
  <si>
    <t>DiamondGlow Body  LG (Full Back or Full Legs)</t>
  </si>
  <si>
    <t>DiamondGlow Body  MD (Full Arms, Buttocks or Underarms)</t>
  </si>
  <si>
    <t>Employee Role</t>
  </si>
  <si>
    <t>Hourly Rate</t>
  </si>
  <si>
    <t>Hourly Rate
(Fully Burdened)</t>
  </si>
  <si>
    <t>Hourly Rate
(Utilization Adj.)</t>
  </si>
  <si>
    <t>Avg. Utilization</t>
  </si>
  <si>
    <t>Body Contouring Expert</t>
  </si>
  <si>
    <t>n/a</t>
  </si>
  <si>
    <t>Clinic DirectorConcierge</t>
  </si>
  <si>
    <t>Esthetician</t>
  </si>
  <si>
    <t>Manager</t>
  </si>
  <si>
    <t>THERAPIST</t>
  </si>
  <si>
    <t>Treatment Provider</t>
  </si>
  <si>
    <t>Clinical Leadership Team</t>
  </si>
  <si>
    <t>VP of Clinical</t>
  </si>
  <si>
    <t>Head MD</t>
  </si>
  <si>
    <t>Daily</t>
  </si>
  <si>
    <t>Denville, NJ</t>
  </si>
  <si>
    <t>Hoboken, NJ</t>
  </si>
  <si>
    <t>Jersey City, NJ</t>
  </si>
  <si>
    <t>Red Bank, NJ</t>
  </si>
  <si>
    <t>Tribeca, NY</t>
  </si>
  <si>
    <t>Bel Air, MD</t>
  </si>
  <si>
    <t>Bridgewater, NJ</t>
  </si>
  <si>
    <t>Frederick, MD</t>
  </si>
  <si>
    <t>Lancaster, PA</t>
  </si>
  <si>
    <t>Montclair, NJ</t>
  </si>
  <si>
    <t>Old Bridge, NJ</t>
  </si>
  <si>
    <t>Ridgewood, NJ</t>
  </si>
  <si>
    <t>Short Hills, NJ</t>
  </si>
  <si>
    <t>Waldorf, MD</t>
  </si>
  <si>
    <t>Monthly</t>
  </si>
  <si>
    <t>Location</t>
  </si>
  <si>
    <t>Week Day</t>
  </si>
  <si>
    <t>Hours /  Day</t>
  </si>
  <si>
    <t>Beak Hours / Day / Room</t>
  </si>
  <si>
    <t xml:space="preserve">Provider Rooms </t>
  </si>
  <si>
    <t>Esti Rooms</t>
  </si>
  <si>
    <t>Adj. Location</t>
  </si>
  <si>
    <t>Locations List</t>
  </si>
  <si>
    <t>Months</t>
  </si>
  <si>
    <t>Hoboken</t>
  </si>
  <si>
    <t>Monday</t>
  </si>
  <si>
    <t>[SELECT]</t>
  </si>
  <si>
    <t>Esti</t>
  </si>
  <si>
    <t>Tuesday</t>
  </si>
  <si>
    <t>Bel Air</t>
  </si>
  <si>
    <t>Wednesday</t>
  </si>
  <si>
    <t>Denville</t>
  </si>
  <si>
    <t>Provider</t>
  </si>
  <si>
    <t>Thursday</t>
  </si>
  <si>
    <t>Frederick</t>
  </si>
  <si>
    <t>Friday</t>
  </si>
  <si>
    <t>Saturday</t>
  </si>
  <si>
    <t>Jersey City</t>
  </si>
  <si>
    <t>Sunday</t>
  </si>
  <si>
    <t>Montclair</t>
  </si>
  <si>
    <t>Old Bridge</t>
  </si>
  <si>
    <t>Red Bank</t>
  </si>
  <si>
    <t>Ridgewood</t>
  </si>
  <si>
    <t>Scarsdale</t>
  </si>
  <si>
    <t>Scarsdale, NY</t>
  </si>
  <si>
    <t>Short Hills</t>
  </si>
  <si>
    <t>Tribeca</t>
  </si>
  <si>
    <t>Waldorf</t>
  </si>
  <si>
    <t>Lancaster</t>
  </si>
  <si>
    <t>Bridgewater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</si>
</sst>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&quot;$&quot;#,##0;\(&quot;$&quot;#,##0\);\-"/>
    <numFmt numFmtId="166" formatCode="0.0%"/>
    <numFmt numFmtId="167" formatCode="_(* #,##0_);_(* \(#,##0\);_(* &quot;-&quot;??_);_(@_)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theme="4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</font>
    <font>
      <sz val="10"/>
      <name val="Arial"/>
      <family val="2"/>
    </font>
    <font>
      <sz val="11"/>
      <color rgb="FF222222"/>
      <name val="Open Sans"/>
      <family val="2"/>
    </font>
    <font>
      <b/>
      <sz val="11"/>
      <color theme="6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21" fillId="0" borderId="0"/>
    <xf numFmtId="0" fontId="22" fillId="0" borderId="10" applyFill="0" applyProtection="0">
      <alignment horizontal="right" wrapText="1"/>
    </xf>
    <xf numFmtId="44" fontId="18" fillId="0" borderId="0" applyFont="0" applyFill="0" applyBorder="0" applyAlignment="0" applyProtection="0"/>
    <xf numFmtId="0" fontId="18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1" fillId="0" borderId="0"/>
    <xf numFmtId="0" fontId="19" fillId="0" borderId="0"/>
    <xf numFmtId="0" fontId="26" fillId="0" borderId="0"/>
    <xf numFmtId="0" fontId="25" fillId="0" borderId="0"/>
    <xf numFmtId="0" fontId="24" fillId="0" borderId="0"/>
    <xf numFmtId="0" fontId="19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165" fontId="0" fillId="0" borderId="0" xfId="0" applyNumberFormat="1" applyAlignment="1">
      <alignment horizontal="center"/>
    </xf>
    <xf numFmtId="0" fontId="16" fillId="0" borderId="0" xfId="0" applyFont="1"/>
    <xf numFmtId="0" fontId="20" fillId="33" borderId="0" xfId="0" applyFont="1" applyFill="1" applyAlignment="1">
      <alignment horizontal="center"/>
    </xf>
    <xf numFmtId="164" fontId="20" fillId="34" borderId="0" xfId="0" applyNumberFormat="1" applyFont="1" applyFill="1" applyAlignment="1">
      <alignment horizontal="center"/>
    </xf>
    <xf numFmtId="165" fontId="2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8" fillId="35" borderId="0" xfId="0" applyFont="1" applyFill="1"/>
    <xf numFmtId="0" fontId="28" fillId="35" borderId="0" xfId="0" applyFont="1" applyFill="1" applyAlignment="1">
      <alignment horizontal="center"/>
    </xf>
    <xf numFmtId="166" fontId="29" fillId="0" borderId="0" xfId="0" applyNumberFormat="1" applyFont="1" applyAlignment="1">
      <alignment horizontal="center" wrapText="1"/>
    </xf>
    <xf numFmtId="0" fontId="30" fillId="0" borderId="0" xfId="0" applyFont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 wrapText="1"/>
    </xf>
    <xf numFmtId="0" fontId="29" fillId="0" borderId="11" xfId="0" applyFont="1" applyBorder="1" applyAlignment="1">
      <alignment horizontal="center"/>
    </xf>
    <xf numFmtId="8" fontId="14" fillId="0" borderId="11" xfId="0" applyNumberFormat="1" applyFont="1" applyBorder="1" applyAlignment="1">
      <alignment horizontal="center"/>
    </xf>
    <xf numFmtId="8" fontId="33" fillId="0" borderId="11" xfId="0" applyNumberFormat="1" applyFont="1" applyBorder="1" applyAlignment="1">
      <alignment horizontal="center"/>
    </xf>
    <xf numFmtId="9" fontId="29" fillId="36" borderId="11" xfId="0" applyNumberFormat="1" applyFont="1" applyFill="1" applyBorder="1" applyAlignment="1">
      <alignment horizontal="center" wrapText="1"/>
    </xf>
    <xf numFmtId="0" fontId="13" fillId="37" borderId="0" xfId="0" applyFont="1" applyFill="1" applyAlignment="1">
      <alignment horizontal="left"/>
    </xf>
    <xf numFmtId="164" fontId="13" fillId="37" borderId="0" xfId="0" applyNumberFormat="1" applyFont="1" applyFill="1" applyAlignment="1">
      <alignment horizontal="center"/>
    </xf>
    <xf numFmtId="0" fontId="34" fillId="37" borderId="0" xfId="0" applyFont="1" applyFill="1" applyAlignment="1">
      <alignment horizontal="left" readingOrder="1"/>
    </xf>
    <xf numFmtId="14" fontId="35" fillId="37" borderId="0" xfId="0" applyNumberFormat="1" applyFont="1" applyFill="1" applyAlignment="1">
      <alignment horizontal="center"/>
    </xf>
    <xf numFmtId="14" fontId="13" fillId="37" borderId="0" xfId="0" applyNumberFormat="1" applyFont="1" applyFill="1" applyAlignment="1">
      <alignment horizontal="center"/>
    </xf>
    <xf numFmtId="0" fontId="13" fillId="37" borderId="0" xfId="0" applyFont="1" applyFill="1" applyAlignment="1">
      <alignment horizontal="center"/>
    </xf>
    <xf numFmtId="0" fontId="35" fillId="38" borderId="0" xfId="0" applyFont="1" applyFill="1" applyAlignment="1">
      <alignment horizontal="center"/>
    </xf>
    <xf numFmtId="0" fontId="0" fillId="37" borderId="0" xfId="0" applyFill="1" applyAlignment="1">
      <alignment horizontal="left"/>
    </xf>
    <xf numFmtId="0" fontId="0" fillId="0" borderId="0" xfId="0" applyAlignment="1">
      <alignment horizontal="left"/>
    </xf>
    <xf numFmtId="0" fontId="31" fillId="39" borderId="11" xfId="0" applyFont="1" applyFill="1" applyBorder="1"/>
    <xf numFmtId="0" fontId="31" fillId="39" borderId="11" xfId="0" applyFont="1" applyFill="1" applyBorder="1" applyAlignment="1">
      <alignment horizontal="center"/>
    </xf>
    <xf numFmtId="0" fontId="31" fillId="33" borderId="11" xfId="0" applyFont="1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167" fontId="0" fillId="0" borderId="11" xfId="60" applyNumberFormat="1" applyFont="1" applyBorder="1" applyAlignment="1">
      <alignment horizontal="center"/>
    </xf>
    <xf numFmtId="164" fontId="29" fillId="36" borderId="11" xfId="0" applyNumberFormat="1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Currency 2" xfId="48" xr:uid="{AB32C78F-5464-49AB-A9BB-069A0A6FBEA7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9DE405D-3547-49B2-86E5-EFD5CDDD7480}"/>
    <cellStyle name="Normal 2 2" xfId="44" xr:uid="{DF494D4D-B524-4225-AF24-7974780F9150}"/>
    <cellStyle name="Normal 2 2 2" xfId="53" xr:uid="{5DDCD68F-BD04-47D8-86BF-5147914862AE}"/>
    <cellStyle name="Normal 2 3" xfId="57" xr:uid="{4BB89EE3-3621-458C-9066-4EA117E1AD69}"/>
    <cellStyle name="Normal 2 4" xfId="52" xr:uid="{72678773-3728-4A55-B60F-F9639F3D4610}"/>
    <cellStyle name="Normal 3" xfId="43" xr:uid="{8CECC579-D463-47C6-8B3F-D3DEAE894FF7}"/>
    <cellStyle name="Normal 3 2" xfId="54" xr:uid="{02A0CE7B-AA57-4236-BF4B-DF8A1723389B}"/>
    <cellStyle name="Normal 3 3" xfId="51" xr:uid="{2A5740C1-CF1E-475A-BE8F-13B7E9BAE4BA}"/>
    <cellStyle name="Normal 4" xfId="45" xr:uid="{C2155AC3-5478-49D6-BA66-22B0E43A901C}"/>
    <cellStyle name="Normal 4 2" xfId="50" xr:uid="{C2207852-8947-43CD-9F1F-C4FA7ADDD957}"/>
    <cellStyle name="Normal 5" xfId="46" xr:uid="{A368446F-EE20-4794-8BA0-197071D2948A}"/>
    <cellStyle name="Normal 5 2" xfId="49" xr:uid="{C78500FA-4635-42F5-B26A-65ECB8810D19}"/>
    <cellStyle name="Normal 6" xfId="55" xr:uid="{9BEDCA8A-7B59-4D27-B8F4-0B0290FC7145}"/>
    <cellStyle name="Normal 7" xfId="56" xr:uid="{B5EF3866-F572-43DE-94DA-5D7A5AA705A4}"/>
    <cellStyle name="Normal 8" xfId="58" xr:uid="{0F41048D-E899-4DC9-A988-418796F51EA4}"/>
    <cellStyle name="Normal 9" xfId="59" xr:uid="{3B5E7C0E-48ED-409A-A3B9-729DEFCA0AF4}"/>
    <cellStyle name="Note" xfId="15" builtinId="10" customBuiltin="1"/>
    <cellStyle name="Output" xfId="10" builtinId="21" customBuiltin="1"/>
    <cellStyle name="Smart Subtitle 1" xfId="47" xr:uid="{13924D1B-A698-4306-8E18-DAA4744CA62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dur Raghuraman" id="{F038885D-00B1-4D4A-A2DA-02D30EF7EFAB}" userId="S::vraghuraman@evolvemedspa.com::3842d101-41ac-46cd-aa2b-89b78825a50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4-07T21:27:59.94" personId="{F038885D-00B1-4D4A-A2DA-02D30EF7EFAB}" id="{C796EA30-244D-4A29-9A52-B47D747AD97F}">
    <text>Avg. hourly rate per Insperity Employee Info report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E5" dT="2025-07-15T14:46:53.45" personId="{F038885D-00B1-4D4A-A2DA-02D30EF7EFAB}" id="{B0974341-DC9A-408B-889A-16A21610A8F8}">
    <text>Holiday. All locations closed</text>
  </threadedComment>
  <threadedComment ref="GF5" dT="2025-07-15T14:47:09.57" personId="{F038885D-00B1-4D4A-A2DA-02D30EF7EFAB}" id="{16CBA73C-0CA5-4A13-ADCC-C56BBB3A9FF8}">
    <text>Hoboken, Ridgewood, Denville, Red Bank, Old Bridge, and Bel Air were closed on the 5th due to lack of staff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19DC-DB4F-4016-80B6-1124138266C5}">
  <dimension ref="A1:AE242"/>
  <sheetViews>
    <sheetView showGridLines="0" tabSelected="1" zoomScaleNormal="100" workbookViewId="0">
      <pane xSplit="3" ySplit="1" topLeftCell="D35" activePane="bottomRight" state="frozen"/>
      <selection pane="bottomRight" activeCell="J43" sqref="J43"/>
      <selection pane="bottomLeft" activeCell="A2" sqref="A2"/>
      <selection pane="topRight" activeCell="D1" sqref="D1"/>
    </sheetView>
  </sheetViews>
  <sheetFormatPr defaultRowHeight="14.45"/>
  <cols>
    <col min="1" max="1" width="16.5703125" bestFit="1" customWidth="1"/>
    <col min="2" max="2" width="33.28515625" customWidth="1"/>
    <col min="3" max="3" width="52.28515625" style="2" bestFit="1" customWidth="1"/>
    <col min="4" max="4" width="12.7109375" style="7" bestFit="1" customWidth="1"/>
    <col min="5" max="13" width="9.28515625" style="1" bestFit="1" customWidth="1"/>
    <col min="14" max="16" width="10.28515625" style="1" bestFit="1" customWidth="1"/>
    <col min="17" max="17" width="9.28515625" style="1" bestFit="1" customWidth="1"/>
    <col min="18" max="28" width="9.28515625" style="1" customWidth="1"/>
    <col min="29" max="29" width="2.7109375" style="1" customWidth="1"/>
    <col min="30" max="30" width="11.7109375" style="5" bestFit="1" customWidth="1"/>
    <col min="31" max="31" width="8.85546875" style="6"/>
  </cols>
  <sheetData>
    <row r="1" spans="1:31" s="8" customFormat="1" ht="15.6">
      <c r="A1" s="10" t="s">
        <v>0</v>
      </c>
      <c r="B1" s="10" t="s">
        <v>1</v>
      </c>
      <c r="C1" s="10" t="s">
        <v>2</v>
      </c>
      <c r="D1" s="11" t="s">
        <v>3</v>
      </c>
      <c r="E1" s="4">
        <v>45688</v>
      </c>
      <c r="F1" s="4">
        <f>+EOMONTH(E1,1)</f>
        <v>45716</v>
      </c>
      <c r="G1" s="4">
        <f t="shared" ref="G1:Q1" si="0">+EOMONTH(F1,1)</f>
        <v>45747</v>
      </c>
      <c r="H1" s="4">
        <f t="shared" si="0"/>
        <v>45777</v>
      </c>
      <c r="I1" s="4">
        <f t="shared" si="0"/>
        <v>45808</v>
      </c>
      <c r="J1" s="4">
        <f t="shared" si="0"/>
        <v>45838</v>
      </c>
      <c r="K1" s="4">
        <f t="shared" si="0"/>
        <v>45869</v>
      </c>
      <c r="L1" s="4">
        <f t="shared" si="0"/>
        <v>45900</v>
      </c>
      <c r="M1" s="4">
        <f t="shared" si="0"/>
        <v>45930</v>
      </c>
      <c r="N1" s="4">
        <f t="shared" si="0"/>
        <v>45961</v>
      </c>
      <c r="O1" s="4">
        <f t="shared" si="0"/>
        <v>45991</v>
      </c>
      <c r="P1" s="4">
        <f t="shared" si="0"/>
        <v>46022</v>
      </c>
      <c r="Q1" s="4">
        <f t="shared" si="0"/>
        <v>46053</v>
      </c>
      <c r="R1" s="4">
        <f t="shared" ref="R1" si="1">+EOMONTH(Q1,1)</f>
        <v>46081</v>
      </c>
      <c r="S1" s="4">
        <f t="shared" ref="S1" si="2">+EOMONTH(R1,1)</f>
        <v>46112</v>
      </c>
      <c r="T1" s="4">
        <f t="shared" ref="T1" si="3">+EOMONTH(S1,1)</f>
        <v>46142</v>
      </c>
      <c r="U1" s="4">
        <f t="shared" ref="U1" si="4">+EOMONTH(T1,1)</f>
        <v>46173</v>
      </c>
      <c r="V1" s="4">
        <f t="shared" ref="V1" si="5">+EOMONTH(U1,1)</f>
        <v>46203</v>
      </c>
      <c r="W1" s="4">
        <f t="shared" ref="W1" si="6">+EOMONTH(V1,1)</f>
        <v>46234</v>
      </c>
      <c r="X1" s="4">
        <f t="shared" ref="X1" si="7">+EOMONTH(W1,1)</f>
        <v>46265</v>
      </c>
      <c r="Y1" s="4">
        <f t="shared" ref="Y1" si="8">+EOMONTH(X1,1)</f>
        <v>46295</v>
      </c>
      <c r="Z1" s="4">
        <f t="shared" ref="Z1" si="9">+EOMONTH(Y1,1)</f>
        <v>46326</v>
      </c>
      <c r="AA1" s="4">
        <f t="shared" ref="AA1:AB1" si="10">+EOMONTH(Z1,1)</f>
        <v>46356</v>
      </c>
      <c r="AB1" s="4">
        <f t="shared" si="10"/>
        <v>46387</v>
      </c>
      <c r="AC1" s="9"/>
      <c r="AD1" s="3" t="s">
        <v>4</v>
      </c>
      <c r="AE1" s="9"/>
    </row>
    <row r="2" spans="1:31">
      <c r="A2" t="s">
        <v>5</v>
      </c>
      <c r="B2" t="s">
        <v>6</v>
      </c>
      <c r="C2" s="2" t="s">
        <v>7</v>
      </c>
      <c r="D2" s="7">
        <v>0</v>
      </c>
      <c r="E2" s="1">
        <f t="shared" ref="E2:G65" si="11">F2</f>
        <v>20</v>
      </c>
      <c r="F2" s="1">
        <f t="shared" si="11"/>
        <v>20</v>
      </c>
      <c r="G2" s="1">
        <f t="shared" si="11"/>
        <v>20</v>
      </c>
      <c r="H2" s="1">
        <v>20</v>
      </c>
      <c r="I2" s="1">
        <v>20</v>
      </c>
      <c r="J2" s="1">
        <v>20</v>
      </c>
      <c r="K2" s="1">
        <f t="shared" ref="K2:K65" si="12">L2</f>
        <v>7.5</v>
      </c>
      <c r="L2" s="1">
        <v>7.5</v>
      </c>
      <c r="M2" s="1">
        <v>7.5</v>
      </c>
      <c r="N2" s="1">
        <v>7.5</v>
      </c>
      <c r="O2" s="1">
        <v>7.5</v>
      </c>
      <c r="P2" s="1">
        <v>7.5</v>
      </c>
      <c r="Q2" s="1">
        <v>7.5</v>
      </c>
      <c r="U2" s="1">
        <v>15</v>
      </c>
      <c r="AD2" s="5" cm="1">
        <f t="array" ref="AD2">_xlfn.XLOOKUP(TRUE,E2:AB2&lt;&gt;"",E2:AB2,,,-1)</f>
        <v>15</v>
      </c>
    </row>
    <row r="3" spans="1:31">
      <c r="A3" t="s">
        <v>5</v>
      </c>
      <c r="B3" t="s">
        <v>8</v>
      </c>
      <c r="C3" s="2" t="s">
        <v>9</v>
      </c>
      <c r="D3" s="7">
        <v>0</v>
      </c>
      <c r="E3" s="1">
        <f t="shared" si="11"/>
        <v>15</v>
      </c>
      <c r="F3" s="1">
        <f t="shared" si="11"/>
        <v>15</v>
      </c>
      <c r="G3" s="1">
        <f t="shared" si="11"/>
        <v>15</v>
      </c>
      <c r="H3" s="1">
        <v>15</v>
      </c>
      <c r="I3" s="1">
        <v>15</v>
      </c>
      <c r="J3" s="1">
        <v>15</v>
      </c>
      <c r="K3" s="1">
        <f t="shared" si="12"/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U3" s="1">
        <v>0</v>
      </c>
      <c r="AD3" s="5" cm="1">
        <f t="array" ref="AD3">_xlfn.XLOOKUP(TRUE,E3:AB3&lt;&gt;"",E3:AB3,,,-1)</f>
        <v>0</v>
      </c>
    </row>
    <row r="4" spans="1:31">
      <c r="A4" t="s">
        <v>5</v>
      </c>
      <c r="B4" t="s">
        <v>10</v>
      </c>
      <c r="C4" s="2" t="s">
        <v>11</v>
      </c>
      <c r="D4" s="7">
        <v>0</v>
      </c>
      <c r="E4" s="1">
        <f t="shared" si="11"/>
        <v>5.25</v>
      </c>
      <c r="F4" s="1">
        <f t="shared" si="11"/>
        <v>5.25</v>
      </c>
      <c r="G4" s="1">
        <f t="shared" si="11"/>
        <v>5.25</v>
      </c>
      <c r="H4" s="1">
        <v>5.25</v>
      </c>
      <c r="I4" s="1">
        <v>5.25</v>
      </c>
      <c r="J4" s="1">
        <v>5.25</v>
      </c>
      <c r="K4" s="1">
        <f t="shared" si="12"/>
        <v>5.25</v>
      </c>
      <c r="L4" s="1">
        <v>5.25</v>
      </c>
      <c r="M4" s="1">
        <v>5.25</v>
      </c>
      <c r="N4" s="1">
        <v>5.25</v>
      </c>
      <c r="O4" s="1">
        <v>5.25</v>
      </c>
      <c r="P4" s="1">
        <v>5.25</v>
      </c>
      <c r="Q4" s="1">
        <v>5.25</v>
      </c>
      <c r="U4" s="1">
        <v>5.25</v>
      </c>
      <c r="AD4" s="5" cm="1">
        <f t="array" ref="AD4">_xlfn.XLOOKUP(TRUE,E4:AB4&lt;&gt;"",E4:AB4,,,-1)</f>
        <v>5.25</v>
      </c>
    </row>
    <row r="5" spans="1:31">
      <c r="A5" t="s">
        <v>12</v>
      </c>
      <c r="B5" t="s">
        <v>13</v>
      </c>
      <c r="C5" s="2" t="s">
        <v>14</v>
      </c>
      <c r="D5" s="7">
        <v>0</v>
      </c>
      <c r="E5" s="1">
        <f t="shared" si="11"/>
        <v>22.2</v>
      </c>
      <c r="F5" s="1">
        <f t="shared" si="11"/>
        <v>22.2</v>
      </c>
      <c r="G5" s="1">
        <f t="shared" si="11"/>
        <v>22.2</v>
      </c>
      <c r="H5" s="1">
        <v>22.2</v>
      </c>
      <c r="I5" s="1">
        <v>22.2</v>
      </c>
      <c r="J5" s="1">
        <v>22.2</v>
      </c>
      <c r="K5" s="1">
        <f t="shared" si="12"/>
        <v>6</v>
      </c>
      <c r="L5" s="1">
        <v>6</v>
      </c>
      <c r="M5" s="1">
        <v>6</v>
      </c>
      <c r="N5" s="1">
        <v>6</v>
      </c>
      <c r="O5" s="1">
        <v>6</v>
      </c>
      <c r="P5" s="1">
        <v>6</v>
      </c>
      <c r="Q5" s="1">
        <v>6</v>
      </c>
      <c r="U5" s="1">
        <v>6</v>
      </c>
      <c r="AD5" s="5" cm="1">
        <f t="array" ref="AD5">_xlfn.XLOOKUP(TRUE,E5:AB5&lt;&gt;"",E5:AB5,,,-1)</f>
        <v>6</v>
      </c>
    </row>
    <row r="6" spans="1:31">
      <c r="A6" t="s">
        <v>12</v>
      </c>
      <c r="B6" t="s">
        <v>13</v>
      </c>
      <c r="C6" s="2" t="s">
        <v>15</v>
      </c>
      <c r="D6" s="7">
        <v>0</v>
      </c>
      <c r="E6" s="1">
        <f t="shared" si="11"/>
        <v>25.9</v>
      </c>
      <c r="F6" s="1">
        <f t="shared" si="11"/>
        <v>25.9</v>
      </c>
      <c r="G6" s="1">
        <f t="shared" si="11"/>
        <v>25.9</v>
      </c>
      <c r="H6" s="1">
        <v>25.9</v>
      </c>
      <c r="I6" s="1">
        <v>25.9</v>
      </c>
      <c r="J6" s="1">
        <v>25.9</v>
      </c>
      <c r="K6" s="1">
        <f t="shared" si="12"/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U6" s="1">
        <v>10</v>
      </c>
      <c r="AD6" s="5" cm="1">
        <f t="array" ref="AD6">_xlfn.XLOOKUP(TRUE,E6:AB6&lt;&gt;"",E6:AB6,,,-1)</f>
        <v>10</v>
      </c>
    </row>
    <row r="7" spans="1:31">
      <c r="A7" t="s">
        <v>12</v>
      </c>
      <c r="B7" t="s">
        <v>16</v>
      </c>
      <c r="C7" s="2" t="s">
        <v>17</v>
      </c>
      <c r="D7" s="7">
        <v>0</v>
      </c>
      <c r="E7" s="1">
        <f t="shared" si="11"/>
        <v>11.1</v>
      </c>
      <c r="F7" s="1">
        <f t="shared" si="11"/>
        <v>11.1</v>
      </c>
      <c r="G7" s="1">
        <f t="shared" si="11"/>
        <v>11.1</v>
      </c>
      <c r="H7" s="1">
        <v>11.1</v>
      </c>
      <c r="I7" s="1">
        <v>11.1</v>
      </c>
      <c r="J7" s="1">
        <v>11.1</v>
      </c>
      <c r="K7" s="1">
        <f t="shared" si="12"/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U7" s="1">
        <v>0</v>
      </c>
      <c r="AD7" s="5" cm="1">
        <f t="array" ref="AD7">_xlfn.XLOOKUP(TRUE,E7:AB7&lt;&gt;"",E7:AB7,,,-1)</f>
        <v>0</v>
      </c>
    </row>
    <row r="8" spans="1:31">
      <c r="A8" t="s">
        <v>12</v>
      </c>
      <c r="B8" t="s">
        <v>18</v>
      </c>
      <c r="C8" s="2" t="s">
        <v>19</v>
      </c>
      <c r="D8" s="7">
        <v>0</v>
      </c>
      <c r="E8" s="1">
        <f t="shared" si="11"/>
        <v>11.1</v>
      </c>
      <c r="F8" s="1">
        <f t="shared" si="11"/>
        <v>11.1</v>
      </c>
      <c r="G8" s="1">
        <f t="shared" si="11"/>
        <v>11.1</v>
      </c>
      <c r="H8" s="1">
        <v>11.1</v>
      </c>
      <c r="I8" s="1">
        <v>11.1</v>
      </c>
      <c r="J8" s="1">
        <v>11.1</v>
      </c>
      <c r="K8" s="1">
        <f t="shared" si="12"/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U8" s="1">
        <v>0</v>
      </c>
      <c r="AD8" s="5" cm="1">
        <f t="array" ref="AD8">_xlfn.XLOOKUP(TRUE,E8:AB8&lt;&gt;"",E8:AB8,,,-1)</f>
        <v>0</v>
      </c>
    </row>
    <row r="9" spans="1:31">
      <c r="A9" t="s">
        <v>12</v>
      </c>
      <c r="B9" t="s">
        <v>13</v>
      </c>
      <c r="C9" s="2" t="s">
        <v>20</v>
      </c>
      <c r="D9" s="7">
        <v>0</v>
      </c>
      <c r="E9" s="1">
        <f t="shared" si="11"/>
        <v>16.649999999999999</v>
      </c>
      <c r="F9" s="1">
        <f t="shared" si="11"/>
        <v>16.649999999999999</v>
      </c>
      <c r="G9" s="1">
        <f t="shared" si="11"/>
        <v>16.649999999999999</v>
      </c>
      <c r="H9" s="1">
        <v>16.649999999999999</v>
      </c>
      <c r="I9" s="1">
        <v>16.649999999999999</v>
      </c>
      <c r="J9" s="1">
        <v>16.649999999999999</v>
      </c>
      <c r="K9" s="1">
        <f t="shared" si="12"/>
        <v>12</v>
      </c>
      <c r="L9" s="1">
        <v>12</v>
      </c>
      <c r="M9" s="1">
        <v>12</v>
      </c>
      <c r="N9" s="1">
        <v>12</v>
      </c>
      <c r="O9" s="1">
        <v>12</v>
      </c>
      <c r="P9" s="1">
        <v>12</v>
      </c>
      <c r="Q9" s="1">
        <v>12</v>
      </c>
      <c r="U9" s="1">
        <v>12</v>
      </c>
      <c r="AD9" s="5" cm="1">
        <f t="array" ref="AD9">_xlfn.XLOOKUP(TRUE,E9:AB9&lt;&gt;"",E9:AB9,,,-1)</f>
        <v>12</v>
      </c>
    </row>
    <row r="10" spans="1:31">
      <c r="A10" t="s">
        <v>12</v>
      </c>
      <c r="B10" t="s">
        <v>21</v>
      </c>
      <c r="C10" s="2" t="s">
        <v>22</v>
      </c>
      <c r="D10" s="7">
        <v>0</v>
      </c>
      <c r="E10" s="1">
        <f t="shared" si="11"/>
        <v>6.75</v>
      </c>
      <c r="F10" s="1">
        <f t="shared" si="11"/>
        <v>6.75</v>
      </c>
      <c r="G10" s="1">
        <f t="shared" si="11"/>
        <v>6.75</v>
      </c>
      <c r="H10" s="1">
        <v>6.75</v>
      </c>
      <c r="I10" s="1">
        <v>6.75</v>
      </c>
      <c r="J10" s="1">
        <v>6.75</v>
      </c>
      <c r="K10" s="1">
        <f t="shared" si="12"/>
        <v>3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3</v>
      </c>
      <c r="U10" s="1">
        <v>3</v>
      </c>
      <c r="AD10" s="5" cm="1">
        <f t="array" ref="AD10">_xlfn.XLOOKUP(TRUE,E10:AB10&lt;&gt;"",E10:AB10,,,-1)</f>
        <v>3</v>
      </c>
    </row>
    <row r="11" spans="1:31">
      <c r="A11" t="s">
        <v>12</v>
      </c>
      <c r="B11" t="s">
        <v>23</v>
      </c>
      <c r="C11" s="2" t="s">
        <v>23</v>
      </c>
      <c r="D11" s="7">
        <v>0</v>
      </c>
      <c r="E11" s="1">
        <f t="shared" si="11"/>
        <v>11.25</v>
      </c>
      <c r="F11" s="1">
        <f t="shared" si="11"/>
        <v>11.25</v>
      </c>
      <c r="G11" s="1">
        <f t="shared" si="11"/>
        <v>11.25</v>
      </c>
      <c r="H11" s="1">
        <v>11.25</v>
      </c>
      <c r="I11" s="1">
        <v>11.25</v>
      </c>
      <c r="J11" s="1">
        <v>11.25</v>
      </c>
      <c r="K11" s="1">
        <f t="shared" si="12"/>
        <v>9</v>
      </c>
      <c r="L11" s="1">
        <v>9</v>
      </c>
      <c r="M11" s="1">
        <v>9</v>
      </c>
      <c r="N11" s="1">
        <v>9</v>
      </c>
      <c r="O11" s="1">
        <v>9</v>
      </c>
      <c r="P11" s="1">
        <v>9</v>
      </c>
      <c r="Q11" s="1">
        <v>9</v>
      </c>
      <c r="U11" s="1">
        <v>9</v>
      </c>
      <c r="AD11" s="5" cm="1">
        <f t="array" ref="AD11">_xlfn.XLOOKUP(TRUE,E11:AB11&lt;&gt;"",E11:AB11,,,-1)</f>
        <v>9</v>
      </c>
    </row>
    <row r="12" spans="1:31">
      <c r="A12" t="s">
        <v>12</v>
      </c>
      <c r="B12" t="s">
        <v>24</v>
      </c>
      <c r="C12" s="2" t="s">
        <v>25</v>
      </c>
      <c r="D12" s="7">
        <v>0</v>
      </c>
      <c r="E12" s="1">
        <f t="shared" si="11"/>
        <v>5</v>
      </c>
      <c r="F12" s="1">
        <f t="shared" si="11"/>
        <v>5</v>
      </c>
      <c r="G12" s="1">
        <f t="shared" si="11"/>
        <v>5</v>
      </c>
      <c r="H12" s="1">
        <v>5</v>
      </c>
      <c r="I12" s="1">
        <v>5</v>
      </c>
      <c r="J12" s="1">
        <v>5</v>
      </c>
      <c r="K12" s="1">
        <f t="shared" si="12"/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U12" s="1">
        <v>5</v>
      </c>
      <c r="AD12" s="5" cm="1">
        <f t="array" ref="AD12">_xlfn.XLOOKUP(TRUE,E12:AB12&lt;&gt;"",E12:AB12,,,-1)</f>
        <v>5</v>
      </c>
    </row>
    <row r="13" spans="1:31">
      <c r="A13" t="s">
        <v>12</v>
      </c>
      <c r="B13" t="s">
        <v>24</v>
      </c>
      <c r="C13" s="2" t="s">
        <v>26</v>
      </c>
      <c r="D13" s="7">
        <v>0</v>
      </c>
      <c r="E13" s="1">
        <f t="shared" si="11"/>
        <v>6.75</v>
      </c>
      <c r="F13" s="1">
        <f t="shared" si="11"/>
        <v>6.75</v>
      </c>
      <c r="G13" s="1">
        <f t="shared" si="11"/>
        <v>6.75</v>
      </c>
      <c r="H13" s="1">
        <v>6.75</v>
      </c>
      <c r="I13" s="1">
        <v>6.75</v>
      </c>
      <c r="J13" s="1">
        <v>6.75</v>
      </c>
      <c r="K13" s="1">
        <f t="shared" si="12"/>
        <v>6.75</v>
      </c>
      <c r="L13" s="1">
        <v>6.75</v>
      </c>
      <c r="M13" s="1">
        <v>6.75</v>
      </c>
      <c r="N13" s="1">
        <v>6.75</v>
      </c>
      <c r="O13" s="1">
        <v>6.75</v>
      </c>
      <c r="P13" s="1">
        <v>6.75</v>
      </c>
      <c r="Q13" s="1">
        <v>6.75</v>
      </c>
      <c r="U13" s="1">
        <v>6.75</v>
      </c>
      <c r="AD13" s="5" cm="1">
        <f t="array" ref="AD13">_xlfn.XLOOKUP(TRUE,E13:AB13&lt;&gt;"",E13:AB13,,,-1)</f>
        <v>6.75</v>
      </c>
    </row>
    <row r="14" spans="1:31">
      <c r="A14" t="s">
        <v>12</v>
      </c>
      <c r="B14" t="s">
        <v>27</v>
      </c>
      <c r="C14" s="2" t="s">
        <v>28</v>
      </c>
      <c r="D14" s="7">
        <v>0</v>
      </c>
      <c r="E14" s="1">
        <f t="shared" si="11"/>
        <v>6.75</v>
      </c>
      <c r="F14" s="1">
        <f t="shared" si="11"/>
        <v>6.75</v>
      </c>
      <c r="G14" s="1">
        <f t="shared" si="11"/>
        <v>6.75</v>
      </c>
      <c r="H14" s="1">
        <v>6.75</v>
      </c>
      <c r="I14" s="1">
        <v>6.75</v>
      </c>
      <c r="J14" s="1">
        <v>6.75</v>
      </c>
      <c r="K14" s="1">
        <f t="shared" si="12"/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U14" s="1">
        <v>0</v>
      </c>
      <c r="AD14" s="5" cm="1">
        <f t="array" ref="AD14">_xlfn.XLOOKUP(TRUE,E14:AB14&lt;&gt;"",E14:AB14,,,-1)</f>
        <v>0</v>
      </c>
    </row>
    <row r="15" spans="1:31">
      <c r="A15" t="s">
        <v>12</v>
      </c>
      <c r="B15" t="s">
        <v>27</v>
      </c>
      <c r="C15" s="2" t="s">
        <v>29</v>
      </c>
      <c r="D15" s="7">
        <v>0</v>
      </c>
      <c r="E15" s="1">
        <f t="shared" si="11"/>
        <v>6.75</v>
      </c>
      <c r="F15" s="1">
        <f t="shared" si="11"/>
        <v>6.75</v>
      </c>
      <c r="G15" s="1">
        <f t="shared" si="11"/>
        <v>6.75</v>
      </c>
      <c r="H15" s="1">
        <v>6.75</v>
      </c>
      <c r="I15" s="1">
        <v>6.75</v>
      </c>
      <c r="J15" s="1">
        <v>6.75</v>
      </c>
      <c r="K15" s="1">
        <f t="shared" si="12"/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U15" s="1">
        <v>0</v>
      </c>
      <c r="AD15" s="5" cm="1">
        <f t="array" ref="AD15">_xlfn.XLOOKUP(TRUE,E15:AB15&lt;&gt;"",E15:AB15,,,-1)</f>
        <v>0</v>
      </c>
    </row>
    <row r="16" spans="1:31">
      <c r="A16" t="s">
        <v>12</v>
      </c>
      <c r="B16" t="s">
        <v>27</v>
      </c>
      <c r="C16" s="2" t="s">
        <v>30</v>
      </c>
      <c r="D16" s="7">
        <v>0</v>
      </c>
      <c r="E16" s="1">
        <f t="shared" si="11"/>
        <v>6.75</v>
      </c>
      <c r="F16" s="1">
        <f t="shared" si="11"/>
        <v>6.75</v>
      </c>
      <c r="G16" s="1">
        <f t="shared" si="11"/>
        <v>6.75</v>
      </c>
      <c r="H16" s="1">
        <v>6.75</v>
      </c>
      <c r="I16" s="1">
        <v>6.75</v>
      </c>
      <c r="J16" s="1">
        <v>6.75</v>
      </c>
      <c r="K16" s="1">
        <f t="shared" si="12"/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U16" s="1">
        <v>0</v>
      </c>
      <c r="AD16" s="5" cm="1">
        <f t="array" ref="AD16">_xlfn.XLOOKUP(TRUE,E16:AB16&lt;&gt;"",E16:AB16,,,-1)</f>
        <v>0</v>
      </c>
    </row>
    <row r="17" spans="1:30">
      <c r="A17" t="s">
        <v>12</v>
      </c>
      <c r="B17" t="s">
        <v>27</v>
      </c>
      <c r="C17" s="2" t="s">
        <v>31</v>
      </c>
      <c r="D17" s="7">
        <v>0</v>
      </c>
      <c r="E17" s="1">
        <f t="shared" si="11"/>
        <v>6.75</v>
      </c>
      <c r="F17" s="1">
        <f t="shared" si="11"/>
        <v>6.75</v>
      </c>
      <c r="G17" s="1">
        <f t="shared" si="11"/>
        <v>6.75</v>
      </c>
      <c r="H17" s="1">
        <v>6.75</v>
      </c>
      <c r="I17" s="1">
        <v>6.75</v>
      </c>
      <c r="J17" s="1">
        <v>6.75</v>
      </c>
      <c r="K17" s="1">
        <f t="shared" si="12"/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U17" s="1">
        <v>0</v>
      </c>
      <c r="AD17" s="5" cm="1">
        <f t="array" ref="AD17">_xlfn.XLOOKUP(TRUE,E17:AB17&lt;&gt;"",E17:AB17,,,-1)</f>
        <v>0</v>
      </c>
    </row>
    <row r="18" spans="1:30">
      <c r="A18" t="s">
        <v>12</v>
      </c>
      <c r="B18" t="s">
        <v>27</v>
      </c>
      <c r="C18" s="2" t="s">
        <v>32</v>
      </c>
      <c r="D18" s="7">
        <v>0</v>
      </c>
      <c r="E18" s="1">
        <f t="shared" si="11"/>
        <v>6.75</v>
      </c>
      <c r="F18" s="1">
        <f t="shared" si="11"/>
        <v>6.75</v>
      </c>
      <c r="G18" s="1">
        <f t="shared" si="11"/>
        <v>6.75</v>
      </c>
      <c r="H18" s="1">
        <v>6.75</v>
      </c>
      <c r="I18" s="1">
        <v>6.75</v>
      </c>
      <c r="J18" s="1">
        <v>6.75</v>
      </c>
      <c r="K18" s="1">
        <f t="shared" si="12"/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U18" s="1">
        <v>0</v>
      </c>
      <c r="AD18" s="5" cm="1">
        <f t="array" ref="AD18">_xlfn.XLOOKUP(TRUE,E18:AB18&lt;&gt;"",E18:AB18,,,-1)</f>
        <v>0</v>
      </c>
    </row>
    <row r="19" spans="1:30">
      <c r="A19" t="s">
        <v>12</v>
      </c>
      <c r="B19" t="s">
        <v>27</v>
      </c>
      <c r="C19" s="2" t="s">
        <v>33</v>
      </c>
      <c r="D19" s="7">
        <v>0</v>
      </c>
      <c r="E19" s="1">
        <f t="shared" si="11"/>
        <v>6</v>
      </c>
      <c r="F19" s="1">
        <f t="shared" si="11"/>
        <v>6</v>
      </c>
      <c r="G19" s="1">
        <f t="shared" si="11"/>
        <v>6</v>
      </c>
      <c r="H19" s="1">
        <v>6</v>
      </c>
      <c r="I19" s="1">
        <v>6</v>
      </c>
      <c r="J19" s="1">
        <v>6</v>
      </c>
      <c r="K19" s="1">
        <f t="shared" si="12"/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U19" s="1">
        <v>3</v>
      </c>
      <c r="AD19" s="5" cm="1">
        <f t="array" ref="AD19">_xlfn.XLOOKUP(TRUE,E19:AB19&lt;&gt;"",E19:AB19,,,-1)</f>
        <v>3</v>
      </c>
    </row>
    <row r="20" spans="1:30">
      <c r="A20" t="s">
        <v>12</v>
      </c>
      <c r="B20" t="s">
        <v>27</v>
      </c>
      <c r="C20" s="2" t="s">
        <v>34</v>
      </c>
      <c r="D20" s="7">
        <v>0</v>
      </c>
      <c r="E20" s="1">
        <f t="shared" si="11"/>
        <v>3</v>
      </c>
      <c r="F20" s="1">
        <f t="shared" si="11"/>
        <v>3</v>
      </c>
      <c r="G20" s="1">
        <f t="shared" si="11"/>
        <v>3</v>
      </c>
      <c r="H20" s="1">
        <v>3</v>
      </c>
      <c r="I20" s="1">
        <v>3</v>
      </c>
      <c r="J20" s="1">
        <v>3</v>
      </c>
      <c r="K20" s="1">
        <f t="shared" si="12"/>
        <v>3</v>
      </c>
      <c r="L20" s="1">
        <v>3</v>
      </c>
      <c r="M20" s="1">
        <v>3</v>
      </c>
      <c r="N20" s="1">
        <v>3</v>
      </c>
      <c r="O20" s="1">
        <v>3</v>
      </c>
      <c r="P20" s="1">
        <v>3</v>
      </c>
      <c r="Q20" s="1">
        <v>3</v>
      </c>
      <c r="U20" s="1">
        <v>3</v>
      </c>
      <c r="AD20" s="5" cm="1">
        <f t="array" ref="AD20">_xlfn.XLOOKUP(TRUE,E20:AB20&lt;&gt;"",E20:AB20,,,-1)</f>
        <v>3</v>
      </c>
    </row>
    <row r="21" spans="1:30">
      <c r="A21" t="s">
        <v>12</v>
      </c>
      <c r="B21" t="s">
        <v>27</v>
      </c>
      <c r="C21" s="2" t="s">
        <v>35</v>
      </c>
      <c r="D21" s="7">
        <v>0</v>
      </c>
      <c r="E21" s="1">
        <f t="shared" si="11"/>
        <v>6.75</v>
      </c>
      <c r="F21" s="1">
        <f t="shared" si="11"/>
        <v>6.75</v>
      </c>
      <c r="G21" s="1">
        <f t="shared" si="11"/>
        <v>6.75</v>
      </c>
      <c r="H21" s="1">
        <v>6.75</v>
      </c>
      <c r="I21" s="1">
        <v>6.75</v>
      </c>
      <c r="J21" s="1">
        <v>6.75</v>
      </c>
      <c r="K21" s="1">
        <f t="shared" si="12"/>
        <v>6.75</v>
      </c>
      <c r="L21" s="1">
        <v>6.75</v>
      </c>
      <c r="M21" s="1">
        <v>6.75</v>
      </c>
      <c r="N21" s="1">
        <v>6.75</v>
      </c>
      <c r="O21" s="1">
        <v>6.75</v>
      </c>
      <c r="P21" s="1">
        <v>6.75</v>
      </c>
      <c r="Q21" s="1">
        <v>6.75</v>
      </c>
      <c r="U21" s="1">
        <v>6.75</v>
      </c>
      <c r="AD21" s="5" cm="1">
        <f t="array" ref="AD21">_xlfn.XLOOKUP(TRUE,E21:AB21&lt;&gt;"",E21:AB21,,,-1)</f>
        <v>6.75</v>
      </c>
    </row>
    <row r="22" spans="1:30">
      <c r="A22" t="s">
        <v>12</v>
      </c>
      <c r="B22" t="s">
        <v>36</v>
      </c>
      <c r="C22" s="2" t="s">
        <v>36</v>
      </c>
      <c r="D22" s="7">
        <v>0</v>
      </c>
      <c r="E22" s="1">
        <f t="shared" si="11"/>
        <v>6.75</v>
      </c>
      <c r="F22" s="1">
        <f t="shared" si="11"/>
        <v>6.75</v>
      </c>
      <c r="G22" s="1">
        <f t="shared" si="11"/>
        <v>6.75</v>
      </c>
      <c r="H22" s="1">
        <v>6.75</v>
      </c>
      <c r="I22" s="1">
        <v>6.75</v>
      </c>
      <c r="J22" s="1">
        <v>6.75</v>
      </c>
      <c r="K22" s="1">
        <f t="shared" si="12"/>
        <v>6.75</v>
      </c>
      <c r="L22" s="1">
        <v>6.75</v>
      </c>
      <c r="M22" s="1">
        <v>6.75</v>
      </c>
      <c r="N22" s="1">
        <v>6.75</v>
      </c>
      <c r="O22" s="1">
        <v>6.75</v>
      </c>
      <c r="P22" s="1">
        <v>6.75</v>
      </c>
      <c r="Q22" s="1">
        <v>6.75</v>
      </c>
      <c r="U22" s="1">
        <v>6.75</v>
      </c>
      <c r="AD22" s="5" cm="1">
        <f t="array" ref="AD22">_xlfn.XLOOKUP(TRUE,E22:AB22&lt;&gt;"",E22:AB22,,,-1)</f>
        <v>6.75</v>
      </c>
    </row>
    <row r="23" spans="1:30">
      <c r="A23" t="s">
        <v>12</v>
      </c>
      <c r="B23" t="s">
        <v>37</v>
      </c>
      <c r="C23" s="2" t="s">
        <v>38</v>
      </c>
      <c r="D23" s="7">
        <v>0</v>
      </c>
      <c r="E23" s="1">
        <f t="shared" si="11"/>
        <v>2</v>
      </c>
      <c r="F23" s="1">
        <f t="shared" si="11"/>
        <v>2</v>
      </c>
      <c r="G23" s="1">
        <f t="shared" si="11"/>
        <v>2</v>
      </c>
      <c r="H23" s="1">
        <v>2</v>
      </c>
      <c r="I23" s="1">
        <v>2</v>
      </c>
      <c r="J23" s="1">
        <v>2</v>
      </c>
      <c r="K23" s="1">
        <f t="shared" si="12"/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U23" s="1">
        <v>0</v>
      </c>
      <c r="AD23" s="5" cm="1">
        <f t="array" ref="AD23">_xlfn.XLOOKUP(TRUE,E23:AB23&lt;&gt;"",E23:AB23,,,-1)</f>
        <v>0</v>
      </c>
    </row>
    <row r="24" spans="1:30">
      <c r="A24" t="s">
        <v>12</v>
      </c>
      <c r="B24" t="s">
        <v>37</v>
      </c>
      <c r="C24" s="2" t="s">
        <v>39</v>
      </c>
      <c r="D24" s="7">
        <v>0</v>
      </c>
      <c r="E24" s="1">
        <f t="shared" si="11"/>
        <v>3</v>
      </c>
      <c r="F24" s="1">
        <f t="shared" si="11"/>
        <v>3</v>
      </c>
      <c r="G24" s="1">
        <f t="shared" si="11"/>
        <v>3</v>
      </c>
      <c r="H24" s="1">
        <v>3</v>
      </c>
      <c r="I24" s="1">
        <v>3</v>
      </c>
      <c r="J24" s="1">
        <v>3</v>
      </c>
      <c r="K24" s="1">
        <f t="shared" si="12"/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U24" s="1">
        <v>2</v>
      </c>
      <c r="AD24" s="5" cm="1">
        <f t="array" ref="AD24">_xlfn.XLOOKUP(TRUE,E24:AB24&lt;&gt;"",E24:AB24,,,-1)</f>
        <v>2</v>
      </c>
    </row>
    <row r="25" spans="1:30">
      <c r="A25" t="s">
        <v>12</v>
      </c>
      <c r="B25" t="s">
        <v>40</v>
      </c>
      <c r="C25" s="2" t="s">
        <v>40</v>
      </c>
      <c r="D25" s="7">
        <v>0</v>
      </c>
      <c r="E25" s="1">
        <f t="shared" si="11"/>
        <v>6.75</v>
      </c>
      <c r="F25" s="1">
        <f t="shared" si="11"/>
        <v>6.75</v>
      </c>
      <c r="G25" s="1">
        <f t="shared" si="11"/>
        <v>6.75</v>
      </c>
      <c r="H25" s="1">
        <v>6.75</v>
      </c>
      <c r="I25" s="1">
        <v>6.75</v>
      </c>
      <c r="J25" s="1">
        <v>6.75</v>
      </c>
      <c r="K25" s="1">
        <f t="shared" si="12"/>
        <v>6.75</v>
      </c>
      <c r="L25" s="1">
        <v>6.75</v>
      </c>
      <c r="M25" s="1">
        <v>6.75</v>
      </c>
      <c r="N25" s="1">
        <v>6.75</v>
      </c>
      <c r="O25" s="1">
        <v>6.75</v>
      </c>
      <c r="P25" s="1">
        <v>6.75</v>
      </c>
      <c r="Q25" s="1">
        <v>6.75</v>
      </c>
      <c r="U25" s="1">
        <v>6.75</v>
      </c>
      <c r="AD25" s="5" cm="1">
        <f t="array" ref="AD25">_xlfn.XLOOKUP(TRUE,E25:AB25&lt;&gt;"",E25:AB25,,,-1)</f>
        <v>6.75</v>
      </c>
    </row>
    <row r="26" spans="1:30">
      <c r="A26" t="s">
        <v>12</v>
      </c>
      <c r="B26" t="s">
        <v>40</v>
      </c>
      <c r="C26" s="2" t="s">
        <v>41</v>
      </c>
      <c r="D26" s="7">
        <v>0</v>
      </c>
      <c r="E26" s="1">
        <f t="shared" si="11"/>
        <v>7.5</v>
      </c>
      <c r="F26" s="1">
        <f t="shared" si="11"/>
        <v>7.5</v>
      </c>
      <c r="G26" s="1">
        <f t="shared" si="11"/>
        <v>7.5</v>
      </c>
      <c r="H26" s="1">
        <v>7.5</v>
      </c>
      <c r="I26" s="1">
        <v>7.5</v>
      </c>
      <c r="J26" s="1">
        <v>7.5</v>
      </c>
      <c r="K26" s="1">
        <f t="shared" si="12"/>
        <v>7.5</v>
      </c>
      <c r="L26" s="1">
        <v>7.5</v>
      </c>
      <c r="M26" s="1">
        <v>7.5</v>
      </c>
      <c r="N26" s="1">
        <v>7.5</v>
      </c>
      <c r="O26" s="1">
        <v>7.5</v>
      </c>
      <c r="P26" s="1">
        <v>7.5</v>
      </c>
      <c r="Q26" s="1">
        <v>7.5</v>
      </c>
      <c r="U26" s="1">
        <v>7.5</v>
      </c>
      <c r="AD26" s="5" cm="1">
        <f t="array" ref="AD26">_xlfn.XLOOKUP(TRUE,E26:AB26&lt;&gt;"",E26:AB26,,,-1)</f>
        <v>7.5</v>
      </c>
    </row>
    <row r="27" spans="1:30">
      <c r="A27" t="s">
        <v>12</v>
      </c>
      <c r="B27" t="s">
        <v>40</v>
      </c>
      <c r="C27" s="2" t="s">
        <v>42</v>
      </c>
      <c r="D27" s="7">
        <v>0</v>
      </c>
      <c r="E27" s="1">
        <f t="shared" si="11"/>
        <v>2.25</v>
      </c>
      <c r="F27" s="1">
        <f t="shared" si="11"/>
        <v>2.25</v>
      </c>
      <c r="G27" s="1">
        <f t="shared" si="11"/>
        <v>2.25</v>
      </c>
      <c r="H27" s="1">
        <v>2.25</v>
      </c>
      <c r="I27" s="1">
        <v>2.25</v>
      </c>
      <c r="J27" s="1">
        <v>2.25</v>
      </c>
      <c r="K27" s="1">
        <f t="shared" si="12"/>
        <v>2.25</v>
      </c>
      <c r="L27" s="1">
        <v>2.25</v>
      </c>
      <c r="M27" s="1">
        <v>2.25</v>
      </c>
      <c r="N27" s="1">
        <v>2.25</v>
      </c>
      <c r="O27" s="1">
        <v>2.25</v>
      </c>
      <c r="P27" s="1">
        <v>2.25</v>
      </c>
      <c r="Q27" s="1">
        <v>2.25</v>
      </c>
      <c r="U27" s="1">
        <v>2.25</v>
      </c>
      <c r="AD27" s="5" cm="1">
        <f t="array" ref="AD27">_xlfn.XLOOKUP(TRUE,E27:AB27&lt;&gt;"",E27:AB27,,,-1)</f>
        <v>2.25</v>
      </c>
    </row>
    <row r="28" spans="1:30">
      <c r="A28" t="s">
        <v>12</v>
      </c>
      <c r="B28" t="s">
        <v>40</v>
      </c>
      <c r="C28" s="2" t="s">
        <v>43</v>
      </c>
      <c r="D28" s="7">
        <v>0</v>
      </c>
      <c r="E28" s="1">
        <f t="shared" si="11"/>
        <v>2.25</v>
      </c>
      <c r="F28" s="1">
        <f t="shared" si="11"/>
        <v>2.25</v>
      </c>
      <c r="G28" s="1">
        <f t="shared" si="11"/>
        <v>2.25</v>
      </c>
      <c r="H28" s="1">
        <v>2.25</v>
      </c>
      <c r="I28" s="1">
        <v>2.25</v>
      </c>
      <c r="J28" s="1">
        <v>2.25</v>
      </c>
      <c r="K28" s="1">
        <f t="shared" si="12"/>
        <v>2.25</v>
      </c>
      <c r="L28" s="1">
        <v>2.25</v>
      </c>
      <c r="M28" s="1">
        <v>2.25</v>
      </c>
      <c r="N28" s="1">
        <v>2.25</v>
      </c>
      <c r="O28" s="1">
        <v>2.25</v>
      </c>
      <c r="P28" s="1">
        <v>2.25</v>
      </c>
      <c r="Q28" s="1">
        <v>2.25</v>
      </c>
      <c r="U28" s="1">
        <v>2.25</v>
      </c>
      <c r="AD28" s="5" cm="1">
        <f t="array" ref="AD28">_xlfn.XLOOKUP(TRUE,E28:AB28&lt;&gt;"",E28:AB28,,,-1)</f>
        <v>2.25</v>
      </c>
    </row>
    <row r="29" spans="1:30">
      <c r="A29" t="s">
        <v>12</v>
      </c>
      <c r="B29" t="s">
        <v>40</v>
      </c>
      <c r="C29" s="2" t="s">
        <v>44</v>
      </c>
      <c r="D29" s="7">
        <v>0</v>
      </c>
      <c r="E29" s="1">
        <f t="shared" si="11"/>
        <v>9</v>
      </c>
      <c r="F29" s="1">
        <f t="shared" si="11"/>
        <v>9</v>
      </c>
      <c r="G29" s="1">
        <f t="shared" si="11"/>
        <v>9</v>
      </c>
      <c r="H29" s="1">
        <v>9</v>
      </c>
      <c r="I29" s="1">
        <v>9</v>
      </c>
      <c r="J29" s="1">
        <v>9</v>
      </c>
      <c r="K29" s="1">
        <f t="shared" si="12"/>
        <v>9</v>
      </c>
      <c r="L29" s="1">
        <v>9</v>
      </c>
      <c r="M29" s="1">
        <v>9</v>
      </c>
      <c r="N29" s="1">
        <v>9</v>
      </c>
      <c r="O29" s="1">
        <v>9</v>
      </c>
      <c r="P29" s="1">
        <v>9</v>
      </c>
      <c r="Q29" s="1">
        <v>9</v>
      </c>
      <c r="U29" s="1">
        <v>9</v>
      </c>
      <c r="AD29" s="5" cm="1">
        <f t="array" ref="AD29">_xlfn.XLOOKUP(TRUE,E29:AB29&lt;&gt;"",E29:AB29,,,-1)</f>
        <v>9</v>
      </c>
    </row>
    <row r="30" spans="1:30">
      <c r="A30" t="s">
        <v>12</v>
      </c>
      <c r="B30" t="s">
        <v>37</v>
      </c>
      <c r="C30" s="2" t="s">
        <v>45</v>
      </c>
      <c r="D30" s="7">
        <v>0</v>
      </c>
      <c r="E30" s="1">
        <f t="shared" si="11"/>
        <v>3</v>
      </c>
      <c r="F30" s="1">
        <f t="shared" si="11"/>
        <v>3</v>
      </c>
      <c r="G30" s="1">
        <f t="shared" si="11"/>
        <v>3</v>
      </c>
      <c r="H30" s="1">
        <v>3</v>
      </c>
      <c r="I30" s="1">
        <v>3</v>
      </c>
      <c r="J30" s="1">
        <v>3</v>
      </c>
      <c r="K30" s="1">
        <f t="shared" si="12"/>
        <v>3</v>
      </c>
      <c r="L30" s="1">
        <v>3</v>
      </c>
      <c r="M30" s="1">
        <v>3</v>
      </c>
      <c r="N30" s="1">
        <v>3</v>
      </c>
      <c r="O30" s="1">
        <v>3</v>
      </c>
      <c r="P30" s="1">
        <v>3</v>
      </c>
      <c r="Q30" s="1">
        <v>3</v>
      </c>
      <c r="U30" s="1">
        <v>3</v>
      </c>
      <c r="AD30" s="5" cm="1">
        <f t="array" ref="AD30">_xlfn.XLOOKUP(TRUE,E30:AB30&lt;&gt;"",E30:AB30,,,-1)</f>
        <v>3</v>
      </c>
    </row>
    <row r="31" spans="1:30">
      <c r="A31" t="s">
        <v>12</v>
      </c>
      <c r="B31" t="s">
        <v>37</v>
      </c>
      <c r="C31" s="2" t="s">
        <v>46</v>
      </c>
      <c r="D31" s="7">
        <v>0</v>
      </c>
      <c r="E31" s="1">
        <f t="shared" si="11"/>
        <v>2</v>
      </c>
      <c r="F31" s="1">
        <f t="shared" si="11"/>
        <v>2</v>
      </c>
      <c r="G31" s="1">
        <f t="shared" si="11"/>
        <v>2</v>
      </c>
      <c r="H31" s="1">
        <v>2</v>
      </c>
      <c r="I31" s="1">
        <v>2</v>
      </c>
      <c r="J31" s="1">
        <v>2</v>
      </c>
      <c r="K31" s="1">
        <f t="shared" si="12"/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U31" s="1">
        <v>0</v>
      </c>
      <c r="AD31" s="5" cm="1">
        <f t="array" ref="AD31">_xlfn.XLOOKUP(TRUE,E31:AB31&lt;&gt;"",E31:AB31,,,-1)</f>
        <v>0</v>
      </c>
    </row>
    <row r="32" spans="1:30">
      <c r="A32" t="s">
        <v>12</v>
      </c>
      <c r="B32" t="s">
        <v>37</v>
      </c>
      <c r="C32" s="2" t="s">
        <v>47</v>
      </c>
      <c r="D32" s="7">
        <v>0</v>
      </c>
      <c r="E32" s="1">
        <f t="shared" si="11"/>
        <v>2</v>
      </c>
      <c r="F32" s="1">
        <f t="shared" si="11"/>
        <v>2</v>
      </c>
      <c r="G32" s="1">
        <f t="shared" si="11"/>
        <v>2</v>
      </c>
      <c r="H32" s="1">
        <v>2</v>
      </c>
      <c r="I32" s="1">
        <v>2</v>
      </c>
      <c r="J32" s="1">
        <v>2</v>
      </c>
      <c r="K32" s="1">
        <f t="shared" si="12"/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U32" s="1">
        <v>0</v>
      </c>
      <c r="AD32" s="5" cm="1">
        <f t="array" ref="AD32">_xlfn.XLOOKUP(TRUE,E32:AB32&lt;&gt;"",E32:AB32,,,-1)</f>
        <v>0</v>
      </c>
    </row>
    <row r="33" spans="1:30">
      <c r="A33" t="s">
        <v>12</v>
      </c>
      <c r="B33" t="s">
        <v>48</v>
      </c>
      <c r="C33" s="2" t="s">
        <v>48</v>
      </c>
      <c r="D33" s="7">
        <v>0</v>
      </c>
      <c r="E33" s="1">
        <f t="shared" si="11"/>
        <v>10.5</v>
      </c>
      <c r="F33" s="1">
        <f t="shared" si="11"/>
        <v>10.5</v>
      </c>
      <c r="G33" s="1">
        <f t="shared" si="11"/>
        <v>10.5</v>
      </c>
      <c r="H33" s="1">
        <v>10.5</v>
      </c>
      <c r="I33" s="1">
        <v>10.5</v>
      </c>
      <c r="J33" s="1">
        <v>10.5</v>
      </c>
      <c r="K33" s="1">
        <f t="shared" si="12"/>
        <v>9</v>
      </c>
      <c r="L33" s="1">
        <v>9</v>
      </c>
      <c r="M33" s="1">
        <v>9</v>
      </c>
      <c r="N33" s="1">
        <v>9</v>
      </c>
      <c r="O33" s="1">
        <v>9</v>
      </c>
      <c r="P33" s="1">
        <v>9</v>
      </c>
      <c r="Q33" s="1">
        <v>9</v>
      </c>
      <c r="U33" s="1">
        <v>9</v>
      </c>
      <c r="AD33" s="5" cm="1">
        <f t="array" ref="AD33">_xlfn.XLOOKUP(TRUE,E33:AB33&lt;&gt;"",E33:AB33,,,-1)</f>
        <v>9</v>
      </c>
    </row>
    <row r="34" spans="1:30">
      <c r="A34" t="s">
        <v>12</v>
      </c>
      <c r="B34" t="s">
        <v>40</v>
      </c>
      <c r="C34" s="2" t="s">
        <v>49</v>
      </c>
      <c r="D34" s="7">
        <v>0</v>
      </c>
      <c r="E34" s="1">
        <f t="shared" si="11"/>
        <v>0</v>
      </c>
      <c r="F34" s="1">
        <f t="shared" si="11"/>
        <v>0</v>
      </c>
      <c r="G34" s="1">
        <f t="shared" si="11"/>
        <v>0</v>
      </c>
      <c r="H34" s="1">
        <v>0</v>
      </c>
      <c r="I34" s="1">
        <v>0</v>
      </c>
      <c r="J34" s="1">
        <v>6.75</v>
      </c>
      <c r="K34" s="1">
        <f t="shared" si="12"/>
        <v>6.75</v>
      </c>
      <c r="L34" s="1">
        <v>6.75</v>
      </c>
      <c r="M34" s="1">
        <v>6.75</v>
      </c>
      <c r="N34" s="1">
        <v>6.75</v>
      </c>
      <c r="O34" s="1">
        <v>6.75</v>
      </c>
      <c r="P34" s="1">
        <v>6.75</v>
      </c>
      <c r="Q34" s="1">
        <v>6.75</v>
      </c>
      <c r="U34" s="1">
        <v>6.75</v>
      </c>
      <c r="AD34" s="5" cm="1">
        <f t="array" ref="AD34">_xlfn.XLOOKUP(TRUE,E34:AB34&lt;&gt;"",E34:AB34,,,-1)</f>
        <v>6.75</v>
      </c>
    </row>
    <row r="35" spans="1:30">
      <c r="A35" t="s">
        <v>12</v>
      </c>
      <c r="B35" t="s">
        <v>50</v>
      </c>
      <c r="C35" s="2" t="s">
        <v>51</v>
      </c>
      <c r="D35" s="7">
        <v>0</v>
      </c>
      <c r="E35" s="1">
        <f t="shared" si="11"/>
        <v>0</v>
      </c>
      <c r="F35" s="1">
        <f t="shared" si="11"/>
        <v>0</v>
      </c>
      <c r="G35" s="1">
        <f t="shared" si="11"/>
        <v>0</v>
      </c>
      <c r="H35" s="1">
        <v>0</v>
      </c>
      <c r="I35" s="1">
        <v>0</v>
      </c>
      <c r="J35" s="1">
        <v>0</v>
      </c>
      <c r="K35" s="1">
        <f t="shared" si="12"/>
        <v>12.5</v>
      </c>
      <c r="L35" s="1">
        <v>12.5</v>
      </c>
      <c r="M35" s="1">
        <v>12.5</v>
      </c>
      <c r="N35" s="1">
        <v>12.5</v>
      </c>
      <c r="O35" s="1">
        <v>12.5</v>
      </c>
      <c r="P35" s="1">
        <v>12.5</v>
      </c>
      <c r="Q35" s="1">
        <v>12.5</v>
      </c>
      <c r="U35" s="1">
        <v>12.5</v>
      </c>
      <c r="AD35" s="5" cm="1">
        <f t="array" ref="AD35">_xlfn.XLOOKUP(TRUE,E35:AB35&lt;&gt;"",E35:AB35,,,-1)</f>
        <v>12.5</v>
      </c>
    </row>
    <row r="36" spans="1:30">
      <c r="A36" t="s">
        <v>12</v>
      </c>
      <c r="B36" t="s">
        <v>40</v>
      </c>
      <c r="C36" s="2" t="s">
        <v>52</v>
      </c>
      <c r="D36" s="7">
        <v>0</v>
      </c>
      <c r="E36" s="1">
        <f t="shared" si="11"/>
        <v>0</v>
      </c>
      <c r="F36" s="1">
        <f t="shared" si="11"/>
        <v>0</v>
      </c>
      <c r="G36" s="1">
        <f t="shared" si="11"/>
        <v>0</v>
      </c>
      <c r="H36" s="1">
        <v>0</v>
      </c>
      <c r="I36" s="1">
        <v>0</v>
      </c>
      <c r="J36" s="1">
        <v>0</v>
      </c>
      <c r="K36" s="1">
        <f t="shared" si="12"/>
        <v>2.25</v>
      </c>
      <c r="L36" s="1">
        <v>2.25</v>
      </c>
      <c r="M36" s="1">
        <v>2.25</v>
      </c>
      <c r="N36" s="1">
        <v>2.25</v>
      </c>
      <c r="O36" s="1">
        <v>2.25</v>
      </c>
      <c r="P36" s="1">
        <v>2.25</v>
      </c>
      <c r="Q36" s="1">
        <v>2.25</v>
      </c>
      <c r="U36" s="1">
        <v>2.25</v>
      </c>
      <c r="AD36" s="5" cm="1">
        <f t="array" ref="AD36">_xlfn.XLOOKUP(TRUE,E36:AB36&lt;&gt;"",E36:AB36,,,-1)</f>
        <v>2.25</v>
      </c>
    </row>
    <row r="37" spans="1:30">
      <c r="A37" t="s">
        <v>53</v>
      </c>
      <c r="B37" t="s">
        <v>54</v>
      </c>
      <c r="C37" s="2" t="s">
        <v>55</v>
      </c>
      <c r="D37" s="7" t="s">
        <v>56</v>
      </c>
      <c r="E37" s="1">
        <f t="shared" si="11"/>
        <v>25</v>
      </c>
      <c r="F37" s="1">
        <f t="shared" si="11"/>
        <v>25</v>
      </c>
      <c r="G37" s="1">
        <f t="shared" si="11"/>
        <v>25</v>
      </c>
      <c r="H37" s="1">
        <v>25</v>
      </c>
      <c r="I37" s="1">
        <v>25</v>
      </c>
      <c r="J37" s="1">
        <v>25</v>
      </c>
      <c r="K37" s="1">
        <f t="shared" si="12"/>
        <v>25</v>
      </c>
      <c r="L37" s="1">
        <v>25</v>
      </c>
      <c r="M37" s="1">
        <v>25</v>
      </c>
      <c r="N37" s="1">
        <v>25</v>
      </c>
      <c r="O37" s="1">
        <v>25</v>
      </c>
      <c r="P37" s="1">
        <v>25</v>
      </c>
      <c r="Q37" s="1">
        <v>25</v>
      </c>
      <c r="U37" s="1">
        <v>25</v>
      </c>
      <c r="AD37" s="5" cm="1">
        <f t="array" ref="AD37">_xlfn.XLOOKUP(TRUE,E37:AB37&lt;&gt;"",E37:AB37,,,-1)</f>
        <v>25</v>
      </c>
    </row>
    <row r="38" spans="1:30">
      <c r="A38" t="s">
        <v>53</v>
      </c>
      <c r="B38" t="s">
        <v>57</v>
      </c>
      <c r="C38" s="2" t="s">
        <v>58</v>
      </c>
      <c r="D38" s="7">
        <v>0</v>
      </c>
      <c r="E38" s="1">
        <f t="shared" si="11"/>
        <v>0</v>
      </c>
      <c r="F38" s="1">
        <f t="shared" si="11"/>
        <v>0</v>
      </c>
      <c r="G38" s="1">
        <f t="shared" si="11"/>
        <v>0</v>
      </c>
      <c r="H38" s="1">
        <v>0</v>
      </c>
      <c r="I38" s="1">
        <v>0</v>
      </c>
      <c r="J38" s="1">
        <v>0</v>
      </c>
      <c r="K38" s="1">
        <f t="shared" si="12"/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U38" s="1">
        <v>0</v>
      </c>
      <c r="AD38" s="5" cm="1">
        <f t="array" ref="AD38">_xlfn.XLOOKUP(TRUE,E38:AB38&lt;&gt;"",E38:AB38,,,-1)</f>
        <v>0</v>
      </c>
    </row>
    <row r="39" spans="1:30">
      <c r="A39" t="s">
        <v>53</v>
      </c>
      <c r="B39" t="s">
        <v>59</v>
      </c>
      <c r="C39" s="2" t="s">
        <v>59</v>
      </c>
      <c r="D39" s="7">
        <v>0</v>
      </c>
      <c r="E39" s="1">
        <f t="shared" si="11"/>
        <v>5</v>
      </c>
      <c r="F39" s="1">
        <f t="shared" si="11"/>
        <v>5</v>
      </c>
      <c r="G39" s="1">
        <f t="shared" si="11"/>
        <v>5</v>
      </c>
      <c r="H39" s="1">
        <v>5</v>
      </c>
      <c r="I39" s="1">
        <v>5</v>
      </c>
      <c r="J39" s="1">
        <v>5</v>
      </c>
      <c r="K39" s="1">
        <f t="shared" si="12"/>
        <v>5</v>
      </c>
      <c r="L39" s="1">
        <v>5</v>
      </c>
      <c r="M39" s="1">
        <v>5</v>
      </c>
      <c r="N39" s="1">
        <v>5</v>
      </c>
      <c r="O39" s="1">
        <v>5</v>
      </c>
      <c r="P39" s="1">
        <v>5</v>
      </c>
      <c r="Q39" s="1">
        <v>5</v>
      </c>
      <c r="U39" s="1">
        <v>5</v>
      </c>
      <c r="AD39" s="5" cm="1">
        <f t="array" ref="AD39">_xlfn.XLOOKUP(TRUE,E39:AB39&lt;&gt;"",E39:AB39,,,-1)</f>
        <v>5</v>
      </c>
    </row>
    <row r="40" spans="1:30">
      <c r="A40" t="s">
        <v>53</v>
      </c>
      <c r="B40" t="s">
        <v>60</v>
      </c>
      <c r="C40" s="2" t="s">
        <v>61</v>
      </c>
      <c r="D40" s="7" t="s">
        <v>56</v>
      </c>
      <c r="E40" s="1">
        <f t="shared" si="11"/>
        <v>19.8</v>
      </c>
      <c r="F40" s="1">
        <f t="shared" si="11"/>
        <v>19.8</v>
      </c>
      <c r="G40" s="1">
        <f t="shared" si="11"/>
        <v>19.8</v>
      </c>
      <c r="H40" s="1">
        <v>19.8</v>
      </c>
      <c r="I40" s="1">
        <v>19.8</v>
      </c>
      <c r="J40" s="1">
        <v>19.8</v>
      </c>
      <c r="K40" s="1">
        <f t="shared" si="12"/>
        <v>5</v>
      </c>
      <c r="L40" s="1">
        <v>5</v>
      </c>
      <c r="M40" s="1">
        <v>5</v>
      </c>
      <c r="N40" s="1">
        <v>5</v>
      </c>
      <c r="O40" s="1">
        <v>5</v>
      </c>
      <c r="P40" s="1">
        <v>5</v>
      </c>
      <c r="Q40" s="1">
        <v>5</v>
      </c>
      <c r="U40" s="1">
        <v>5</v>
      </c>
      <c r="AD40" s="5" cm="1">
        <f t="array" ref="AD40">_xlfn.XLOOKUP(TRUE,E40:AB40&lt;&gt;"",E40:AB40,,,-1)</f>
        <v>5</v>
      </c>
    </row>
    <row r="41" spans="1:30">
      <c r="A41" t="s">
        <v>53</v>
      </c>
      <c r="B41" t="s">
        <v>60</v>
      </c>
      <c r="C41" s="2" t="s">
        <v>62</v>
      </c>
      <c r="D41" s="7" t="s">
        <v>56</v>
      </c>
      <c r="E41" s="1">
        <f t="shared" si="11"/>
        <v>19.8</v>
      </c>
      <c r="F41" s="1">
        <f t="shared" si="11"/>
        <v>19.8</v>
      </c>
      <c r="G41" s="1">
        <f t="shared" si="11"/>
        <v>19.8</v>
      </c>
      <c r="H41" s="1">
        <v>19.8</v>
      </c>
      <c r="I41" s="1">
        <v>19.8</v>
      </c>
      <c r="J41" s="1">
        <v>19.8</v>
      </c>
      <c r="K41" s="1">
        <f t="shared" si="12"/>
        <v>5</v>
      </c>
      <c r="L41" s="1">
        <v>5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U41" s="1">
        <v>5</v>
      </c>
      <c r="AD41" s="5" cm="1">
        <f t="array" ref="AD41">_xlfn.XLOOKUP(TRUE,E41:AB41&lt;&gt;"",E41:AB41,,,-1)</f>
        <v>5</v>
      </c>
    </row>
    <row r="42" spans="1:30">
      <c r="A42" t="s">
        <v>53</v>
      </c>
      <c r="B42" t="s">
        <v>60</v>
      </c>
      <c r="C42" s="2" t="s">
        <v>63</v>
      </c>
      <c r="D42" s="7" t="s">
        <v>56</v>
      </c>
      <c r="E42" s="1">
        <f t="shared" si="11"/>
        <v>19.8</v>
      </c>
      <c r="F42" s="1">
        <f t="shared" si="11"/>
        <v>19.8</v>
      </c>
      <c r="G42" s="1">
        <f t="shared" si="11"/>
        <v>19.8</v>
      </c>
      <c r="H42" s="1">
        <v>19.8</v>
      </c>
      <c r="I42" s="1">
        <v>19.8</v>
      </c>
      <c r="J42" s="1">
        <v>19.8</v>
      </c>
      <c r="K42" s="1">
        <f t="shared" si="12"/>
        <v>5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5</v>
      </c>
      <c r="U42" s="1">
        <v>5</v>
      </c>
      <c r="AD42" s="5" cm="1">
        <f t="array" ref="AD42">_xlfn.XLOOKUP(TRUE,E42:AB42&lt;&gt;"",E42:AB42,,,-1)</f>
        <v>5</v>
      </c>
    </row>
    <row r="43" spans="1:30">
      <c r="A43" t="s">
        <v>53</v>
      </c>
      <c r="B43" t="s">
        <v>60</v>
      </c>
      <c r="C43" s="2" t="s">
        <v>64</v>
      </c>
      <c r="D43" s="7" t="s">
        <v>56</v>
      </c>
      <c r="E43" s="1">
        <f t="shared" si="11"/>
        <v>19.8</v>
      </c>
      <c r="F43" s="1">
        <f t="shared" si="11"/>
        <v>19.8</v>
      </c>
      <c r="G43" s="1">
        <f t="shared" si="11"/>
        <v>19.8</v>
      </c>
      <c r="H43" s="1">
        <v>19.8</v>
      </c>
      <c r="I43" s="1">
        <v>19.8</v>
      </c>
      <c r="J43" s="1">
        <v>19.8</v>
      </c>
      <c r="K43" s="1">
        <f t="shared" si="12"/>
        <v>5</v>
      </c>
      <c r="L43" s="1">
        <v>5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U43" s="1">
        <v>5</v>
      </c>
      <c r="AD43" s="5" cm="1">
        <f t="array" ref="AD43">_xlfn.XLOOKUP(TRUE,E43:AB43&lt;&gt;"",E43:AB43,,,-1)</f>
        <v>5</v>
      </c>
    </row>
    <row r="44" spans="1:30">
      <c r="A44" t="s">
        <v>53</v>
      </c>
      <c r="B44" t="s">
        <v>60</v>
      </c>
      <c r="C44" s="2" t="s">
        <v>65</v>
      </c>
      <c r="D44" s="7" t="s">
        <v>56</v>
      </c>
      <c r="E44" s="1">
        <f t="shared" si="11"/>
        <v>15</v>
      </c>
      <c r="F44" s="1">
        <f t="shared" si="11"/>
        <v>15</v>
      </c>
      <c r="G44" s="1">
        <f t="shared" si="11"/>
        <v>15</v>
      </c>
      <c r="H44" s="1">
        <v>15</v>
      </c>
      <c r="I44" s="1">
        <v>15</v>
      </c>
      <c r="J44" s="1">
        <v>15</v>
      </c>
      <c r="K44" s="1">
        <f t="shared" si="12"/>
        <v>5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U44" s="1">
        <v>5</v>
      </c>
      <c r="AD44" s="5" cm="1">
        <f t="array" ref="AD44">_xlfn.XLOOKUP(TRUE,E44:AB44&lt;&gt;"",E44:AB44,,,-1)</f>
        <v>5</v>
      </c>
    </row>
    <row r="45" spans="1:30">
      <c r="A45" t="s">
        <v>53</v>
      </c>
      <c r="B45" t="s">
        <v>60</v>
      </c>
      <c r="C45" s="2" t="s">
        <v>66</v>
      </c>
      <c r="D45" s="7" t="s">
        <v>56</v>
      </c>
      <c r="E45" s="1">
        <f t="shared" si="11"/>
        <v>15</v>
      </c>
      <c r="F45" s="1">
        <f t="shared" si="11"/>
        <v>15</v>
      </c>
      <c r="G45" s="1">
        <f t="shared" si="11"/>
        <v>15</v>
      </c>
      <c r="H45" s="1">
        <v>15</v>
      </c>
      <c r="I45" s="1">
        <v>15</v>
      </c>
      <c r="J45" s="1">
        <v>15</v>
      </c>
      <c r="K45" s="1">
        <f t="shared" si="12"/>
        <v>5</v>
      </c>
      <c r="L45" s="1">
        <v>5</v>
      </c>
      <c r="M45" s="1">
        <v>5</v>
      </c>
      <c r="N45" s="1">
        <v>5</v>
      </c>
      <c r="O45" s="1">
        <v>5</v>
      </c>
      <c r="P45" s="1">
        <v>5</v>
      </c>
      <c r="Q45" s="1">
        <v>5</v>
      </c>
      <c r="U45" s="1">
        <v>5</v>
      </c>
      <c r="AD45" s="5" cm="1">
        <f t="array" ref="AD45">_xlfn.XLOOKUP(TRUE,E45:AB45&lt;&gt;"",E45:AB45,,,-1)</f>
        <v>5</v>
      </c>
    </row>
    <row r="46" spans="1:30">
      <c r="A46" t="s">
        <v>53</v>
      </c>
      <c r="B46" t="s">
        <v>60</v>
      </c>
      <c r="C46" s="2" t="s">
        <v>67</v>
      </c>
      <c r="D46" s="7">
        <v>0</v>
      </c>
      <c r="E46" s="1">
        <f t="shared" si="11"/>
        <v>0</v>
      </c>
      <c r="F46" s="1">
        <f t="shared" si="11"/>
        <v>0</v>
      </c>
      <c r="G46" s="1">
        <f t="shared" si="11"/>
        <v>0</v>
      </c>
      <c r="H46" s="1">
        <v>0</v>
      </c>
      <c r="I46" s="1">
        <v>0</v>
      </c>
      <c r="J46" s="1">
        <v>0</v>
      </c>
      <c r="K46" s="1">
        <f t="shared" si="12"/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U46" s="1">
        <v>0</v>
      </c>
      <c r="AD46" s="5" cm="1">
        <f t="array" ref="AD46">_xlfn.XLOOKUP(TRUE,E46:AB46&lt;&gt;"",E46:AB46,,,-1)</f>
        <v>0</v>
      </c>
    </row>
    <row r="47" spans="1:30">
      <c r="A47" t="s">
        <v>53</v>
      </c>
      <c r="B47" t="s">
        <v>60</v>
      </c>
      <c r="C47" s="2" t="s">
        <v>68</v>
      </c>
      <c r="D47" s="7" t="s">
        <v>56</v>
      </c>
      <c r="E47" s="1">
        <f t="shared" si="11"/>
        <v>15</v>
      </c>
      <c r="F47" s="1">
        <f t="shared" si="11"/>
        <v>15</v>
      </c>
      <c r="G47" s="1">
        <f t="shared" si="11"/>
        <v>15</v>
      </c>
      <c r="H47" s="1">
        <v>15</v>
      </c>
      <c r="I47" s="1">
        <v>15</v>
      </c>
      <c r="J47" s="1">
        <v>15</v>
      </c>
      <c r="K47" s="1">
        <f t="shared" si="12"/>
        <v>5</v>
      </c>
      <c r="L47" s="1">
        <v>5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U47" s="1">
        <v>5</v>
      </c>
      <c r="AD47" s="5" cm="1">
        <f t="array" ref="AD47">_xlfn.XLOOKUP(TRUE,E47:AB47&lt;&gt;"",E47:AB47,,,-1)</f>
        <v>5</v>
      </c>
    </row>
    <row r="48" spans="1:30">
      <c r="A48" t="s">
        <v>53</v>
      </c>
      <c r="B48" t="s">
        <v>60</v>
      </c>
      <c r="C48" s="2" t="s">
        <v>69</v>
      </c>
      <c r="D48" s="7" t="s">
        <v>56</v>
      </c>
      <c r="E48" s="1">
        <f t="shared" si="11"/>
        <v>15</v>
      </c>
      <c r="F48" s="1">
        <f t="shared" si="11"/>
        <v>15</v>
      </c>
      <c r="G48" s="1">
        <f t="shared" si="11"/>
        <v>15</v>
      </c>
      <c r="H48" s="1">
        <v>15</v>
      </c>
      <c r="I48" s="1">
        <v>15</v>
      </c>
      <c r="J48" s="1">
        <v>15</v>
      </c>
      <c r="K48" s="1">
        <f t="shared" si="12"/>
        <v>5</v>
      </c>
      <c r="L48" s="1">
        <v>5</v>
      </c>
      <c r="M48" s="1">
        <v>5</v>
      </c>
      <c r="N48" s="1">
        <v>5</v>
      </c>
      <c r="O48" s="1">
        <v>5</v>
      </c>
      <c r="P48" s="1">
        <v>5</v>
      </c>
      <c r="Q48" s="1">
        <v>5</v>
      </c>
      <c r="U48" s="1">
        <v>5</v>
      </c>
      <c r="AD48" s="5" cm="1">
        <f t="array" ref="AD48">_xlfn.XLOOKUP(TRUE,E48:AB48&lt;&gt;"",E48:AB48,,,-1)</f>
        <v>5</v>
      </c>
    </row>
    <row r="49" spans="1:30">
      <c r="A49" t="s">
        <v>53</v>
      </c>
      <c r="B49" t="s">
        <v>70</v>
      </c>
      <c r="C49" s="2" t="s">
        <v>71</v>
      </c>
      <c r="D49" s="7" t="s">
        <v>56</v>
      </c>
      <c r="E49" s="1">
        <f t="shared" si="11"/>
        <v>13.200000000000001</v>
      </c>
      <c r="F49" s="1">
        <f t="shared" si="11"/>
        <v>13.200000000000001</v>
      </c>
      <c r="G49" s="1">
        <f t="shared" si="11"/>
        <v>13.200000000000001</v>
      </c>
      <c r="H49" s="1">
        <v>13.200000000000001</v>
      </c>
      <c r="I49" s="1">
        <v>13.200000000000001</v>
      </c>
      <c r="J49" s="1">
        <v>13.200000000000001</v>
      </c>
      <c r="K49" s="1">
        <f t="shared" si="12"/>
        <v>15</v>
      </c>
      <c r="L49" s="1">
        <v>15</v>
      </c>
      <c r="M49" s="1">
        <v>15</v>
      </c>
      <c r="N49" s="1">
        <v>15</v>
      </c>
      <c r="O49" s="1">
        <v>15</v>
      </c>
      <c r="P49" s="1">
        <v>15</v>
      </c>
      <c r="Q49" s="1">
        <v>15</v>
      </c>
      <c r="U49" s="1">
        <v>15</v>
      </c>
      <c r="AD49" s="5" cm="1">
        <f t="array" ref="AD49">_xlfn.XLOOKUP(TRUE,E49:AB49&lt;&gt;"",E49:AB49,,,-1)</f>
        <v>15</v>
      </c>
    </row>
    <row r="50" spans="1:30">
      <c r="A50" t="s">
        <v>53</v>
      </c>
      <c r="B50" t="s">
        <v>57</v>
      </c>
      <c r="C50" s="2" t="s">
        <v>72</v>
      </c>
      <c r="D50" s="7">
        <v>0</v>
      </c>
      <c r="E50" s="1">
        <f t="shared" si="11"/>
        <v>0</v>
      </c>
      <c r="F50" s="1">
        <f t="shared" si="11"/>
        <v>0</v>
      </c>
      <c r="G50" s="1">
        <f t="shared" si="11"/>
        <v>0</v>
      </c>
      <c r="H50" s="1">
        <v>0</v>
      </c>
      <c r="I50" s="1">
        <v>0</v>
      </c>
      <c r="J50" s="1">
        <v>0</v>
      </c>
      <c r="K50" s="1">
        <f t="shared" si="12"/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U50" s="1">
        <v>0</v>
      </c>
      <c r="AD50" s="5" cm="1">
        <f t="array" ref="AD50">_xlfn.XLOOKUP(TRUE,E50:AB50&lt;&gt;"",E50:AB50,,,-1)</f>
        <v>0</v>
      </c>
    </row>
    <row r="51" spans="1:30">
      <c r="A51" t="s">
        <v>53</v>
      </c>
      <c r="B51" t="s">
        <v>73</v>
      </c>
      <c r="C51" s="2" t="s">
        <v>74</v>
      </c>
      <c r="D51" s="7">
        <v>0</v>
      </c>
      <c r="E51" s="1">
        <f t="shared" si="11"/>
        <v>150</v>
      </c>
      <c r="F51" s="1">
        <f t="shared" si="11"/>
        <v>150</v>
      </c>
      <c r="G51" s="1">
        <f t="shared" si="11"/>
        <v>150</v>
      </c>
      <c r="H51" s="1">
        <v>150</v>
      </c>
      <c r="I51" s="1">
        <v>150</v>
      </c>
      <c r="J51" s="1">
        <v>150</v>
      </c>
      <c r="K51" s="1">
        <f t="shared" si="12"/>
        <v>150</v>
      </c>
      <c r="L51" s="1">
        <v>150</v>
      </c>
      <c r="M51" s="1">
        <v>150</v>
      </c>
      <c r="N51" s="1">
        <v>150</v>
      </c>
      <c r="O51" s="1">
        <v>150</v>
      </c>
      <c r="P51" s="1">
        <v>150</v>
      </c>
      <c r="Q51" s="1">
        <v>150</v>
      </c>
      <c r="U51" s="1">
        <v>150</v>
      </c>
      <c r="AD51" s="5" cm="1">
        <f t="array" ref="AD51">_xlfn.XLOOKUP(TRUE,E51:AB51&lt;&gt;"",E51:AB51,,,-1)</f>
        <v>150</v>
      </c>
    </row>
    <row r="52" spans="1:30">
      <c r="A52" t="s">
        <v>53</v>
      </c>
      <c r="B52" t="s">
        <v>73</v>
      </c>
      <c r="C52" s="2" t="s">
        <v>75</v>
      </c>
      <c r="D52" s="7">
        <v>0</v>
      </c>
      <c r="E52" s="1">
        <f t="shared" si="11"/>
        <v>300</v>
      </c>
      <c r="F52" s="1">
        <f t="shared" si="11"/>
        <v>300</v>
      </c>
      <c r="G52" s="1">
        <f t="shared" si="11"/>
        <v>300</v>
      </c>
      <c r="H52" s="1">
        <v>300</v>
      </c>
      <c r="I52" s="1">
        <v>300</v>
      </c>
      <c r="J52" s="1">
        <v>300</v>
      </c>
      <c r="K52" s="1">
        <f t="shared" si="12"/>
        <v>300</v>
      </c>
      <c r="L52" s="1">
        <v>300</v>
      </c>
      <c r="M52" s="1">
        <v>300</v>
      </c>
      <c r="N52" s="1">
        <v>300</v>
      </c>
      <c r="O52" s="1">
        <v>300</v>
      </c>
      <c r="P52" s="1">
        <v>300</v>
      </c>
      <c r="Q52" s="1">
        <v>300</v>
      </c>
      <c r="U52" s="1">
        <v>300</v>
      </c>
      <c r="AD52" s="5" cm="1">
        <f t="array" ref="AD52">_xlfn.XLOOKUP(TRUE,E52:AB52&lt;&gt;"",E52:AB52,,,-1)</f>
        <v>300</v>
      </c>
    </row>
    <row r="53" spans="1:30">
      <c r="A53" t="s">
        <v>53</v>
      </c>
      <c r="B53" t="s">
        <v>73</v>
      </c>
      <c r="C53" s="2" t="s">
        <v>76</v>
      </c>
      <c r="D53" s="7">
        <v>0</v>
      </c>
      <c r="E53" s="1">
        <f t="shared" si="11"/>
        <v>150</v>
      </c>
      <c r="F53" s="1">
        <f t="shared" si="11"/>
        <v>150</v>
      </c>
      <c r="G53" s="1">
        <f t="shared" si="11"/>
        <v>150</v>
      </c>
      <c r="H53" s="1">
        <v>150</v>
      </c>
      <c r="I53" s="1">
        <v>150</v>
      </c>
      <c r="J53" s="1">
        <v>150</v>
      </c>
      <c r="K53" s="1">
        <f t="shared" si="12"/>
        <v>150</v>
      </c>
      <c r="L53" s="1">
        <v>150</v>
      </c>
      <c r="M53" s="1">
        <v>150</v>
      </c>
      <c r="N53" s="1">
        <v>150</v>
      </c>
      <c r="O53" s="1">
        <v>150</v>
      </c>
      <c r="P53" s="1">
        <v>150</v>
      </c>
      <c r="Q53" s="1">
        <v>150</v>
      </c>
      <c r="U53" s="1">
        <v>150</v>
      </c>
      <c r="AD53" s="5" cm="1">
        <f t="array" ref="AD53">_xlfn.XLOOKUP(TRUE,E53:AB53&lt;&gt;"",E53:AB53,,,-1)</f>
        <v>150</v>
      </c>
    </row>
    <row r="54" spans="1:30">
      <c r="A54" t="s">
        <v>53</v>
      </c>
      <c r="B54" t="s">
        <v>73</v>
      </c>
      <c r="C54" s="2" t="s">
        <v>77</v>
      </c>
      <c r="D54" s="7">
        <v>0</v>
      </c>
      <c r="E54" s="1">
        <f t="shared" si="11"/>
        <v>300</v>
      </c>
      <c r="F54" s="1">
        <f t="shared" si="11"/>
        <v>300</v>
      </c>
      <c r="G54" s="1">
        <f t="shared" si="11"/>
        <v>300</v>
      </c>
      <c r="H54" s="1">
        <v>300</v>
      </c>
      <c r="I54" s="1">
        <v>300</v>
      </c>
      <c r="J54" s="1">
        <v>300</v>
      </c>
      <c r="K54" s="1">
        <f t="shared" si="12"/>
        <v>300</v>
      </c>
      <c r="L54" s="1">
        <v>300</v>
      </c>
      <c r="M54" s="1">
        <v>300</v>
      </c>
      <c r="N54" s="1">
        <v>300</v>
      </c>
      <c r="O54" s="1">
        <v>300</v>
      </c>
      <c r="P54" s="1">
        <v>300</v>
      </c>
      <c r="Q54" s="1">
        <v>300</v>
      </c>
      <c r="U54" s="1">
        <v>300</v>
      </c>
      <c r="AD54" s="5" cm="1">
        <f t="array" ref="AD54">_xlfn.XLOOKUP(TRUE,E54:AB54&lt;&gt;"",E54:AB54,,,-1)</f>
        <v>300</v>
      </c>
    </row>
    <row r="55" spans="1:30">
      <c r="A55" t="s">
        <v>53</v>
      </c>
      <c r="B55" t="s">
        <v>73</v>
      </c>
      <c r="C55" s="2" t="s">
        <v>73</v>
      </c>
      <c r="D55" s="7" t="s">
        <v>56</v>
      </c>
      <c r="E55" s="1">
        <f t="shared" si="11"/>
        <v>25</v>
      </c>
      <c r="F55" s="1">
        <f t="shared" si="11"/>
        <v>25</v>
      </c>
      <c r="G55" s="1">
        <f t="shared" si="11"/>
        <v>25</v>
      </c>
      <c r="H55" s="1">
        <v>25</v>
      </c>
      <c r="I55" s="1">
        <v>25</v>
      </c>
      <c r="J55" s="1">
        <v>25</v>
      </c>
      <c r="K55" s="1">
        <f t="shared" si="12"/>
        <v>20</v>
      </c>
      <c r="L55" s="1">
        <v>20</v>
      </c>
      <c r="M55" s="1">
        <v>20</v>
      </c>
      <c r="N55" s="1">
        <v>20</v>
      </c>
      <c r="O55" s="1">
        <v>20</v>
      </c>
      <c r="P55" s="1">
        <v>20</v>
      </c>
      <c r="Q55" s="1">
        <v>20</v>
      </c>
      <c r="U55" s="1">
        <v>20</v>
      </c>
      <c r="AD55" s="5" cm="1">
        <f t="array" ref="AD55">_xlfn.XLOOKUP(TRUE,E55:AB55&lt;&gt;"",E55:AB55,,,-1)</f>
        <v>20</v>
      </c>
    </row>
    <row r="56" spans="1:30">
      <c r="A56" t="s">
        <v>53</v>
      </c>
      <c r="B56" t="s">
        <v>73</v>
      </c>
      <c r="C56" s="2" t="s">
        <v>78</v>
      </c>
      <c r="D56" s="7" t="s">
        <v>56</v>
      </c>
      <c r="E56" s="1">
        <f t="shared" si="11"/>
        <v>25</v>
      </c>
      <c r="F56" s="1">
        <f t="shared" si="11"/>
        <v>25</v>
      </c>
      <c r="G56" s="1">
        <f t="shared" si="11"/>
        <v>25</v>
      </c>
      <c r="H56" s="1">
        <v>25</v>
      </c>
      <c r="I56" s="1">
        <v>25</v>
      </c>
      <c r="J56" s="1">
        <v>25</v>
      </c>
      <c r="K56" s="1">
        <f t="shared" si="12"/>
        <v>20</v>
      </c>
      <c r="L56" s="1">
        <v>20</v>
      </c>
      <c r="M56" s="1">
        <v>20</v>
      </c>
      <c r="N56" s="1">
        <v>20</v>
      </c>
      <c r="O56" s="1">
        <v>20</v>
      </c>
      <c r="P56" s="1">
        <v>20</v>
      </c>
      <c r="Q56" s="1">
        <v>20</v>
      </c>
      <c r="U56" s="1">
        <v>20</v>
      </c>
      <c r="AD56" s="5" cm="1">
        <f t="array" ref="AD56">_xlfn.XLOOKUP(TRUE,E56:AB56&lt;&gt;"",E56:AB56,,,-1)</f>
        <v>20</v>
      </c>
    </row>
    <row r="57" spans="1:30">
      <c r="A57" t="s">
        <v>53</v>
      </c>
      <c r="B57" t="s">
        <v>79</v>
      </c>
      <c r="C57" s="2" t="s">
        <v>80</v>
      </c>
      <c r="D57" s="7" t="s">
        <v>56</v>
      </c>
      <c r="E57" s="1">
        <f t="shared" si="11"/>
        <v>19.8</v>
      </c>
      <c r="F57" s="1">
        <f t="shared" si="11"/>
        <v>19.8</v>
      </c>
      <c r="G57" s="1">
        <f t="shared" si="11"/>
        <v>19.8</v>
      </c>
      <c r="H57" s="1">
        <v>19.8</v>
      </c>
      <c r="I57" s="1">
        <v>19.8</v>
      </c>
      <c r="J57" s="1">
        <v>19.8</v>
      </c>
      <c r="K57" s="1">
        <f t="shared" si="12"/>
        <v>12.5</v>
      </c>
      <c r="L57" s="1">
        <v>12.5</v>
      </c>
      <c r="M57" s="1">
        <v>12.5</v>
      </c>
      <c r="N57" s="1">
        <v>12.5</v>
      </c>
      <c r="O57" s="1">
        <v>12.5</v>
      </c>
      <c r="P57" s="1">
        <v>12.5</v>
      </c>
      <c r="Q57" s="1">
        <v>12.5</v>
      </c>
      <c r="U57" s="1">
        <v>12.5</v>
      </c>
      <c r="AD57" s="5" cm="1">
        <f t="array" ref="AD57">_xlfn.XLOOKUP(TRUE,E57:AB57&lt;&gt;"",E57:AB57,,,-1)</f>
        <v>12.5</v>
      </c>
    </row>
    <row r="58" spans="1:30">
      <c r="A58" t="s">
        <v>53</v>
      </c>
      <c r="B58" t="s">
        <v>79</v>
      </c>
      <c r="C58" s="2" t="s">
        <v>81</v>
      </c>
      <c r="D58" s="7" t="s">
        <v>56</v>
      </c>
      <c r="E58" s="1">
        <f t="shared" si="11"/>
        <v>19.8</v>
      </c>
      <c r="F58" s="1">
        <f t="shared" si="11"/>
        <v>19.8</v>
      </c>
      <c r="G58" s="1">
        <f t="shared" si="11"/>
        <v>19.8</v>
      </c>
      <c r="H58" s="1">
        <v>19.8</v>
      </c>
      <c r="I58" s="1">
        <v>19.8</v>
      </c>
      <c r="J58" s="1">
        <v>19.8</v>
      </c>
      <c r="K58" s="1">
        <f t="shared" si="12"/>
        <v>12.5</v>
      </c>
      <c r="L58" s="1">
        <v>12.5</v>
      </c>
      <c r="M58" s="1">
        <v>12.5</v>
      </c>
      <c r="N58" s="1">
        <v>12.5</v>
      </c>
      <c r="O58" s="1">
        <v>12.5</v>
      </c>
      <c r="P58" s="1">
        <v>12.5</v>
      </c>
      <c r="Q58" s="1">
        <v>12.5</v>
      </c>
      <c r="U58" s="1">
        <v>12.5</v>
      </c>
      <c r="AD58" s="5" cm="1">
        <f t="array" ref="AD58">_xlfn.XLOOKUP(TRUE,E58:AB58&lt;&gt;"",E58:AB58,,,-1)</f>
        <v>12.5</v>
      </c>
    </row>
    <row r="59" spans="1:30">
      <c r="A59" t="s">
        <v>53</v>
      </c>
      <c r="B59" t="s">
        <v>79</v>
      </c>
      <c r="C59" s="2" t="s">
        <v>82</v>
      </c>
      <c r="D59" s="7" t="s">
        <v>56</v>
      </c>
      <c r="E59" s="1">
        <f t="shared" si="11"/>
        <v>19.8</v>
      </c>
      <c r="F59" s="1">
        <f t="shared" si="11"/>
        <v>19.8</v>
      </c>
      <c r="G59" s="1">
        <f t="shared" si="11"/>
        <v>19.8</v>
      </c>
      <c r="H59" s="1">
        <v>19.8</v>
      </c>
      <c r="I59" s="1">
        <v>19.8</v>
      </c>
      <c r="J59" s="1">
        <v>19.8</v>
      </c>
      <c r="K59" s="1">
        <f t="shared" si="12"/>
        <v>12.5</v>
      </c>
      <c r="L59" s="1">
        <v>12.5</v>
      </c>
      <c r="M59" s="1">
        <v>12.5</v>
      </c>
      <c r="N59" s="1">
        <v>12.5</v>
      </c>
      <c r="O59" s="1">
        <v>12.5</v>
      </c>
      <c r="P59" s="1">
        <v>12.5</v>
      </c>
      <c r="Q59" s="1">
        <v>12.5</v>
      </c>
      <c r="U59" s="1">
        <v>12.5</v>
      </c>
      <c r="AD59" s="5" cm="1">
        <f t="array" ref="AD59">_xlfn.XLOOKUP(TRUE,E59:AB59&lt;&gt;"",E59:AB59,,,-1)</f>
        <v>12.5</v>
      </c>
    </row>
    <row r="60" spans="1:30">
      <c r="A60" t="s">
        <v>53</v>
      </c>
      <c r="B60" t="s">
        <v>79</v>
      </c>
      <c r="C60" s="2" t="s">
        <v>83</v>
      </c>
      <c r="D60" s="7" t="s">
        <v>56</v>
      </c>
      <c r="E60" s="1">
        <f t="shared" si="11"/>
        <v>19.8</v>
      </c>
      <c r="F60" s="1">
        <f t="shared" si="11"/>
        <v>19.8</v>
      </c>
      <c r="G60" s="1">
        <f t="shared" si="11"/>
        <v>19.8</v>
      </c>
      <c r="H60" s="1">
        <v>19.8</v>
      </c>
      <c r="I60" s="1">
        <v>19.8</v>
      </c>
      <c r="J60" s="1">
        <v>19.8</v>
      </c>
      <c r="K60" s="1">
        <f t="shared" si="12"/>
        <v>12.5</v>
      </c>
      <c r="L60" s="1">
        <v>12.5</v>
      </c>
      <c r="M60" s="1">
        <v>12.5</v>
      </c>
      <c r="N60" s="1">
        <v>12.5</v>
      </c>
      <c r="O60" s="1">
        <v>12.5</v>
      </c>
      <c r="P60" s="1">
        <v>12.5</v>
      </c>
      <c r="Q60" s="1">
        <v>12.5</v>
      </c>
      <c r="U60" s="1">
        <v>12.5</v>
      </c>
      <c r="AD60" s="5" cm="1">
        <f t="array" ref="AD60">_xlfn.XLOOKUP(TRUE,E60:AB60&lt;&gt;"",E60:AB60,,,-1)</f>
        <v>12.5</v>
      </c>
    </row>
    <row r="61" spans="1:30">
      <c r="A61" t="s">
        <v>53</v>
      </c>
      <c r="B61" t="s">
        <v>79</v>
      </c>
      <c r="C61" s="2" t="s">
        <v>84</v>
      </c>
      <c r="D61" s="7" t="s">
        <v>56</v>
      </c>
      <c r="E61" s="1">
        <f t="shared" si="11"/>
        <v>19.8</v>
      </c>
      <c r="F61" s="1">
        <f t="shared" si="11"/>
        <v>19.8</v>
      </c>
      <c r="G61" s="1">
        <f t="shared" si="11"/>
        <v>19.8</v>
      </c>
      <c r="H61" s="1">
        <v>19.8</v>
      </c>
      <c r="I61" s="1">
        <v>19.8</v>
      </c>
      <c r="J61" s="1">
        <v>19.8</v>
      </c>
      <c r="K61" s="1">
        <f t="shared" si="12"/>
        <v>15</v>
      </c>
      <c r="L61" s="1">
        <v>15</v>
      </c>
      <c r="M61" s="1">
        <v>15</v>
      </c>
      <c r="N61" s="1">
        <v>15</v>
      </c>
      <c r="O61" s="1">
        <v>15</v>
      </c>
      <c r="P61" s="1">
        <v>15</v>
      </c>
      <c r="Q61" s="1">
        <v>15</v>
      </c>
      <c r="U61" s="1">
        <v>15</v>
      </c>
      <c r="AD61" s="5" cm="1">
        <f t="array" ref="AD61">_xlfn.XLOOKUP(TRUE,E61:AB61&lt;&gt;"",E61:AB61,,,-1)</f>
        <v>15</v>
      </c>
    </row>
    <row r="62" spans="1:30">
      <c r="A62" t="s">
        <v>53</v>
      </c>
      <c r="B62" t="s">
        <v>79</v>
      </c>
      <c r="C62" s="2" t="s">
        <v>85</v>
      </c>
      <c r="D62" s="7" t="s">
        <v>56</v>
      </c>
      <c r="E62" s="1">
        <f t="shared" si="11"/>
        <v>19.8</v>
      </c>
      <c r="F62" s="1">
        <f t="shared" si="11"/>
        <v>19.8</v>
      </c>
      <c r="G62" s="1">
        <f t="shared" si="11"/>
        <v>19.8</v>
      </c>
      <c r="H62" s="1">
        <v>19.8</v>
      </c>
      <c r="I62" s="1">
        <v>19.8</v>
      </c>
      <c r="J62" s="1">
        <v>19.8</v>
      </c>
      <c r="K62" s="1">
        <f t="shared" si="12"/>
        <v>12.5</v>
      </c>
      <c r="L62" s="1">
        <v>12.5</v>
      </c>
      <c r="M62" s="1">
        <v>12.5</v>
      </c>
      <c r="N62" s="1">
        <v>12.5</v>
      </c>
      <c r="O62" s="1">
        <v>12.5</v>
      </c>
      <c r="P62" s="1">
        <v>12.5</v>
      </c>
      <c r="Q62" s="1">
        <v>12.5</v>
      </c>
      <c r="U62" s="1">
        <v>12.5</v>
      </c>
      <c r="AD62" s="5" cm="1">
        <f t="array" ref="AD62">_xlfn.XLOOKUP(TRUE,E62:AB62&lt;&gt;"",E62:AB62,,,-1)</f>
        <v>12.5</v>
      </c>
    </row>
    <row r="63" spans="1:30">
      <c r="A63" t="s">
        <v>53</v>
      </c>
      <c r="B63" t="s">
        <v>86</v>
      </c>
      <c r="C63" s="2" t="s">
        <v>86</v>
      </c>
      <c r="D63" s="7" t="s">
        <v>56</v>
      </c>
      <c r="E63" s="1">
        <f t="shared" si="11"/>
        <v>15</v>
      </c>
      <c r="F63" s="1">
        <f t="shared" si="11"/>
        <v>15</v>
      </c>
      <c r="G63" s="1">
        <f t="shared" si="11"/>
        <v>15</v>
      </c>
      <c r="H63" s="1">
        <v>15</v>
      </c>
      <c r="I63" s="1">
        <v>15</v>
      </c>
      <c r="J63" s="1">
        <v>15</v>
      </c>
      <c r="K63" s="1">
        <f t="shared" si="12"/>
        <v>15</v>
      </c>
      <c r="L63" s="1">
        <v>15</v>
      </c>
      <c r="M63" s="1">
        <v>15</v>
      </c>
      <c r="N63" s="1">
        <v>15</v>
      </c>
      <c r="O63" s="1">
        <v>15</v>
      </c>
      <c r="P63" s="1">
        <v>15</v>
      </c>
      <c r="Q63" s="1">
        <v>15</v>
      </c>
      <c r="U63" s="1">
        <v>15</v>
      </c>
      <c r="AD63" s="5" cm="1">
        <f t="array" ref="AD63">_xlfn.XLOOKUP(TRUE,E63:AB63&lt;&gt;"",E63:AB63,,,-1)</f>
        <v>15</v>
      </c>
    </row>
    <row r="64" spans="1:30">
      <c r="A64" t="s">
        <v>53</v>
      </c>
      <c r="B64" t="s">
        <v>60</v>
      </c>
      <c r="C64" s="2" t="s">
        <v>87</v>
      </c>
      <c r="D64" s="7" t="s">
        <v>56</v>
      </c>
      <c r="E64" s="1">
        <f t="shared" si="11"/>
        <v>13.200000000000001</v>
      </c>
      <c r="F64" s="1">
        <f t="shared" si="11"/>
        <v>13.200000000000001</v>
      </c>
      <c r="G64" s="1">
        <f t="shared" si="11"/>
        <v>13.200000000000001</v>
      </c>
      <c r="H64" s="1">
        <v>13.200000000000001</v>
      </c>
      <c r="I64" s="1">
        <v>13.200000000000001</v>
      </c>
      <c r="J64" s="1">
        <v>13.200000000000001</v>
      </c>
      <c r="K64" s="1">
        <f t="shared" si="12"/>
        <v>5</v>
      </c>
      <c r="L64" s="1">
        <v>5</v>
      </c>
      <c r="M64" s="1">
        <v>5</v>
      </c>
      <c r="N64" s="1">
        <v>5</v>
      </c>
      <c r="O64" s="1">
        <v>5</v>
      </c>
      <c r="P64" s="1">
        <v>5</v>
      </c>
      <c r="Q64" s="1">
        <v>5</v>
      </c>
      <c r="U64" s="1">
        <v>5</v>
      </c>
      <c r="AD64" s="5" cm="1">
        <f t="array" ref="AD64">_xlfn.XLOOKUP(TRUE,E64:AB64&lt;&gt;"",E64:AB64,,,-1)</f>
        <v>5</v>
      </c>
    </row>
    <row r="65" spans="1:30">
      <c r="A65" t="s">
        <v>53</v>
      </c>
      <c r="B65" t="s">
        <v>57</v>
      </c>
      <c r="C65" s="2" t="s">
        <v>88</v>
      </c>
      <c r="D65" s="7">
        <v>0</v>
      </c>
      <c r="E65" s="1">
        <f t="shared" si="11"/>
        <v>0</v>
      </c>
      <c r="F65" s="1">
        <f t="shared" si="11"/>
        <v>0</v>
      </c>
      <c r="G65" s="1">
        <f t="shared" si="11"/>
        <v>0</v>
      </c>
      <c r="H65" s="1">
        <v>0</v>
      </c>
      <c r="I65" s="1">
        <v>0</v>
      </c>
      <c r="J65" s="1">
        <v>0</v>
      </c>
      <c r="K65" s="1">
        <f t="shared" si="12"/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U65" s="1">
        <v>0</v>
      </c>
      <c r="AD65" s="5" cm="1">
        <f t="array" ref="AD65">_xlfn.XLOOKUP(TRUE,E65:AB65&lt;&gt;"",E65:AB65,,,-1)</f>
        <v>0</v>
      </c>
    </row>
    <row r="66" spans="1:30">
      <c r="A66" t="s">
        <v>53</v>
      </c>
      <c r="B66" t="s">
        <v>89</v>
      </c>
      <c r="C66" s="2" t="s">
        <v>89</v>
      </c>
      <c r="D66" s="7" t="s">
        <v>56</v>
      </c>
      <c r="E66" s="1">
        <f t="shared" ref="E66:G129" si="13">F66</f>
        <v>19.8</v>
      </c>
      <c r="F66" s="1">
        <f t="shared" si="13"/>
        <v>19.8</v>
      </c>
      <c r="G66" s="1">
        <f t="shared" si="13"/>
        <v>19.8</v>
      </c>
      <c r="H66" s="1">
        <v>19.8</v>
      </c>
      <c r="I66" s="1">
        <v>19.8</v>
      </c>
      <c r="J66" s="1">
        <v>19.8</v>
      </c>
      <c r="K66" s="1">
        <f t="shared" ref="K66:K129" si="14">L66</f>
        <v>25</v>
      </c>
      <c r="L66" s="1">
        <v>25</v>
      </c>
      <c r="M66" s="1">
        <v>25</v>
      </c>
      <c r="N66" s="1">
        <v>25</v>
      </c>
      <c r="O66" s="1">
        <v>25</v>
      </c>
      <c r="P66" s="1">
        <v>25</v>
      </c>
      <c r="Q66" s="1">
        <v>25</v>
      </c>
      <c r="U66" s="1">
        <v>25</v>
      </c>
      <c r="AD66" s="5" cm="1">
        <f t="array" ref="AD66">_xlfn.XLOOKUP(TRUE,E66:AB66&lt;&gt;"",E66:AB66,,,-1)</f>
        <v>25</v>
      </c>
    </row>
    <row r="67" spans="1:30">
      <c r="A67" t="s">
        <v>90</v>
      </c>
      <c r="B67" t="s">
        <v>90</v>
      </c>
      <c r="C67" s="2" t="s">
        <v>91</v>
      </c>
      <c r="D67" s="7">
        <v>0</v>
      </c>
      <c r="E67" s="1">
        <f t="shared" si="13"/>
        <v>0</v>
      </c>
      <c r="F67" s="1">
        <f t="shared" si="13"/>
        <v>0</v>
      </c>
      <c r="G67" s="1">
        <f t="shared" si="13"/>
        <v>0</v>
      </c>
      <c r="H67" s="1">
        <v>0</v>
      </c>
      <c r="I67" s="1">
        <v>5</v>
      </c>
      <c r="J67" s="1">
        <v>5</v>
      </c>
      <c r="K67" s="1">
        <f t="shared" si="14"/>
        <v>12</v>
      </c>
      <c r="L67" s="1">
        <v>12</v>
      </c>
      <c r="M67" s="1">
        <v>12</v>
      </c>
      <c r="N67" s="1">
        <v>12</v>
      </c>
      <c r="O67" s="1">
        <v>12</v>
      </c>
      <c r="P67" s="1">
        <v>12</v>
      </c>
      <c r="Q67" s="1">
        <v>12</v>
      </c>
      <c r="U67" s="1">
        <v>12</v>
      </c>
      <c r="AD67" s="5" cm="1">
        <f t="array" ref="AD67">_xlfn.XLOOKUP(TRUE,E67:AB67&lt;&gt;"",E67:AB67,,,-1)</f>
        <v>12</v>
      </c>
    </row>
    <row r="68" spans="1:30">
      <c r="A68" t="s">
        <v>90</v>
      </c>
      <c r="B68" t="s">
        <v>90</v>
      </c>
      <c r="C68" s="2" t="s">
        <v>92</v>
      </c>
      <c r="D68" s="7">
        <v>0</v>
      </c>
      <c r="E68" s="1">
        <f t="shared" si="13"/>
        <v>0</v>
      </c>
      <c r="F68" s="1">
        <f t="shared" si="13"/>
        <v>0</v>
      </c>
      <c r="G68" s="1">
        <f t="shared" si="13"/>
        <v>0</v>
      </c>
      <c r="H68" s="1">
        <v>0</v>
      </c>
      <c r="I68" s="1">
        <v>25</v>
      </c>
      <c r="J68" s="1">
        <v>25</v>
      </c>
      <c r="K68" s="1">
        <f t="shared" si="14"/>
        <v>40</v>
      </c>
      <c r="L68" s="1">
        <v>40</v>
      </c>
      <c r="M68" s="1">
        <v>40</v>
      </c>
      <c r="N68" s="1">
        <v>40</v>
      </c>
      <c r="O68" s="1">
        <v>40</v>
      </c>
      <c r="P68" s="1">
        <v>40</v>
      </c>
      <c r="Q68" s="1">
        <v>40</v>
      </c>
      <c r="U68" s="1">
        <v>40</v>
      </c>
      <c r="AD68" s="5" cm="1">
        <f t="array" ref="AD68">_xlfn.XLOOKUP(TRUE,E68:AB68&lt;&gt;"",E68:AB68,,,-1)</f>
        <v>40</v>
      </c>
    </row>
    <row r="69" spans="1:30">
      <c r="A69" t="s">
        <v>90</v>
      </c>
      <c r="B69" t="s">
        <v>90</v>
      </c>
      <c r="C69" s="2" t="s">
        <v>93</v>
      </c>
      <c r="D69" s="7">
        <v>0</v>
      </c>
      <c r="E69" s="1">
        <f t="shared" si="13"/>
        <v>0</v>
      </c>
      <c r="F69" s="1">
        <f t="shared" si="13"/>
        <v>0</v>
      </c>
      <c r="G69" s="1">
        <f t="shared" si="13"/>
        <v>0</v>
      </c>
      <c r="H69" s="1">
        <v>0</v>
      </c>
      <c r="I69" s="1">
        <v>22.2</v>
      </c>
      <c r="J69" s="1">
        <v>22.2</v>
      </c>
      <c r="K69" s="1">
        <f t="shared" si="14"/>
        <v>25</v>
      </c>
      <c r="L69" s="1">
        <v>25</v>
      </c>
      <c r="M69" s="1">
        <v>25</v>
      </c>
      <c r="N69" s="1">
        <v>25</v>
      </c>
      <c r="O69" s="1">
        <v>25</v>
      </c>
      <c r="P69" s="1">
        <v>25</v>
      </c>
      <c r="Q69" s="1">
        <v>25</v>
      </c>
      <c r="U69" s="1">
        <v>25</v>
      </c>
      <c r="AD69" s="5" cm="1">
        <f t="array" ref="AD69">_xlfn.XLOOKUP(TRUE,E69:AB69&lt;&gt;"",E69:AB69,,,-1)</f>
        <v>25</v>
      </c>
    </row>
    <row r="70" spans="1:30">
      <c r="A70" t="s">
        <v>90</v>
      </c>
      <c r="B70" t="s">
        <v>90</v>
      </c>
      <c r="C70" s="2" t="s">
        <v>94</v>
      </c>
      <c r="D70" s="7">
        <v>0</v>
      </c>
      <c r="E70" s="1">
        <f t="shared" si="13"/>
        <v>0</v>
      </c>
      <c r="F70" s="1">
        <f t="shared" si="13"/>
        <v>0</v>
      </c>
      <c r="G70" s="1">
        <f t="shared" si="13"/>
        <v>0</v>
      </c>
      <c r="H70" s="1">
        <v>0</v>
      </c>
      <c r="I70" s="1">
        <v>0</v>
      </c>
      <c r="J70" s="1">
        <v>21</v>
      </c>
      <c r="K70" s="1">
        <f t="shared" si="14"/>
        <v>25</v>
      </c>
      <c r="L70" s="1">
        <v>25</v>
      </c>
      <c r="M70" s="1">
        <v>25</v>
      </c>
      <c r="N70" s="1">
        <v>25</v>
      </c>
      <c r="O70" s="1">
        <v>25</v>
      </c>
      <c r="P70" s="1">
        <v>25</v>
      </c>
      <c r="Q70" s="1">
        <v>25</v>
      </c>
      <c r="U70" s="1">
        <v>25</v>
      </c>
      <c r="AD70" s="5" cm="1">
        <f t="array" ref="AD70">_xlfn.XLOOKUP(TRUE,E70:AB70&lt;&gt;"",E70:AB70,,,-1)</f>
        <v>25</v>
      </c>
    </row>
    <row r="71" spans="1:30">
      <c r="A71" t="s">
        <v>90</v>
      </c>
      <c r="B71" t="s">
        <v>90</v>
      </c>
      <c r="C71" s="2" t="s">
        <v>95</v>
      </c>
      <c r="D71" s="7">
        <v>0</v>
      </c>
      <c r="E71" s="1">
        <f t="shared" si="13"/>
        <v>0</v>
      </c>
      <c r="F71" s="1">
        <f t="shared" si="13"/>
        <v>0</v>
      </c>
      <c r="G71" s="1">
        <f t="shared" si="13"/>
        <v>0</v>
      </c>
      <c r="H71" s="1">
        <v>0</v>
      </c>
      <c r="I71" s="1">
        <v>0</v>
      </c>
      <c r="J71" s="1">
        <v>0</v>
      </c>
      <c r="K71" s="1">
        <f t="shared" si="14"/>
        <v>25</v>
      </c>
      <c r="L71" s="1">
        <v>25</v>
      </c>
      <c r="M71" s="1">
        <v>25</v>
      </c>
      <c r="N71" s="1">
        <v>25</v>
      </c>
      <c r="O71" s="1">
        <v>25</v>
      </c>
      <c r="P71" s="1">
        <v>25</v>
      </c>
      <c r="Q71" s="1">
        <v>25</v>
      </c>
      <c r="U71" s="1">
        <v>25</v>
      </c>
      <c r="AD71" s="5" cm="1">
        <f t="array" ref="AD71">_xlfn.XLOOKUP(TRUE,E71:AB71&lt;&gt;"",E71:AB71,,,-1)</f>
        <v>25</v>
      </c>
    </row>
    <row r="72" spans="1:30">
      <c r="A72" t="s">
        <v>96</v>
      </c>
      <c r="B72" t="s">
        <v>97</v>
      </c>
      <c r="C72" s="2" t="s">
        <v>98</v>
      </c>
      <c r="D72" s="7">
        <v>0</v>
      </c>
      <c r="E72" s="1">
        <f t="shared" si="13"/>
        <v>0</v>
      </c>
      <c r="F72" s="1">
        <f t="shared" si="13"/>
        <v>0</v>
      </c>
      <c r="G72" s="1">
        <f t="shared" si="13"/>
        <v>0</v>
      </c>
      <c r="H72" s="1">
        <v>0</v>
      </c>
      <c r="I72" s="1">
        <v>0</v>
      </c>
      <c r="J72" s="1">
        <v>25</v>
      </c>
      <c r="K72" s="1">
        <f t="shared" si="14"/>
        <v>25</v>
      </c>
      <c r="L72" s="1">
        <v>25</v>
      </c>
      <c r="M72" s="1">
        <v>25</v>
      </c>
      <c r="N72" s="1">
        <v>25</v>
      </c>
      <c r="O72" s="1">
        <v>25</v>
      </c>
      <c r="P72" s="1">
        <v>25</v>
      </c>
      <c r="Q72" s="1">
        <v>25</v>
      </c>
      <c r="U72" s="1">
        <v>25</v>
      </c>
      <c r="AD72" s="5" cm="1">
        <f t="array" ref="AD72">_xlfn.XLOOKUP(TRUE,E72:AB72&lt;&gt;"",E72:AB72,,,-1)</f>
        <v>25</v>
      </c>
    </row>
    <row r="73" spans="1:30">
      <c r="A73" t="s">
        <v>96</v>
      </c>
      <c r="B73" t="s">
        <v>96</v>
      </c>
      <c r="C73" s="2" t="s">
        <v>99</v>
      </c>
      <c r="D73" s="7">
        <v>0</v>
      </c>
      <c r="E73" s="1">
        <f t="shared" si="13"/>
        <v>0</v>
      </c>
      <c r="F73" s="1">
        <f t="shared" si="13"/>
        <v>0</v>
      </c>
      <c r="G73" s="1">
        <f t="shared" si="13"/>
        <v>0</v>
      </c>
      <c r="H73" s="1">
        <v>0</v>
      </c>
      <c r="I73" s="1">
        <v>0</v>
      </c>
      <c r="J73" s="1">
        <v>0</v>
      </c>
      <c r="K73" s="1">
        <f t="shared" si="14"/>
        <v>5</v>
      </c>
      <c r="L73" s="1">
        <v>5</v>
      </c>
      <c r="M73" s="1">
        <v>5</v>
      </c>
      <c r="N73" s="1">
        <v>5</v>
      </c>
      <c r="O73" s="1">
        <v>5</v>
      </c>
      <c r="P73" s="1">
        <v>5</v>
      </c>
      <c r="Q73" s="1">
        <v>5</v>
      </c>
      <c r="U73" s="1">
        <v>5</v>
      </c>
      <c r="AD73" s="5" cm="1">
        <f t="array" ref="AD73">_xlfn.XLOOKUP(TRUE,E73:AB73&lt;&gt;"",E73:AB73,,,-1)</f>
        <v>5</v>
      </c>
    </row>
    <row r="74" spans="1:30">
      <c r="A74" t="s">
        <v>100</v>
      </c>
      <c r="B74" t="s">
        <v>100</v>
      </c>
      <c r="C74" s="2" t="s">
        <v>101</v>
      </c>
      <c r="D74" s="7">
        <v>0</v>
      </c>
      <c r="E74" s="1">
        <f t="shared" si="13"/>
        <v>12</v>
      </c>
      <c r="F74" s="1">
        <f t="shared" si="13"/>
        <v>12</v>
      </c>
      <c r="G74" s="1">
        <f t="shared" si="13"/>
        <v>12</v>
      </c>
      <c r="H74" s="1">
        <v>12</v>
      </c>
      <c r="I74" s="1">
        <v>12</v>
      </c>
      <c r="J74" s="1">
        <v>12</v>
      </c>
      <c r="K74" s="1">
        <f t="shared" si="14"/>
        <v>15</v>
      </c>
      <c r="L74" s="1">
        <v>15</v>
      </c>
      <c r="M74" s="1">
        <v>15</v>
      </c>
      <c r="N74" s="1">
        <v>15</v>
      </c>
      <c r="O74" s="1">
        <v>15</v>
      </c>
      <c r="P74" s="1">
        <v>15</v>
      </c>
      <c r="Q74" s="1">
        <v>15</v>
      </c>
      <c r="U74" s="1">
        <v>15</v>
      </c>
      <c r="AD74" s="5" cm="1">
        <f t="array" ref="AD74">_xlfn.XLOOKUP(TRUE,E74:AB74&lt;&gt;"",E74:AB74,,,-1)</f>
        <v>15</v>
      </c>
    </row>
    <row r="75" spans="1:30">
      <c r="A75" t="s">
        <v>100</v>
      </c>
      <c r="B75" t="s">
        <v>100</v>
      </c>
      <c r="C75" s="2" t="s">
        <v>102</v>
      </c>
      <c r="D75" s="7">
        <v>0</v>
      </c>
      <c r="E75" s="1">
        <f t="shared" si="13"/>
        <v>24</v>
      </c>
      <c r="F75" s="1">
        <f t="shared" si="13"/>
        <v>24</v>
      </c>
      <c r="G75" s="1">
        <f t="shared" si="13"/>
        <v>24</v>
      </c>
      <c r="H75" s="1">
        <v>24</v>
      </c>
      <c r="I75" s="1">
        <v>24</v>
      </c>
      <c r="J75" s="1">
        <v>24</v>
      </c>
      <c r="K75" s="1">
        <f t="shared" si="14"/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U75" s="1">
        <v>0</v>
      </c>
      <c r="AD75" s="5" cm="1">
        <f t="array" ref="AD75">_xlfn.XLOOKUP(TRUE,E75:AB75&lt;&gt;"",E75:AB75,,,-1)</f>
        <v>0</v>
      </c>
    </row>
    <row r="76" spans="1:30">
      <c r="A76" t="s">
        <v>100</v>
      </c>
      <c r="B76" t="s">
        <v>100</v>
      </c>
      <c r="C76" s="2" t="s">
        <v>103</v>
      </c>
      <c r="D76" s="7">
        <v>0</v>
      </c>
      <c r="E76" s="1">
        <f t="shared" si="13"/>
        <v>8</v>
      </c>
      <c r="F76" s="1">
        <f t="shared" si="13"/>
        <v>8</v>
      </c>
      <c r="G76" s="1">
        <f t="shared" si="13"/>
        <v>8</v>
      </c>
      <c r="H76" s="1">
        <v>8</v>
      </c>
      <c r="I76" s="1">
        <v>8</v>
      </c>
      <c r="J76" s="1">
        <v>8</v>
      </c>
      <c r="K76" s="1">
        <f t="shared" si="14"/>
        <v>5</v>
      </c>
      <c r="L76" s="1">
        <v>5</v>
      </c>
      <c r="M76" s="1">
        <v>5</v>
      </c>
      <c r="N76" s="1">
        <v>5</v>
      </c>
      <c r="O76" s="1">
        <v>5</v>
      </c>
      <c r="P76" s="1">
        <v>5</v>
      </c>
      <c r="Q76" s="1">
        <v>5</v>
      </c>
      <c r="U76" s="1">
        <v>5</v>
      </c>
      <c r="AD76" s="5" cm="1">
        <f t="array" ref="AD76">_xlfn.XLOOKUP(TRUE,E76:AB76&lt;&gt;"",E76:AB76,,,-1)</f>
        <v>5</v>
      </c>
    </row>
    <row r="77" spans="1:30">
      <c r="A77" t="s">
        <v>100</v>
      </c>
      <c r="B77" t="s">
        <v>100</v>
      </c>
      <c r="C77" s="2" t="s">
        <v>104</v>
      </c>
      <c r="D77" s="7">
        <v>0</v>
      </c>
      <c r="E77" s="1">
        <f t="shared" si="13"/>
        <v>48</v>
      </c>
      <c r="F77" s="1">
        <f t="shared" si="13"/>
        <v>48</v>
      </c>
      <c r="G77" s="1">
        <f t="shared" si="13"/>
        <v>48</v>
      </c>
      <c r="H77" s="1">
        <v>48</v>
      </c>
      <c r="I77" s="1">
        <v>48</v>
      </c>
      <c r="J77" s="1">
        <v>48</v>
      </c>
      <c r="K77" s="1">
        <f t="shared" si="14"/>
        <v>24</v>
      </c>
      <c r="L77" s="1">
        <v>24</v>
      </c>
      <c r="M77" s="1">
        <v>24</v>
      </c>
      <c r="N77" s="1">
        <v>24</v>
      </c>
      <c r="O77" s="1">
        <v>24</v>
      </c>
      <c r="P77" s="1">
        <v>24</v>
      </c>
      <c r="Q77" s="1">
        <v>24</v>
      </c>
      <c r="U77" s="1">
        <v>24</v>
      </c>
      <c r="AD77" s="5" cm="1">
        <f t="array" ref="AD77">_xlfn.XLOOKUP(TRUE,E77:AB77&lt;&gt;"",E77:AB77,,,-1)</f>
        <v>24</v>
      </c>
    </row>
    <row r="78" spans="1:30">
      <c r="A78" t="s">
        <v>100</v>
      </c>
      <c r="B78" t="s">
        <v>100</v>
      </c>
      <c r="C78" s="2" t="s">
        <v>105</v>
      </c>
      <c r="D78" s="7">
        <v>0</v>
      </c>
      <c r="E78" s="1">
        <f t="shared" si="13"/>
        <v>6</v>
      </c>
      <c r="F78" s="1">
        <f t="shared" si="13"/>
        <v>6</v>
      </c>
      <c r="G78" s="1">
        <f t="shared" si="13"/>
        <v>6</v>
      </c>
      <c r="H78" s="1">
        <v>6</v>
      </c>
      <c r="I78" s="1">
        <v>6</v>
      </c>
      <c r="J78" s="1">
        <v>6</v>
      </c>
      <c r="K78" s="1">
        <f t="shared" si="14"/>
        <v>2.5</v>
      </c>
      <c r="L78" s="1">
        <v>2.5</v>
      </c>
      <c r="M78" s="1">
        <v>2.5</v>
      </c>
      <c r="N78" s="1">
        <v>2.5</v>
      </c>
      <c r="O78" s="1">
        <v>2.5</v>
      </c>
      <c r="P78" s="1">
        <v>2.5</v>
      </c>
      <c r="Q78" s="1">
        <v>2.5</v>
      </c>
      <c r="U78" s="1">
        <v>2.5</v>
      </c>
      <c r="AD78" s="5" cm="1">
        <f t="array" ref="AD78">_xlfn.XLOOKUP(TRUE,E78:AB78&lt;&gt;"",E78:AB78,,,-1)</f>
        <v>2.5</v>
      </c>
    </row>
    <row r="79" spans="1:30">
      <c r="A79" t="s">
        <v>100</v>
      </c>
      <c r="B79" t="s">
        <v>100</v>
      </c>
      <c r="C79" s="2" t="s">
        <v>106</v>
      </c>
      <c r="D79" s="7">
        <v>0</v>
      </c>
      <c r="E79" s="1">
        <f t="shared" si="13"/>
        <v>8</v>
      </c>
      <c r="F79" s="1">
        <f t="shared" si="13"/>
        <v>8</v>
      </c>
      <c r="G79" s="1">
        <f t="shared" si="13"/>
        <v>8</v>
      </c>
      <c r="H79" s="1">
        <v>8</v>
      </c>
      <c r="I79" s="1">
        <v>8</v>
      </c>
      <c r="J79" s="1">
        <v>8</v>
      </c>
      <c r="K79" s="1">
        <f t="shared" si="14"/>
        <v>5</v>
      </c>
      <c r="L79" s="1">
        <v>5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U79" s="1">
        <v>5</v>
      </c>
      <c r="AD79" s="5" cm="1">
        <f t="array" ref="AD79">_xlfn.XLOOKUP(TRUE,E79:AB79&lt;&gt;"",E79:AB79,,,-1)</f>
        <v>5</v>
      </c>
    </row>
    <row r="80" spans="1:30">
      <c r="A80" t="s">
        <v>100</v>
      </c>
      <c r="B80" t="s">
        <v>100</v>
      </c>
      <c r="C80" s="2" t="s">
        <v>107</v>
      </c>
      <c r="D80" s="7">
        <v>0</v>
      </c>
      <c r="E80" s="1">
        <f t="shared" si="13"/>
        <v>18</v>
      </c>
      <c r="F80" s="1">
        <f t="shared" si="13"/>
        <v>18</v>
      </c>
      <c r="G80" s="1">
        <f t="shared" si="13"/>
        <v>18</v>
      </c>
      <c r="H80" s="1">
        <v>18</v>
      </c>
      <c r="I80" s="1">
        <v>18</v>
      </c>
      <c r="J80" s="1">
        <v>18</v>
      </c>
      <c r="K80" s="1">
        <f t="shared" si="14"/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U80" s="1">
        <v>0</v>
      </c>
      <c r="AD80" s="5" cm="1">
        <f t="array" ref="AD80">_xlfn.XLOOKUP(TRUE,E80:AB80&lt;&gt;"",E80:AB80,,,-1)</f>
        <v>0</v>
      </c>
    </row>
    <row r="81" spans="1:30">
      <c r="A81" t="s">
        <v>100</v>
      </c>
      <c r="B81" t="s">
        <v>100</v>
      </c>
      <c r="C81" s="2" t="s">
        <v>108</v>
      </c>
      <c r="D81" s="7">
        <v>0</v>
      </c>
      <c r="E81" s="1">
        <f t="shared" si="13"/>
        <v>24</v>
      </c>
      <c r="F81" s="1">
        <f t="shared" si="13"/>
        <v>24</v>
      </c>
      <c r="G81" s="1">
        <f t="shared" si="13"/>
        <v>24</v>
      </c>
      <c r="H81" s="1">
        <v>24</v>
      </c>
      <c r="I81" s="1">
        <v>24</v>
      </c>
      <c r="J81" s="1">
        <v>24</v>
      </c>
      <c r="K81" s="1">
        <f t="shared" si="14"/>
        <v>24</v>
      </c>
      <c r="L81" s="1">
        <v>24</v>
      </c>
      <c r="M81" s="1">
        <v>24</v>
      </c>
      <c r="N81" s="1">
        <v>24</v>
      </c>
      <c r="O81" s="1">
        <v>24</v>
      </c>
      <c r="P81" s="1">
        <v>24</v>
      </c>
      <c r="Q81" s="1">
        <v>24</v>
      </c>
      <c r="U81" s="1">
        <v>24</v>
      </c>
      <c r="AD81" s="5" cm="1">
        <f t="array" ref="AD81">_xlfn.XLOOKUP(TRUE,E81:AB81&lt;&gt;"",E81:AB81,,,-1)</f>
        <v>24</v>
      </c>
    </row>
    <row r="82" spans="1:30">
      <c r="A82" t="s">
        <v>100</v>
      </c>
      <c r="B82" t="s">
        <v>100</v>
      </c>
      <c r="C82" s="2" t="s">
        <v>109</v>
      </c>
      <c r="D82" s="7">
        <v>0</v>
      </c>
      <c r="E82" s="1">
        <f t="shared" si="13"/>
        <v>12</v>
      </c>
      <c r="F82" s="1">
        <f t="shared" si="13"/>
        <v>12</v>
      </c>
      <c r="G82" s="1">
        <f t="shared" si="13"/>
        <v>12</v>
      </c>
      <c r="H82" s="1">
        <v>12</v>
      </c>
      <c r="I82" s="1">
        <v>12</v>
      </c>
      <c r="J82" s="1">
        <v>12</v>
      </c>
      <c r="K82" s="1">
        <f t="shared" si="14"/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U82" s="1">
        <v>0</v>
      </c>
      <c r="AD82" s="5" cm="1">
        <f t="array" ref="AD82">_xlfn.XLOOKUP(TRUE,E82:AB82&lt;&gt;"",E82:AB82,,,-1)</f>
        <v>0</v>
      </c>
    </row>
    <row r="83" spans="1:30">
      <c r="A83" t="s">
        <v>100</v>
      </c>
      <c r="B83" t="s">
        <v>100</v>
      </c>
      <c r="C83" s="2" t="s">
        <v>110</v>
      </c>
      <c r="D83" s="7">
        <v>0</v>
      </c>
      <c r="E83" s="1">
        <f t="shared" si="13"/>
        <v>8</v>
      </c>
      <c r="F83" s="1">
        <f t="shared" si="13"/>
        <v>8</v>
      </c>
      <c r="G83" s="1">
        <f t="shared" si="13"/>
        <v>8</v>
      </c>
      <c r="H83" s="1">
        <v>8</v>
      </c>
      <c r="I83" s="1">
        <v>8</v>
      </c>
      <c r="J83" s="1">
        <v>8</v>
      </c>
      <c r="K83" s="1">
        <f t="shared" si="14"/>
        <v>5</v>
      </c>
      <c r="L83" s="1">
        <v>5</v>
      </c>
      <c r="M83" s="1">
        <v>5</v>
      </c>
      <c r="N83" s="1">
        <v>5</v>
      </c>
      <c r="O83" s="1">
        <v>5</v>
      </c>
      <c r="P83" s="1">
        <v>5</v>
      </c>
      <c r="Q83" s="1">
        <v>5</v>
      </c>
      <c r="U83" s="1">
        <v>5</v>
      </c>
      <c r="AD83" s="5" cm="1">
        <f t="array" ref="AD83">_xlfn.XLOOKUP(TRUE,E83:AB83&lt;&gt;"",E83:AB83,,,-1)</f>
        <v>5</v>
      </c>
    </row>
    <row r="84" spans="1:30">
      <c r="A84" t="s">
        <v>100</v>
      </c>
      <c r="B84" t="s">
        <v>100</v>
      </c>
      <c r="C84" s="2" t="s">
        <v>111</v>
      </c>
      <c r="D84" s="7">
        <v>0</v>
      </c>
      <c r="E84" s="1">
        <f t="shared" si="13"/>
        <v>8</v>
      </c>
      <c r="F84" s="1">
        <f t="shared" si="13"/>
        <v>8</v>
      </c>
      <c r="G84" s="1">
        <f t="shared" si="13"/>
        <v>8</v>
      </c>
      <c r="H84" s="1">
        <v>8</v>
      </c>
      <c r="I84" s="1">
        <v>8</v>
      </c>
      <c r="J84" s="1">
        <v>8</v>
      </c>
      <c r="K84" s="1">
        <f t="shared" si="14"/>
        <v>5</v>
      </c>
      <c r="L84" s="1">
        <v>5</v>
      </c>
      <c r="M84" s="1">
        <v>5</v>
      </c>
      <c r="N84" s="1">
        <v>5</v>
      </c>
      <c r="O84" s="1">
        <v>5</v>
      </c>
      <c r="P84" s="1">
        <v>5</v>
      </c>
      <c r="Q84" s="1">
        <v>5</v>
      </c>
      <c r="U84" s="1">
        <v>5</v>
      </c>
      <c r="AD84" s="5" cm="1">
        <f t="array" ref="AD84">_xlfn.XLOOKUP(TRUE,E84:AB84&lt;&gt;"",E84:AB84,,,-1)</f>
        <v>5</v>
      </c>
    </row>
    <row r="85" spans="1:30">
      <c r="A85" t="s">
        <v>100</v>
      </c>
      <c r="B85" t="s">
        <v>100</v>
      </c>
      <c r="C85" s="2" t="s">
        <v>112</v>
      </c>
      <c r="D85" s="7">
        <v>0</v>
      </c>
      <c r="E85" s="1">
        <f t="shared" si="13"/>
        <v>8</v>
      </c>
      <c r="F85" s="1">
        <f t="shared" si="13"/>
        <v>8</v>
      </c>
      <c r="G85" s="1">
        <f t="shared" si="13"/>
        <v>8</v>
      </c>
      <c r="H85" s="1">
        <v>8</v>
      </c>
      <c r="I85" s="1">
        <v>8</v>
      </c>
      <c r="J85" s="1">
        <v>8</v>
      </c>
      <c r="K85" s="1">
        <f t="shared" si="14"/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U85" s="1">
        <v>0</v>
      </c>
      <c r="AD85" s="5" cm="1">
        <f t="array" ref="AD85">_xlfn.XLOOKUP(TRUE,E85:AB85&lt;&gt;"",E85:AB85,,,-1)</f>
        <v>0</v>
      </c>
    </row>
    <row r="86" spans="1:30">
      <c r="A86" t="s">
        <v>100</v>
      </c>
      <c r="B86" t="s">
        <v>100</v>
      </c>
      <c r="C86" s="2" t="s">
        <v>113</v>
      </c>
      <c r="D86" s="7">
        <v>0</v>
      </c>
      <c r="E86" s="1">
        <f t="shared" si="13"/>
        <v>12</v>
      </c>
      <c r="F86" s="1">
        <f t="shared" si="13"/>
        <v>12</v>
      </c>
      <c r="G86" s="1">
        <f t="shared" si="13"/>
        <v>12</v>
      </c>
      <c r="H86" s="1">
        <v>12</v>
      </c>
      <c r="I86" s="1">
        <v>12</v>
      </c>
      <c r="J86" s="1">
        <v>12</v>
      </c>
      <c r="K86" s="1">
        <f t="shared" si="14"/>
        <v>8</v>
      </c>
      <c r="L86" s="1">
        <v>8</v>
      </c>
      <c r="M86" s="1">
        <v>8</v>
      </c>
      <c r="N86" s="1">
        <v>8</v>
      </c>
      <c r="O86" s="1">
        <v>8</v>
      </c>
      <c r="P86" s="1">
        <v>8</v>
      </c>
      <c r="Q86" s="1">
        <v>8</v>
      </c>
      <c r="U86" s="1">
        <v>8</v>
      </c>
      <c r="AD86" s="5" cm="1">
        <f t="array" ref="AD86">_xlfn.XLOOKUP(TRUE,E86:AB86&lt;&gt;"",E86:AB86,,,-1)</f>
        <v>8</v>
      </c>
    </row>
    <row r="87" spans="1:30">
      <c r="A87" t="s">
        <v>100</v>
      </c>
      <c r="B87" t="s">
        <v>100</v>
      </c>
      <c r="C87" s="2" t="s">
        <v>114</v>
      </c>
      <c r="D87" s="7">
        <v>0</v>
      </c>
      <c r="E87" s="1">
        <f t="shared" si="13"/>
        <v>24</v>
      </c>
      <c r="F87" s="1">
        <f t="shared" si="13"/>
        <v>24</v>
      </c>
      <c r="G87" s="1">
        <f t="shared" si="13"/>
        <v>24</v>
      </c>
      <c r="H87" s="1">
        <v>24</v>
      </c>
      <c r="I87" s="1">
        <v>24</v>
      </c>
      <c r="J87" s="1">
        <v>24</v>
      </c>
      <c r="K87" s="1">
        <f t="shared" si="14"/>
        <v>24</v>
      </c>
      <c r="L87" s="1">
        <v>24</v>
      </c>
      <c r="M87" s="1">
        <v>24</v>
      </c>
      <c r="N87" s="1">
        <v>24</v>
      </c>
      <c r="O87" s="1">
        <v>24</v>
      </c>
      <c r="P87" s="1">
        <v>24</v>
      </c>
      <c r="Q87" s="1">
        <v>24</v>
      </c>
      <c r="U87" s="1">
        <v>24</v>
      </c>
      <c r="AD87" s="5" cm="1">
        <f t="array" ref="AD87">_xlfn.XLOOKUP(TRUE,E87:AB87&lt;&gt;"",E87:AB87,,,-1)</f>
        <v>24</v>
      </c>
    </row>
    <row r="88" spans="1:30">
      <c r="A88" t="s">
        <v>100</v>
      </c>
      <c r="B88" t="s">
        <v>100</v>
      </c>
      <c r="C88" s="2" t="s">
        <v>115</v>
      </c>
      <c r="D88" s="7">
        <v>0</v>
      </c>
      <c r="E88" s="1">
        <f t="shared" si="13"/>
        <v>8</v>
      </c>
      <c r="F88" s="1">
        <f t="shared" si="13"/>
        <v>8</v>
      </c>
      <c r="G88" s="1">
        <f t="shared" si="13"/>
        <v>8</v>
      </c>
      <c r="H88" s="1">
        <v>8</v>
      </c>
      <c r="I88" s="1">
        <v>8</v>
      </c>
      <c r="J88" s="1">
        <v>8</v>
      </c>
      <c r="K88" s="1">
        <f t="shared" si="14"/>
        <v>5</v>
      </c>
      <c r="L88" s="1">
        <v>5</v>
      </c>
      <c r="M88" s="1">
        <v>5</v>
      </c>
      <c r="N88" s="1">
        <v>5</v>
      </c>
      <c r="O88" s="1">
        <v>5</v>
      </c>
      <c r="P88" s="1">
        <v>5</v>
      </c>
      <c r="Q88" s="1">
        <v>5</v>
      </c>
      <c r="U88" s="1">
        <v>5</v>
      </c>
      <c r="AD88" s="5" cm="1">
        <f t="array" ref="AD88">_xlfn.XLOOKUP(TRUE,E88:AB88&lt;&gt;"",E88:AB88,,,-1)</f>
        <v>5</v>
      </c>
    </row>
    <row r="89" spans="1:30">
      <c r="A89" t="s">
        <v>100</v>
      </c>
      <c r="B89" t="s">
        <v>100</v>
      </c>
      <c r="C89" s="2" t="s">
        <v>116</v>
      </c>
      <c r="D89" s="7">
        <v>0</v>
      </c>
      <c r="E89" s="1">
        <f t="shared" si="13"/>
        <v>8</v>
      </c>
      <c r="F89" s="1">
        <f t="shared" si="13"/>
        <v>8</v>
      </c>
      <c r="G89" s="1">
        <f t="shared" si="13"/>
        <v>8</v>
      </c>
      <c r="H89" s="1">
        <v>8</v>
      </c>
      <c r="I89" s="1">
        <v>8</v>
      </c>
      <c r="J89" s="1">
        <v>8</v>
      </c>
      <c r="K89" s="1">
        <f t="shared" si="14"/>
        <v>5</v>
      </c>
      <c r="L89" s="1">
        <v>5</v>
      </c>
      <c r="M89" s="1">
        <v>5</v>
      </c>
      <c r="N89" s="1">
        <v>5</v>
      </c>
      <c r="O89" s="1">
        <v>5</v>
      </c>
      <c r="P89" s="1">
        <v>5</v>
      </c>
      <c r="Q89" s="1">
        <v>5</v>
      </c>
      <c r="U89" s="1">
        <v>5</v>
      </c>
      <c r="AD89" s="5" cm="1">
        <f t="array" ref="AD89">_xlfn.XLOOKUP(TRUE,E89:AB89&lt;&gt;"",E89:AB89,,,-1)</f>
        <v>5</v>
      </c>
    </row>
    <row r="90" spans="1:30">
      <c r="A90" t="s">
        <v>100</v>
      </c>
      <c r="B90" t="s">
        <v>100</v>
      </c>
      <c r="C90" s="2" t="s">
        <v>117</v>
      </c>
      <c r="D90" s="7">
        <v>0</v>
      </c>
      <c r="E90" s="1">
        <f t="shared" si="13"/>
        <v>24</v>
      </c>
      <c r="F90" s="1">
        <f t="shared" si="13"/>
        <v>24</v>
      </c>
      <c r="G90" s="1">
        <f t="shared" si="13"/>
        <v>24</v>
      </c>
      <c r="H90" s="1">
        <v>24</v>
      </c>
      <c r="I90" s="1">
        <v>24</v>
      </c>
      <c r="J90" s="1">
        <v>24</v>
      </c>
      <c r="K90" s="1">
        <f t="shared" si="14"/>
        <v>15</v>
      </c>
      <c r="L90" s="1">
        <v>15</v>
      </c>
      <c r="M90" s="1">
        <v>15</v>
      </c>
      <c r="N90" s="1">
        <v>15</v>
      </c>
      <c r="O90" s="1">
        <v>15</v>
      </c>
      <c r="P90" s="1">
        <v>15</v>
      </c>
      <c r="Q90" s="1">
        <v>15</v>
      </c>
      <c r="U90" s="1">
        <v>15</v>
      </c>
      <c r="AD90" s="5" cm="1">
        <f t="array" ref="AD90">_xlfn.XLOOKUP(TRUE,E90:AB90&lt;&gt;"",E90:AB90,,,-1)</f>
        <v>15</v>
      </c>
    </row>
    <row r="91" spans="1:30">
      <c r="A91" t="s">
        <v>100</v>
      </c>
      <c r="B91" t="s">
        <v>100</v>
      </c>
      <c r="C91" s="2" t="s">
        <v>118</v>
      </c>
      <c r="D91" s="7">
        <v>0</v>
      </c>
      <c r="E91" s="1">
        <f t="shared" si="13"/>
        <v>8</v>
      </c>
      <c r="F91" s="1">
        <f t="shared" si="13"/>
        <v>8</v>
      </c>
      <c r="G91" s="1">
        <f t="shared" si="13"/>
        <v>8</v>
      </c>
      <c r="H91" s="1">
        <v>8</v>
      </c>
      <c r="I91" s="1">
        <v>8</v>
      </c>
      <c r="J91" s="1">
        <v>8</v>
      </c>
      <c r="K91" s="1">
        <f t="shared" si="14"/>
        <v>10</v>
      </c>
      <c r="L91" s="1">
        <v>10</v>
      </c>
      <c r="M91" s="1">
        <v>10</v>
      </c>
      <c r="N91" s="1">
        <v>10</v>
      </c>
      <c r="O91" s="1">
        <v>10</v>
      </c>
      <c r="P91" s="1">
        <v>10</v>
      </c>
      <c r="Q91" s="1">
        <v>10</v>
      </c>
      <c r="U91" s="1">
        <v>10</v>
      </c>
      <c r="AD91" s="5" cm="1">
        <f t="array" ref="AD91">_xlfn.XLOOKUP(TRUE,E91:AB91&lt;&gt;"",E91:AB91,,,-1)</f>
        <v>10</v>
      </c>
    </row>
    <row r="92" spans="1:30">
      <c r="A92" t="s">
        <v>100</v>
      </c>
      <c r="B92" t="s">
        <v>100</v>
      </c>
      <c r="C92" s="2" t="s">
        <v>119</v>
      </c>
      <c r="D92" s="7">
        <v>0</v>
      </c>
      <c r="E92" s="1">
        <f t="shared" si="13"/>
        <v>8</v>
      </c>
      <c r="F92" s="1">
        <f t="shared" si="13"/>
        <v>8</v>
      </c>
      <c r="G92" s="1">
        <f t="shared" si="13"/>
        <v>8</v>
      </c>
      <c r="H92" s="1">
        <v>8</v>
      </c>
      <c r="I92" s="1">
        <v>8</v>
      </c>
      <c r="J92" s="1">
        <v>8</v>
      </c>
      <c r="K92" s="1">
        <f t="shared" si="14"/>
        <v>15</v>
      </c>
      <c r="L92" s="1">
        <v>15</v>
      </c>
      <c r="M92" s="1">
        <v>15</v>
      </c>
      <c r="N92" s="1">
        <v>15</v>
      </c>
      <c r="O92" s="1">
        <v>15</v>
      </c>
      <c r="P92" s="1">
        <v>15</v>
      </c>
      <c r="Q92" s="1">
        <v>15</v>
      </c>
      <c r="U92" s="1">
        <v>15</v>
      </c>
      <c r="AD92" s="5" cm="1">
        <f t="array" ref="AD92">_xlfn.XLOOKUP(TRUE,E92:AB92&lt;&gt;"",E92:AB92,,,-1)</f>
        <v>15</v>
      </c>
    </row>
    <row r="93" spans="1:30">
      <c r="A93" t="s">
        <v>100</v>
      </c>
      <c r="B93" t="s">
        <v>100</v>
      </c>
      <c r="C93" s="2" t="s">
        <v>120</v>
      </c>
      <c r="D93" s="7">
        <v>0</v>
      </c>
      <c r="E93" s="1">
        <f t="shared" si="13"/>
        <v>14</v>
      </c>
      <c r="F93" s="1">
        <f t="shared" si="13"/>
        <v>14</v>
      </c>
      <c r="G93" s="1">
        <f t="shared" si="13"/>
        <v>14</v>
      </c>
      <c r="H93" s="1">
        <v>14</v>
      </c>
      <c r="I93" s="1">
        <v>14</v>
      </c>
      <c r="J93" s="1">
        <v>14</v>
      </c>
      <c r="K93" s="1">
        <f t="shared" si="14"/>
        <v>20</v>
      </c>
      <c r="L93" s="1">
        <v>20</v>
      </c>
      <c r="M93" s="1">
        <v>20</v>
      </c>
      <c r="N93" s="1">
        <v>20</v>
      </c>
      <c r="O93" s="1">
        <v>20</v>
      </c>
      <c r="P93" s="1">
        <v>20</v>
      </c>
      <c r="Q93" s="1">
        <v>20</v>
      </c>
      <c r="U93" s="1">
        <v>20</v>
      </c>
      <c r="AD93" s="5" cm="1">
        <f t="array" ref="AD93">_xlfn.XLOOKUP(TRUE,E93:AB93&lt;&gt;"",E93:AB93,,,-1)</f>
        <v>20</v>
      </c>
    </row>
    <row r="94" spans="1:30">
      <c r="A94" t="s">
        <v>100</v>
      </c>
      <c r="B94" t="s">
        <v>100</v>
      </c>
      <c r="C94" s="2" t="s">
        <v>121</v>
      </c>
      <c r="D94" s="7">
        <v>0</v>
      </c>
      <c r="E94" s="1">
        <f t="shared" si="13"/>
        <v>12</v>
      </c>
      <c r="F94" s="1">
        <f t="shared" si="13"/>
        <v>12</v>
      </c>
      <c r="G94" s="1">
        <f t="shared" si="13"/>
        <v>12</v>
      </c>
      <c r="H94" s="1">
        <v>12</v>
      </c>
      <c r="I94" s="1">
        <v>12</v>
      </c>
      <c r="J94" s="1">
        <v>12</v>
      </c>
      <c r="K94" s="1">
        <f t="shared" si="14"/>
        <v>15</v>
      </c>
      <c r="L94" s="1">
        <v>15</v>
      </c>
      <c r="M94" s="1">
        <v>15</v>
      </c>
      <c r="N94" s="1">
        <v>15</v>
      </c>
      <c r="O94" s="1">
        <v>15</v>
      </c>
      <c r="P94" s="1">
        <v>15</v>
      </c>
      <c r="Q94" s="1">
        <v>15</v>
      </c>
      <c r="U94" s="1">
        <v>15</v>
      </c>
      <c r="AD94" s="5" cm="1">
        <f t="array" ref="AD94">_xlfn.XLOOKUP(TRUE,E94:AB94&lt;&gt;"",E94:AB94,,,-1)</f>
        <v>15</v>
      </c>
    </row>
    <row r="95" spans="1:30">
      <c r="A95" t="s">
        <v>100</v>
      </c>
      <c r="B95" t="s">
        <v>100</v>
      </c>
      <c r="C95" s="2" t="s">
        <v>122</v>
      </c>
      <c r="D95" s="7">
        <v>0</v>
      </c>
      <c r="E95" s="1">
        <f t="shared" si="13"/>
        <v>8</v>
      </c>
      <c r="F95" s="1">
        <f t="shared" si="13"/>
        <v>8</v>
      </c>
      <c r="G95" s="1">
        <f t="shared" si="13"/>
        <v>8</v>
      </c>
      <c r="H95" s="1">
        <v>8</v>
      </c>
      <c r="I95" s="1">
        <v>8</v>
      </c>
      <c r="J95" s="1">
        <v>8</v>
      </c>
      <c r="K95" s="1">
        <f t="shared" si="14"/>
        <v>5</v>
      </c>
      <c r="L95" s="1">
        <v>5</v>
      </c>
      <c r="M95" s="1">
        <v>5</v>
      </c>
      <c r="N95" s="1">
        <v>5</v>
      </c>
      <c r="O95" s="1">
        <v>5</v>
      </c>
      <c r="P95" s="1">
        <v>5</v>
      </c>
      <c r="Q95" s="1">
        <v>5</v>
      </c>
      <c r="U95" s="1">
        <v>5</v>
      </c>
      <c r="AD95" s="5" cm="1">
        <f t="array" ref="AD95">_xlfn.XLOOKUP(TRUE,E95:AB95&lt;&gt;"",E95:AB95,,,-1)</f>
        <v>5</v>
      </c>
    </row>
    <row r="96" spans="1:30">
      <c r="A96" t="s">
        <v>100</v>
      </c>
      <c r="B96" t="s">
        <v>100</v>
      </c>
      <c r="C96" s="2" t="s">
        <v>123</v>
      </c>
      <c r="D96" s="7">
        <v>0</v>
      </c>
      <c r="E96" s="1">
        <f t="shared" si="13"/>
        <v>20</v>
      </c>
      <c r="F96" s="1">
        <f t="shared" si="13"/>
        <v>20</v>
      </c>
      <c r="G96" s="1">
        <f t="shared" si="13"/>
        <v>20</v>
      </c>
      <c r="H96" s="1">
        <v>20</v>
      </c>
      <c r="I96" s="1">
        <v>20</v>
      </c>
      <c r="J96" s="1">
        <v>20</v>
      </c>
      <c r="K96" s="1">
        <f t="shared" si="14"/>
        <v>15</v>
      </c>
      <c r="L96" s="1">
        <v>15</v>
      </c>
      <c r="M96" s="1">
        <v>15</v>
      </c>
      <c r="N96" s="1">
        <v>15</v>
      </c>
      <c r="O96" s="1">
        <v>15</v>
      </c>
      <c r="P96" s="1">
        <v>15</v>
      </c>
      <c r="Q96" s="1">
        <v>15</v>
      </c>
      <c r="U96" s="1">
        <v>15</v>
      </c>
      <c r="AD96" s="5" cm="1">
        <f t="array" ref="AD96">_xlfn.XLOOKUP(TRUE,E96:AB96&lt;&gt;"",E96:AB96,,,-1)</f>
        <v>15</v>
      </c>
    </row>
    <row r="97" spans="1:30">
      <c r="A97" t="s">
        <v>100</v>
      </c>
      <c r="B97" t="s">
        <v>100</v>
      </c>
      <c r="C97" s="2" t="s">
        <v>124</v>
      </c>
      <c r="D97" s="7">
        <v>0</v>
      </c>
      <c r="E97" s="1">
        <f t="shared" si="13"/>
        <v>12</v>
      </c>
      <c r="F97" s="1">
        <f t="shared" si="13"/>
        <v>12</v>
      </c>
      <c r="G97" s="1">
        <f t="shared" si="13"/>
        <v>12</v>
      </c>
      <c r="H97" s="1">
        <v>12</v>
      </c>
      <c r="I97" s="1">
        <v>12</v>
      </c>
      <c r="J97" s="1">
        <v>12</v>
      </c>
      <c r="K97" s="1">
        <f t="shared" si="14"/>
        <v>15</v>
      </c>
      <c r="L97" s="1">
        <v>15</v>
      </c>
      <c r="M97" s="1">
        <v>15</v>
      </c>
      <c r="N97" s="1">
        <v>15</v>
      </c>
      <c r="O97" s="1">
        <v>15</v>
      </c>
      <c r="P97" s="1">
        <v>15</v>
      </c>
      <c r="Q97" s="1">
        <v>15</v>
      </c>
      <c r="U97" s="1">
        <v>15</v>
      </c>
      <c r="AD97" s="5" cm="1">
        <f t="array" ref="AD97">_xlfn.XLOOKUP(TRUE,E97:AB97&lt;&gt;"",E97:AB97,,,-1)</f>
        <v>15</v>
      </c>
    </row>
    <row r="98" spans="1:30">
      <c r="A98" t="s">
        <v>100</v>
      </c>
      <c r="B98" t="s">
        <v>100</v>
      </c>
      <c r="C98" s="2" t="s">
        <v>125</v>
      </c>
      <c r="D98" s="7">
        <v>0</v>
      </c>
      <c r="E98" s="1">
        <f t="shared" si="13"/>
        <v>24</v>
      </c>
      <c r="F98" s="1">
        <f t="shared" si="13"/>
        <v>24</v>
      </c>
      <c r="G98" s="1">
        <f t="shared" si="13"/>
        <v>24</v>
      </c>
      <c r="H98" s="1">
        <v>24</v>
      </c>
      <c r="I98" s="1">
        <v>24</v>
      </c>
      <c r="J98" s="1">
        <v>24</v>
      </c>
      <c r="K98" s="1">
        <f t="shared" si="14"/>
        <v>20</v>
      </c>
      <c r="L98" s="1">
        <v>20</v>
      </c>
      <c r="M98" s="1">
        <v>20</v>
      </c>
      <c r="N98" s="1">
        <v>20</v>
      </c>
      <c r="O98" s="1">
        <v>20</v>
      </c>
      <c r="P98" s="1">
        <v>20</v>
      </c>
      <c r="Q98" s="1">
        <v>20</v>
      </c>
      <c r="U98" s="1">
        <v>20</v>
      </c>
      <c r="AD98" s="5" cm="1">
        <f t="array" ref="AD98">_xlfn.XLOOKUP(TRUE,E98:AB98&lt;&gt;"",E98:AB98,,,-1)</f>
        <v>20</v>
      </c>
    </row>
    <row r="99" spans="1:30">
      <c r="A99" t="s">
        <v>100</v>
      </c>
      <c r="B99" t="s">
        <v>100</v>
      </c>
      <c r="C99" s="2" t="s">
        <v>126</v>
      </c>
      <c r="D99" s="7">
        <v>0</v>
      </c>
      <c r="E99" s="1">
        <f t="shared" si="13"/>
        <v>12</v>
      </c>
      <c r="F99" s="1">
        <f t="shared" si="13"/>
        <v>12</v>
      </c>
      <c r="G99" s="1">
        <f t="shared" si="13"/>
        <v>12</v>
      </c>
      <c r="H99" s="1">
        <v>12</v>
      </c>
      <c r="I99" s="1">
        <v>12</v>
      </c>
      <c r="J99" s="1">
        <v>12</v>
      </c>
      <c r="K99" s="1">
        <f t="shared" si="14"/>
        <v>12</v>
      </c>
      <c r="L99" s="1">
        <v>12</v>
      </c>
      <c r="M99" s="1">
        <v>12</v>
      </c>
      <c r="N99" s="1">
        <v>12</v>
      </c>
      <c r="O99" s="1">
        <v>12</v>
      </c>
      <c r="P99" s="1">
        <v>12</v>
      </c>
      <c r="Q99" s="1">
        <v>12</v>
      </c>
      <c r="U99" s="1">
        <v>12</v>
      </c>
      <c r="AD99" s="5" cm="1">
        <f t="array" ref="AD99">_xlfn.XLOOKUP(TRUE,E99:AB99&lt;&gt;"",E99:AB99,,,-1)</f>
        <v>12</v>
      </c>
    </row>
    <row r="100" spans="1:30">
      <c r="A100" t="s">
        <v>100</v>
      </c>
      <c r="B100" t="s">
        <v>100</v>
      </c>
      <c r="C100" s="2" t="s">
        <v>127</v>
      </c>
      <c r="D100" s="7">
        <v>0</v>
      </c>
      <c r="E100" s="1">
        <f t="shared" si="13"/>
        <v>8</v>
      </c>
      <c r="F100" s="1">
        <f t="shared" si="13"/>
        <v>8</v>
      </c>
      <c r="G100" s="1">
        <f t="shared" si="13"/>
        <v>8</v>
      </c>
      <c r="H100" s="1">
        <v>8</v>
      </c>
      <c r="I100" s="1">
        <v>8</v>
      </c>
      <c r="J100" s="1">
        <v>8</v>
      </c>
      <c r="K100" s="1">
        <f t="shared" si="14"/>
        <v>5</v>
      </c>
      <c r="L100" s="1">
        <v>5</v>
      </c>
      <c r="M100" s="1">
        <v>5</v>
      </c>
      <c r="N100" s="1">
        <v>5</v>
      </c>
      <c r="O100" s="1">
        <v>5</v>
      </c>
      <c r="P100" s="1">
        <v>5</v>
      </c>
      <c r="Q100" s="1">
        <v>5</v>
      </c>
      <c r="U100" s="1">
        <v>5</v>
      </c>
      <c r="AD100" s="5" cm="1">
        <f t="array" ref="AD100">_xlfn.XLOOKUP(TRUE,E100:AB100&lt;&gt;"",E100:AB100,,,-1)</f>
        <v>5</v>
      </c>
    </row>
    <row r="101" spans="1:30">
      <c r="A101" t="s">
        <v>100</v>
      </c>
      <c r="B101" t="s">
        <v>100</v>
      </c>
      <c r="C101" s="2" t="s">
        <v>128</v>
      </c>
      <c r="D101" s="7">
        <v>0</v>
      </c>
      <c r="E101" s="1">
        <f t="shared" si="13"/>
        <v>4</v>
      </c>
      <c r="F101" s="1">
        <f t="shared" si="13"/>
        <v>4</v>
      </c>
      <c r="G101" s="1">
        <f t="shared" si="13"/>
        <v>4</v>
      </c>
      <c r="H101" s="1">
        <v>4</v>
      </c>
      <c r="I101" s="1">
        <v>4</v>
      </c>
      <c r="J101" s="1">
        <v>4</v>
      </c>
      <c r="K101" s="1">
        <f t="shared" si="14"/>
        <v>5</v>
      </c>
      <c r="L101" s="1">
        <v>5</v>
      </c>
      <c r="M101" s="1">
        <v>5</v>
      </c>
      <c r="N101" s="1">
        <v>5</v>
      </c>
      <c r="O101" s="1">
        <v>5</v>
      </c>
      <c r="P101" s="1">
        <v>5</v>
      </c>
      <c r="Q101" s="1">
        <v>5</v>
      </c>
      <c r="U101" s="1">
        <v>5</v>
      </c>
      <c r="AD101" s="5" cm="1">
        <f t="array" ref="AD101">_xlfn.XLOOKUP(TRUE,E101:AB101&lt;&gt;"",E101:AB101,,,-1)</f>
        <v>5</v>
      </c>
    </row>
    <row r="102" spans="1:30">
      <c r="A102" t="s">
        <v>100</v>
      </c>
      <c r="B102" t="s">
        <v>100</v>
      </c>
      <c r="C102" s="2" t="s">
        <v>129</v>
      </c>
      <c r="D102" s="7">
        <v>0</v>
      </c>
      <c r="E102" s="1">
        <f t="shared" si="13"/>
        <v>8</v>
      </c>
      <c r="F102" s="1">
        <f t="shared" si="13"/>
        <v>8</v>
      </c>
      <c r="G102" s="1">
        <f t="shared" si="13"/>
        <v>8</v>
      </c>
      <c r="H102" s="1">
        <v>8</v>
      </c>
      <c r="I102" s="1">
        <v>8</v>
      </c>
      <c r="J102" s="1">
        <v>8</v>
      </c>
      <c r="K102" s="1">
        <f t="shared" si="14"/>
        <v>6</v>
      </c>
      <c r="L102" s="1">
        <v>6</v>
      </c>
      <c r="M102" s="1">
        <v>6</v>
      </c>
      <c r="N102" s="1">
        <v>6</v>
      </c>
      <c r="O102" s="1">
        <v>6</v>
      </c>
      <c r="P102" s="1">
        <v>6</v>
      </c>
      <c r="Q102" s="1">
        <v>6</v>
      </c>
      <c r="U102" s="1">
        <v>6</v>
      </c>
      <c r="AD102" s="5" cm="1">
        <f t="array" ref="AD102">_xlfn.XLOOKUP(TRUE,E102:AB102&lt;&gt;"",E102:AB102,,,-1)</f>
        <v>6</v>
      </c>
    </row>
    <row r="103" spans="1:30">
      <c r="A103" t="s">
        <v>100</v>
      </c>
      <c r="B103" t="s">
        <v>100</v>
      </c>
      <c r="C103" s="2" t="s">
        <v>130</v>
      </c>
      <c r="D103" s="7">
        <v>0</v>
      </c>
      <c r="E103" s="1">
        <f t="shared" si="13"/>
        <v>12</v>
      </c>
      <c r="F103" s="1">
        <f t="shared" si="13"/>
        <v>12</v>
      </c>
      <c r="G103" s="1">
        <f t="shared" si="13"/>
        <v>12</v>
      </c>
      <c r="H103" s="1">
        <v>12</v>
      </c>
      <c r="I103" s="1">
        <v>12</v>
      </c>
      <c r="J103" s="1">
        <v>12</v>
      </c>
      <c r="K103" s="1">
        <f t="shared" si="14"/>
        <v>10</v>
      </c>
      <c r="L103" s="1">
        <v>10</v>
      </c>
      <c r="M103" s="1">
        <v>10</v>
      </c>
      <c r="N103" s="1">
        <v>10</v>
      </c>
      <c r="O103" s="1">
        <v>10</v>
      </c>
      <c r="P103" s="1">
        <v>10</v>
      </c>
      <c r="Q103" s="1">
        <v>10</v>
      </c>
      <c r="U103" s="1">
        <v>10</v>
      </c>
      <c r="AD103" s="5" cm="1">
        <f t="array" ref="AD103">_xlfn.XLOOKUP(TRUE,E103:AB103&lt;&gt;"",E103:AB103,,,-1)</f>
        <v>10</v>
      </c>
    </row>
    <row r="104" spans="1:30">
      <c r="A104" t="s">
        <v>100</v>
      </c>
      <c r="B104" t="s">
        <v>100</v>
      </c>
      <c r="C104" s="2" t="s">
        <v>131</v>
      </c>
      <c r="D104" s="7">
        <v>0</v>
      </c>
      <c r="E104" s="1">
        <f t="shared" si="13"/>
        <v>12</v>
      </c>
      <c r="F104" s="1">
        <f t="shared" si="13"/>
        <v>12</v>
      </c>
      <c r="G104" s="1">
        <f t="shared" si="13"/>
        <v>12</v>
      </c>
      <c r="H104" s="1">
        <v>12</v>
      </c>
      <c r="I104" s="1">
        <v>12</v>
      </c>
      <c r="J104" s="1">
        <v>12</v>
      </c>
      <c r="K104" s="1">
        <f t="shared" si="14"/>
        <v>10</v>
      </c>
      <c r="L104" s="1">
        <v>10</v>
      </c>
      <c r="M104" s="1">
        <v>10</v>
      </c>
      <c r="N104" s="1">
        <v>10</v>
      </c>
      <c r="O104" s="1">
        <v>10</v>
      </c>
      <c r="P104" s="1">
        <v>10</v>
      </c>
      <c r="Q104" s="1">
        <v>10</v>
      </c>
      <c r="U104" s="1">
        <v>10</v>
      </c>
      <c r="AD104" s="5" cm="1">
        <f t="array" ref="AD104">_xlfn.XLOOKUP(TRUE,E104:AB104&lt;&gt;"",E104:AB104,,,-1)</f>
        <v>10</v>
      </c>
    </row>
    <row r="105" spans="1:30">
      <c r="A105" t="s">
        <v>100</v>
      </c>
      <c r="B105" t="s">
        <v>100</v>
      </c>
      <c r="C105" s="2" t="s">
        <v>132</v>
      </c>
      <c r="D105" s="7">
        <v>0</v>
      </c>
      <c r="E105" s="1">
        <f t="shared" si="13"/>
        <v>18</v>
      </c>
      <c r="F105" s="1">
        <f t="shared" si="13"/>
        <v>18</v>
      </c>
      <c r="G105" s="1">
        <f t="shared" si="13"/>
        <v>18</v>
      </c>
      <c r="H105" s="1">
        <v>18</v>
      </c>
      <c r="I105" s="1">
        <v>18</v>
      </c>
      <c r="J105" s="1">
        <v>18</v>
      </c>
      <c r="K105" s="1">
        <f t="shared" si="14"/>
        <v>12</v>
      </c>
      <c r="L105" s="1">
        <v>12</v>
      </c>
      <c r="M105" s="1">
        <v>12</v>
      </c>
      <c r="N105" s="1">
        <v>12</v>
      </c>
      <c r="O105" s="1">
        <v>12</v>
      </c>
      <c r="P105" s="1">
        <v>12</v>
      </c>
      <c r="Q105" s="1">
        <v>12</v>
      </c>
      <c r="U105" s="1">
        <v>12</v>
      </c>
      <c r="AD105" s="5" cm="1">
        <f t="array" ref="AD105">_xlfn.XLOOKUP(TRUE,E105:AB105&lt;&gt;"",E105:AB105,,,-1)</f>
        <v>12</v>
      </c>
    </row>
    <row r="106" spans="1:30">
      <c r="A106" t="s">
        <v>100</v>
      </c>
      <c r="B106" t="s">
        <v>100</v>
      </c>
      <c r="C106" s="2" t="s">
        <v>133</v>
      </c>
      <c r="D106" s="7">
        <v>0</v>
      </c>
      <c r="E106" s="1">
        <f t="shared" si="13"/>
        <v>8</v>
      </c>
      <c r="F106" s="1">
        <f t="shared" si="13"/>
        <v>8</v>
      </c>
      <c r="G106" s="1">
        <f t="shared" si="13"/>
        <v>8</v>
      </c>
      <c r="H106" s="1">
        <v>8</v>
      </c>
      <c r="I106" s="1">
        <v>8</v>
      </c>
      <c r="J106" s="1">
        <v>8</v>
      </c>
      <c r="K106" s="1">
        <f t="shared" si="14"/>
        <v>8</v>
      </c>
      <c r="L106" s="1">
        <v>8</v>
      </c>
      <c r="M106" s="1">
        <v>8</v>
      </c>
      <c r="N106" s="1">
        <v>8</v>
      </c>
      <c r="O106" s="1">
        <v>8</v>
      </c>
      <c r="P106" s="1">
        <v>8</v>
      </c>
      <c r="Q106" s="1">
        <v>8</v>
      </c>
      <c r="U106" s="1">
        <v>8</v>
      </c>
      <c r="AD106" s="5" cm="1">
        <f t="array" ref="AD106">_xlfn.XLOOKUP(TRUE,E106:AB106&lt;&gt;"",E106:AB106,,,-1)</f>
        <v>8</v>
      </c>
    </row>
    <row r="107" spans="1:30">
      <c r="A107" t="s">
        <v>100</v>
      </c>
      <c r="B107" t="s">
        <v>100</v>
      </c>
      <c r="C107" s="2" t="s">
        <v>134</v>
      </c>
      <c r="D107" s="7">
        <v>0</v>
      </c>
      <c r="E107" s="1">
        <f t="shared" si="13"/>
        <v>4</v>
      </c>
      <c r="F107" s="1">
        <f t="shared" si="13"/>
        <v>4</v>
      </c>
      <c r="G107" s="1">
        <f t="shared" si="13"/>
        <v>4</v>
      </c>
      <c r="H107" s="1">
        <v>4</v>
      </c>
      <c r="I107" s="1">
        <v>4</v>
      </c>
      <c r="J107" s="1">
        <v>4</v>
      </c>
      <c r="K107" s="1">
        <f t="shared" si="14"/>
        <v>5</v>
      </c>
      <c r="L107" s="1">
        <v>5</v>
      </c>
      <c r="M107" s="1">
        <v>5</v>
      </c>
      <c r="N107" s="1">
        <v>5</v>
      </c>
      <c r="O107" s="1">
        <v>5</v>
      </c>
      <c r="P107" s="1">
        <v>5</v>
      </c>
      <c r="Q107" s="1">
        <v>5</v>
      </c>
      <c r="U107" s="1">
        <v>5</v>
      </c>
      <c r="AD107" s="5" cm="1">
        <f t="array" ref="AD107">_xlfn.XLOOKUP(TRUE,E107:AB107&lt;&gt;"",E107:AB107,,,-1)</f>
        <v>5</v>
      </c>
    </row>
    <row r="108" spans="1:30">
      <c r="A108" t="s">
        <v>100</v>
      </c>
      <c r="B108" t="s">
        <v>100</v>
      </c>
      <c r="C108" s="2" t="s">
        <v>135</v>
      </c>
      <c r="D108" s="7">
        <v>0</v>
      </c>
      <c r="E108" s="1">
        <f t="shared" si="13"/>
        <v>8</v>
      </c>
      <c r="F108" s="1">
        <f t="shared" si="13"/>
        <v>8</v>
      </c>
      <c r="G108" s="1">
        <f t="shared" si="13"/>
        <v>8</v>
      </c>
      <c r="H108" s="1">
        <v>8</v>
      </c>
      <c r="I108" s="1">
        <v>8</v>
      </c>
      <c r="J108" s="1">
        <v>8</v>
      </c>
      <c r="K108" s="1">
        <f t="shared" si="14"/>
        <v>6</v>
      </c>
      <c r="L108" s="1">
        <v>6</v>
      </c>
      <c r="M108" s="1">
        <v>6</v>
      </c>
      <c r="N108" s="1">
        <v>6</v>
      </c>
      <c r="O108" s="1">
        <v>6</v>
      </c>
      <c r="P108" s="1">
        <v>6</v>
      </c>
      <c r="Q108" s="1">
        <v>6</v>
      </c>
      <c r="U108" s="1">
        <v>6</v>
      </c>
      <c r="AD108" s="5" cm="1">
        <f t="array" ref="AD108">_xlfn.XLOOKUP(TRUE,E108:AB108&lt;&gt;"",E108:AB108,,,-1)</f>
        <v>6</v>
      </c>
    </row>
    <row r="109" spans="1:30">
      <c r="A109" t="s">
        <v>100</v>
      </c>
      <c r="B109" t="s">
        <v>100</v>
      </c>
      <c r="C109" s="2" t="s">
        <v>136</v>
      </c>
      <c r="D109" s="7">
        <v>0</v>
      </c>
      <c r="E109" s="1">
        <f t="shared" si="13"/>
        <v>12</v>
      </c>
      <c r="F109" s="1">
        <f t="shared" si="13"/>
        <v>12</v>
      </c>
      <c r="G109" s="1">
        <f t="shared" si="13"/>
        <v>12</v>
      </c>
      <c r="H109" s="1">
        <v>12</v>
      </c>
      <c r="I109" s="1">
        <v>12</v>
      </c>
      <c r="J109" s="1">
        <v>12</v>
      </c>
      <c r="K109" s="1">
        <f t="shared" si="14"/>
        <v>10</v>
      </c>
      <c r="L109" s="1">
        <v>10</v>
      </c>
      <c r="M109" s="1">
        <v>10</v>
      </c>
      <c r="N109" s="1">
        <v>10</v>
      </c>
      <c r="O109" s="1">
        <v>10</v>
      </c>
      <c r="P109" s="1">
        <v>10</v>
      </c>
      <c r="Q109" s="1">
        <v>10</v>
      </c>
      <c r="U109" s="1">
        <v>10</v>
      </c>
      <c r="AD109" s="5" cm="1">
        <f t="array" ref="AD109">_xlfn.XLOOKUP(TRUE,E109:AB109&lt;&gt;"",E109:AB109,,,-1)</f>
        <v>10</v>
      </c>
    </row>
    <row r="110" spans="1:30">
      <c r="A110" t="s">
        <v>100</v>
      </c>
      <c r="B110" t="s">
        <v>100</v>
      </c>
      <c r="C110" s="2" t="s">
        <v>137</v>
      </c>
      <c r="D110" s="7">
        <v>0</v>
      </c>
      <c r="E110" s="1">
        <f t="shared" si="13"/>
        <v>18</v>
      </c>
      <c r="F110" s="1">
        <f t="shared" si="13"/>
        <v>18</v>
      </c>
      <c r="G110" s="1">
        <f t="shared" si="13"/>
        <v>18</v>
      </c>
      <c r="H110" s="1">
        <v>18</v>
      </c>
      <c r="I110" s="1">
        <v>18</v>
      </c>
      <c r="J110" s="1">
        <v>18</v>
      </c>
      <c r="K110" s="1">
        <f t="shared" si="14"/>
        <v>12</v>
      </c>
      <c r="L110" s="1">
        <v>12</v>
      </c>
      <c r="M110" s="1">
        <v>12</v>
      </c>
      <c r="N110" s="1">
        <v>12</v>
      </c>
      <c r="O110" s="1">
        <v>12</v>
      </c>
      <c r="P110" s="1">
        <v>12</v>
      </c>
      <c r="Q110" s="1">
        <v>12</v>
      </c>
      <c r="U110" s="1">
        <v>12</v>
      </c>
      <c r="AD110" s="5" cm="1">
        <f t="array" ref="AD110">_xlfn.XLOOKUP(TRUE,E110:AB110&lt;&gt;"",E110:AB110,,,-1)</f>
        <v>12</v>
      </c>
    </row>
    <row r="111" spans="1:30">
      <c r="A111" t="s">
        <v>100</v>
      </c>
      <c r="B111" t="s">
        <v>100</v>
      </c>
      <c r="C111" s="2" t="s">
        <v>138</v>
      </c>
      <c r="D111" s="7">
        <v>0</v>
      </c>
      <c r="E111" s="1">
        <f t="shared" si="13"/>
        <v>8</v>
      </c>
      <c r="F111" s="1">
        <f t="shared" si="13"/>
        <v>8</v>
      </c>
      <c r="G111" s="1">
        <f t="shared" si="13"/>
        <v>8</v>
      </c>
      <c r="H111" s="1">
        <v>8</v>
      </c>
      <c r="I111" s="1">
        <v>8</v>
      </c>
      <c r="J111" s="1">
        <v>8</v>
      </c>
      <c r="K111" s="1">
        <f t="shared" si="14"/>
        <v>5</v>
      </c>
      <c r="L111" s="1">
        <v>5</v>
      </c>
      <c r="M111" s="1">
        <v>5</v>
      </c>
      <c r="N111" s="1">
        <v>5</v>
      </c>
      <c r="O111" s="1">
        <v>5</v>
      </c>
      <c r="P111" s="1">
        <v>5</v>
      </c>
      <c r="Q111" s="1">
        <v>5</v>
      </c>
      <c r="U111" s="1">
        <v>5</v>
      </c>
      <c r="AD111" s="5" cm="1">
        <f t="array" ref="AD111">_xlfn.XLOOKUP(TRUE,E111:AB111&lt;&gt;"",E111:AB111,,,-1)</f>
        <v>5</v>
      </c>
    </row>
    <row r="112" spans="1:30">
      <c r="A112" t="s">
        <v>100</v>
      </c>
      <c r="B112" t="s">
        <v>100</v>
      </c>
      <c r="C112" s="2" t="s">
        <v>139</v>
      </c>
      <c r="D112" s="7">
        <v>0</v>
      </c>
      <c r="E112" s="1">
        <f t="shared" si="13"/>
        <v>0</v>
      </c>
      <c r="F112" s="1">
        <f t="shared" si="13"/>
        <v>0</v>
      </c>
      <c r="G112" s="1">
        <f t="shared" si="13"/>
        <v>0</v>
      </c>
      <c r="H112" s="1">
        <v>0</v>
      </c>
      <c r="I112" s="1">
        <v>0</v>
      </c>
      <c r="J112" s="1">
        <v>24</v>
      </c>
      <c r="K112" s="1">
        <f t="shared" si="14"/>
        <v>24</v>
      </c>
      <c r="L112" s="1">
        <v>24</v>
      </c>
      <c r="M112" s="1">
        <v>24</v>
      </c>
      <c r="N112" s="1">
        <v>24</v>
      </c>
      <c r="O112" s="1">
        <v>24</v>
      </c>
      <c r="P112" s="1">
        <v>24</v>
      </c>
      <c r="Q112" s="1">
        <v>24</v>
      </c>
      <c r="U112" s="1">
        <v>24</v>
      </c>
      <c r="AD112" s="5" cm="1">
        <f t="array" ref="AD112">_xlfn.XLOOKUP(TRUE,E112:AB112&lt;&gt;"",E112:AB112,,,-1)</f>
        <v>24</v>
      </c>
    </row>
    <row r="113" spans="1:30">
      <c r="A113" t="s">
        <v>100</v>
      </c>
      <c r="B113" t="s">
        <v>100</v>
      </c>
      <c r="C113" s="2" t="s">
        <v>140</v>
      </c>
      <c r="D113" s="7">
        <v>0</v>
      </c>
      <c r="E113" s="1">
        <f t="shared" si="13"/>
        <v>0</v>
      </c>
      <c r="F113" s="1">
        <f t="shared" si="13"/>
        <v>0</v>
      </c>
      <c r="G113" s="1">
        <f t="shared" si="13"/>
        <v>0</v>
      </c>
      <c r="H113" s="1">
        <v>0</v>
      </c>
      <c r="I113" s="1">
        <v>0</v>
      </c>
      <c r="J113" s="1">
        <v>24</v>
      </c>
      <c r="K113" s="1">
        <f t="shared" si="14"/>
        <v>24</v>
      </c>
      <c r="L113" s="1">
        <v>24</v>
      </c>
      <c r="M113" s="1">
        <v>24</v>
      </c>
      <c r="N113" s="1">
        <v>24</v>
      </c>
      <c r="O113" s="1">
        <v>24</v>
      </c>
      <c r="P113" s="1">
        <v>24</v>
      </c>
      <c r="Q113" s="1">
        <v>24</v>
      </c>
      <c r="U113" s="1">
        <v>24</v>
      </c>
      <c r="AD113" s="5" cm="1">
        <f t="array" ref="AD113">_xlfn.XLOOKUP(TRUE,E113:AB113&lt;&gt;"",E113:AB113,,,-1)</f>
        <v>24</v>
      </c>
    </row>
    <row r="114" spans="1:30">
      <c r="A114" t="s">
        <v>100</v>
      </c>
      <c r="B114" t="s">
        <v>100</v>
      </c>
      <c r="C114" s="2" t="s">
        <v>141</v>
      </c>
      <c r="D114" s="7">
        <v>0</v>
      </c>
      <c r="E114" s="1">
        <f t="shared" si="13"/>
        <v>0</v>
      </c>
      <c r="F114" s="1">
        <f t="shared" si="13"/>
        <v>0</v>
      </c>
      <c r="G114" s="1">
        <f t="shared" si="13"/>
        <v>0</v>
      </c>
      <c r="H114" s="1">
        <v>0</v>
      </c>
      <c r="I114" s="1">
        <v>0</v>
      </c>
      <c r="J114" s="1">
        <v>8</v>
      </c>
      <c r="K114" s="1">
        <f t="shared" si="14"/>
        <v>5</v>
      </c>
      <c r="L114" s="1">
        <v>5</v>
      </c>
      <c r="M114" s="1">
        <v>5</v>
      </c>
      <c r="N114" s="1">
        <v>5</v>
      </c>
      <c r="O114" s="1">
        <v>5</v>
      </c>
      <c r="P114" s="1">
        <v>5</v>
      </c>
      <c r="Q114" s="1">
        <v>5</v>
      </c>
      <c r="U114" s="1">
        <v>5</v>
      </c>
      <c r="AD114" s="5" cm="1">
        <f t="array" ref="AD114">_xlfn.XLOOKUP(TRUE,E114:AB114&lt;&gt;"",E114:AB114,,,-1)</f>
        <v>5</v>
      </c>
    </row>
    <row r="115" spans="1:30">
      <c r="A115" t="s">
        <v>100</v>
      </c>
      <c r="B115" t="s">
        <v>100</v>
      </c>
      <c r="C115" s="2" t="s">
        <v>142</v>
      </c>
      <c r="D115" s="7">
        <v>0</v>
      </c>
      <c r="E115" s="1">
        <f t="shared" si="13"/>
        <v>0</v>
      </c>
      <c r="F115" s="1">
        <f t="shared" si="13"/>
        <v>0</v>
      </c>
      <c r="G115" s="1">
        <f t="shared" si="13"/>
        <v>0</v>
      </c>
      <c r="H115" s="1">
        <v>0</v>
      </c>
      <c r="I115" s="1">
        <v>0</v>
      </c>
      <c r="J115" s="1">
        <v>8</v>
      </c>
      <c r="K115" s="1">
        <f t="shared" si="14"/>
        <v>5</v>
      </c>
      <c r="L115" s="1">
        <v>5</v>
      </c>
      <c r="M115" s="1">
        <v>5</v>
      </c>
      <c r="N115" s="1">
        <v>5</v>
      </c>
      <c r="O115" s="1">
        <v>5</v>
      </c>
      <c r="P115" s="1">
        <v>5</v>
      </c>
      <c r="Q115" s="1">
        <v>5</v>
      </c>
      <c r="U115" s="1">
        <v>5</v>
      </c>
      <c r="AD115" s="5" cm="1">
        <f t="array" ref="AD115">_xlfn.XLOOKUP(TRUE,E115:AB115&lt;&gt;"",E115:AB115,,,-1)</f>
        <v>5</v>
      </c>
    </row>
    <row r="116" spans="1:30">
      <c r="A116" t="s">
        <v>100</v>
      </c>
      <c r="B116" t="s">
        <v>100</v>
      </c>
      <c r="C116" s="2" t="s">
        <v>143</v>
      </c>
      <c r="D116" s="7">
        <v>0</v>
      </c>
      <c r="E116" s="1">
        <f t="shared" si="13"/>
        <v>0</v>
      </c>
      <c r="F116" s="1">
        <f t="shared" si="13"/>
        <v>0</v>
      </c>
      <c r="G116" s="1">
        <f t="shared" si="13"/>
        <v>0</v>
      </c>
      <c r="H116" s="1">
        <v>0</v>
      </c>
      <c r="I116" s="1">
        <v>0</v>
      </c>
      <c r="J116" s="1">
        <v>8</v>
      </c>
      <c r="K116" s="1">
        <f t="shared" si="14"/>
        <v>5</v>
      </c>
      <c r="L116" s="1">
        <v>5</v>
      </c>
      <c r="M116" s="1">
        <v>5</v>
      </c>
      <c r="N116" s="1">
        <v>5</v>
      </c>
      <c r="O116" s="1">
        <v>5</v>
      </c>
      <c r="P116" s="1">
        <v>5</v>
      </c>
      <c r="Q116" s="1">
        <v>5</v>
      </c>
      <c r="U116" s="1">
        <v>5</v>
      </c>
      <c r="AD116" s="5" cm="1">
        <f t="array" ref="AD116">_xlfn.XLOOKUP(TRUE,E116:AB116&lt;&gt;"",E116:AB116,,,-1)</f>
        <v>5</v>
      </c>
    </row>
    <row r="117" spans="1:30">
      <c r="A117" t="s">
        <v>100</v>
      </c>
      <c r="B117" t="s">
        <v>100</v>
      </c>
      <c r="C117" s="2" t="s">
        <v>144</v>
      </c>
      <c r="D117" s="7">
        <v>0</v>
      </c>
      <c r="E117" s="1">
        <f t="shared" si="13"/>
        <v>0</v>
      </c>
      <c r="F117" s="1">
        <f t="shared" si="13"/>
        <v>0</v>
      </c>
      <c r="G117" s="1">
        <f t="shared" si="13"/>
        <v>0</v>
      </c>
      <c r="H117" s="1">
        <v>0</v>
      </c>
      <c r="I117" s="1">
        <v>0</v>
      </c>
      <c r="J117" s="1">
        <v>12</v>
      </c>
      <c r="K117" s="1">
        <f t="shared" si="14"/>
        <v>8</v>
      </c>
      <c r="L117" s="1">
        <v>8</v>
      </c>
      <c r="M117" s="1">
        <v>8</v>
      </c>
      <c r="N117" s="1">
        <v>8</v>
      </c>
      <c r="O117" s="1">
        <v>8</v>
      </c>
      <c r="P117" s="1">
        <v>8</v>
      </c>
      <c r="Q117" s="1">
        <v>8</v>
      </c>
      <c r="U117" s="1">
        <v>8</v>
      </c>
      <c r="AD117" s="5" cm="1">
        <f t="array" ref="AD117">_xlfn.XLOOKUP(TRUE,E117:AB117&lt;&gt;"",E117:AB117,,,-1)</f>
        <v>8</v>
      </c>
    </row>
    <row r="118" spans="1:30">
      <c r="A118" t="s">
        <v>100</v>
      </c>
      <c r="B118" t="s">
        <v>100</v>
      </c>
      <c r="C118" s="2" t="s">
        <v>145</v>
      </c>
      <c r="D118" s="7">
        <v>0</v>
      </c>
      <c r="E118" s="1">
        <f t="shared" si="13"/>
        <v>0</v>
      </c>
      <c r="F118" s="1">
        <f t="shared" si="13"/>
        <v>0</v>
      </c>
      <c r="G118" s="1">
        <f t="shared" si="13"/>
        <v>0</v>
      </c>
      <c r="H118" s="1">
        <v>0</v>
      </c>
      <c r="I118" s="1">
        <v>0</v>
      </c>
      <c r="J118" s="1">
        <v>6</v>
      </c>
      <c r="K118" s="1">
        <f t="shared" si="14"/>
        <v>2.5</v>
      </c>
      <c r="L118" s="1">
        <v>2.5</v>
      </c>
      <c r="M118" s="1">
        <v>2.5</v>
      </c>
      <c r="N118" s="1">
        <v>2.5</v>
      </c>
      <c r="O118" s="1">
        <v>2.5</v>
      </c>
      <c r="P118" s="1">
        <v>2.5</v>
      </c>
      <c r="Q118" s="1">
        <v>2.5</v>
      </c>
      <c r="U118" s="1">
        <v>2.5</v>
      </c>
      <c r="AD118" s="5" cm="1">
        <f t="array" ref="AD118">_xlfn.XLOOKUP(TRUE,E118:AB118&lt;&gt;"",E118:AB118,,,-1)</f>
        <v>2.5</v>
      </c>
    </row>
    <row r="119" spans="1:30">
      <c r="A119" t="s">
        <v>100</v>
      </c>
      <c r="B119" t="s">
        <v>100</v>
      </c>
      <c r="C119" s="2" t="s">
        <v>146</v>
      </c>
      <c r="D119" s="7">
        <v>0</v>
      </c>
      <c r="E119" s="1">
        <f t="shared" si="13"/>
        <v>0</v>
      </c>
      <c r="F119" s="1">
        <f t="shared" si="13"/>
        <v>0</v>
      </c>
      <c r="G119" s="1">
        <f t="shared" si="13"/>
        <v>0</v>
      </c>
      <c r="H119" s="1">
        <v>0</v>
      </c>
      <c r="I119" s="1">
        <v>0</v>
      </c>
      <c r="J119" s="1">
        <v>12</v>
      </c>
      <c r="K119" s="1">
        <f t="shared" si="14"/>
        <v>15</v>
      </c>
      <c r="L119" s="1">
        <v>15</v>
      </c>
      <c r="M119" s="1">
        <v>15</v>
      </c>
      <c r="N119" s="1">
        <v>15</v>
      </c>
      <c r="O119" s="1">
        <v>15</v>
      </c>
      <c r="P119" s="1">
        <v>15</v>
      </c>
      <c r="Q119" s="1">
        <v>15</v>
      </c>
      <c r="U119" s="1">
        <v>15</v>
      </c>
      <c r="AD119" s="5" cm="1">
        <f t="array" ref="AD119">_xlfn.XLOOKUP(TRUE,E119:AB119&lt;&gt;"",E119:AB119,,,-1)</f>
        <v>15</v>
      </c>
    </row>
    <row r="120" spans="1:30">
      <c r="A120" t="s">
        <v>100</v>
      </c>
      <c r="B120" t="s">
        <v>100</v>
      </c>
      <c r="C120" s="2" t="s">
        <v>147</v>
      </c>
      <c r="D120" s="7">
        <v>0</v>
      </c>
      <c r="E120" s="1">
        <f t="shared" si="13"/>
        <v>0</v>
      </c>
      <c r="F120" s="1">
        <f t="shared" si="13"/>
        <v>0</v>
      </c>
      <c r="G120" s="1">
        <f t="shared" si="13"/>
        <v>0</v>
      </c>
      <c r="H120" s="1">
        <v>0</v>
      </c>
      <c r="I120" s="1">
        <v>0</v>
      </c>
      <c r="J120" s="1">
        <v>48</v>
      </c>
      <c r="K120" s="1">
        <f t="shared" si="14"/>
        <v>24</v>
      </c>
      <c r="L120" s="1">
        <v>24</v>
      </c>
      <c r="M120" s="1">
        <v>24</v>
      </c>
      <c r="N120" s="1">
        <v>24</v>
      </c>
      <c r="O120" s="1">
        <v>24</v>
      </c>
      <c r="P120" s="1">
        <v>24</v>
      </c>
      <c r="Q120" s="1">
        <v>24</v>
      </c>
      <c r="U120" s="1">
        <v>24</v>
      </c>
      <c r="AD120" s="5" cm="1">
        <f t="array" ref="AD120">_xlfn.XLOOKUP(TRUE,E120:AB120&lt;&gt;"",E120:AB120,,,-1)</f>
        <v>24</v>
      </c>
    </row>
    <row r="121" spans="1:30">
      <c r="A121" t="s">
        <v>100</v>
      </c>
      <c r="B121" t="s">
        <v>100</v>
      </c>
      <c r="C121" s="2" t="s">
        <v>148</v>
      </c>
      <c r="D121" s="7">
        <v>0</v>
      </c>
      <c r="E121" s="1">
        <f t="shared" si="13"/>
        <v>0</v>
      </c>
      <c r="F121" s="1">
        <f t="shared" si="13"/>
        <v>0</v>
      </c>
      <c r="G121" s="1">
        <f t="shared" si="13"/>
        <v>0</v>
      </c>
      <c r="H121" s="1">
        <v>0</v>
      </c>
      <c r="I121" s="1">
        <v>0</v>
      </c>
      <c r="J121" s="1">
        <v>8</v>
      </c>
      <c r="K121" s="1">
        <f t="shared" si="14"/>
        <v>5</v>
      </c>
      <c r="L121" s="1">
        <v>5</v>
      </c>
      <c r="M121" s="1">
        <v>5</v>
      </c>
      <c r="N121" s="1">
        <v>5</v>
      </c>
      <c r="O121" s="1">
        <v>5</v>
      </c>
      <c r="P121" s="1">
        <v>5</v>
      </c>
      <c r="Q121" s="1">
        <v>5</v>
      </c>
      <c r="U121" s="1">
        <v>5</v>
      </c>
      <c r="AD121" s="5" cm="1">
        <f t="array" ref="AD121">_xlfn.XLOOKUP(TRUE,E121:AB121&lt;&gt;"",E121:AB121,,,-1)</f>
        <v>5</v>
      </c>
    </row>
    <row r="122" spans="1:30">
      <c r="A122" t="s">
        <v>100</v>
      </c>
      <c r="B122" t="s">
        <v>100</v>
      </c>
      <c r="C122" s="2" t="s">
        <v>149</v>
      </c>
      <c r="D122" s="7">
        <v>0</v>
      </c>
      <c r="E122" s="1">
        <f t="shared" si="13"/>
        <v>0</v>
      </c>
      <c r="F122" s="1">
        <f t="shared" si="13"/>
        <v>0</v>
      </c>
      <c r="G122" s="1">
        <f t="shared" si="13"/>
        <v>0</v>
      </c>
      <c r="H122" s="1">
        <v>0</v>
      </c>
      <c r="I122" s="1">
        <v>0</v>
      </c>
      <c r="J122" s="1">
        <v>0</v>
      </c>
      <c r="K122" s="1">
        <f t="shared" si="14"/>
        <v>12</v>
      </c>
      <c r="L122" s="1">
        <v>12</v>
      </c>
      <c r="M122" s="1">
        <v>12</v>
      </c>
      <c r="N122" s="1">
        <v>12</v>
      </c>
      <c r="O122" s="1">
        <v>12</v>
      </c>
      <c r="P122" s="1">
        <v>12</v>
      </c>
      <c r="Q122" s="1">
        <v>12</v>
      </c>
      <c r="U122" s="1">
        <v>12</v>
      </c>
      <c r="AD122" s="5" cm="1">
        <f t="array" ref="AD122">_xlfn.XLOOKUP(TRUE,E122:AB122&lt;&gt;"",E122:AB122,,,-1)</f>
        <v>12</v>
      </c>
    </row>
    <row r="123" spans="1:30">
      <c r="A123" t="s">
        <v>100</v>
      </c>
      <c r="B123" t="s">
        <v>100</v>
      </c>
      <c r="C123" s="2" t="s">
        <v>150</v>
      </c>
      <c r="D123" s="7">
        <v>0</v>
      </c>
      <c r="E123" s="1">
        <f t="shared" si="13"/>
        <v>0</v>
      </c>
      <c r="F123" s="1">
        <f t="shared" si="13"/>
        <v>0</v>
      </c>
      <c r="G123" s="1">
        <f t="shared" si="13"/>
        <v>0</v>
      </c>
      <c r="H123" s="1">
        <v>0</v>
      </c>
      <c r="I123" s="1">
        <v>0</v>
      </c>
      <c r="J123" s="1">
        <v>0</v>
      </c>
      <c r="K123" s="1">
        <f t="shared" si="14"/>
        <v>12</v>
      </c>
      <c r="L123" s="1">
        <v>12</v>
      </c>
      <c r="M123" s="1">
        <v>12</v>
      </c>
      <c r="N123" s="1">
        <v>12</v>
      </c>
      <c r="O123" s="1">
        <v>12</v>
      </c>
      <c r="P123" s="1">
        <v>12</v>
      </c>
      <c r="Q123" s="1">
        <v>12</v>
      </c>
      <c r="U123" s="1">
        <v>12</v>
      </c>
      <c r="AD123" s="5" cm="1">
        <f t="array" ref="AD123">_xlfn.XLOOKUP(TRUE,E123:AB123&lt;&gt;"",E123:AB123,,,-1)</f>
        <v>12</v>
      </c>
    </row>
    <row r="124" spans="1:30">
      <c r="A124" t="s">
        <v>100</v>
      </c>
      <c r="B124" t="s">
        <v>100</v>
      </c>
      <c r="C124" s="2" t="s">
        <v>151</v>
      </c>
      <c r="D124" s="7">
        <v>0</v>
      </c>
      <c r="E124" s="1">
        <f t="shared" si="13"/>
        <v>0</v>
      </c>
      <c r="F124" s="1">
        <f t="shared" si="13"/>
        <v>0</v>
      </c>
      <c r="G124" s="1">
        <f t="shared" si="13"/>
        <v>0</v>
      </c>
      <c r="H124" s="1">
        <v>0</v>
      </c>
      <c r="I124" s="1">
        <v>0</v>
      </c>
      <c r="J124" s="1">
        <v>0</v>
      </c>
      <c r="K124" s="1">
        <f t="shared" si="14"/>
        <v>10</v>
      </c>
      <c r="L124" s="1">
        <v>10</v>
      </c>
      <c r="M124" s="1">
        <v>10</v>
      </c>
      <c r="N124" s="1">
        <v>10</v>
      </c>
      <c r="O124" s="1">
        <v>10</v>
      </c>
      <c r="P124" s="1">
        <v>10</v>
      </c>
      <c r="Q124" s="1">
        <v>10</v>
      </c>
      <c r="U124" s="1">
        <v>10</v>
      </c>
      <c r="AD124" s="5" cm="1">
        <f t="array" ref="AD124">_xlfn.XLOOKUP(TRUE,E124:AB124&lt;&gt;"",E124:AB124,,,-1)</f>
        <v>10</v>
      </c>
    </row>
    <row r="125" spans="1:30">
      <c r="A125" t="s">
        <v>152</v>
      </c>
      <c r="B125" t="s">
        <v>153</v>
      </c>
      <c r="C125" s="2" t="s">
        <v>153</v>
      </c>
      <c r="D125" s="7">
        <v>0</v>
      </c>
      <c r="E125" s="1">
        <f t="shared" si="13"/>
        <v>6.9</v>
      </c>
      <c r="F125" s="1">
        <f t="shared" si="13"/>
        <v>6.9</v>
      </c>
      <c r="G125" s="1">
        <f t="shared" si="13"/>
        <v>6.9</v>
      </c>
      <c r="H125" s="1">
        <v>6.9</v>
      </c>
      <c r="I125" s="1">
        <v>6.9</v>
      </c>
      <c r="J125" s="1">
        <v>6.9</v>
      </c>
      <c r="K125" s="1">
        <f t="shared" si="14"/>
        <v>2</v>
      </c>
      <c r="L125" s="1">
        <v>2</v>
      </c>
      <c r="M125" s="1">
        <v>2</v>
      </c>
      <c r="N125" s="1">
        <v>2</v>
      </c>
      <c r="O125" s="1">
        <v>2</v>
      </c>
      <c r="P125" s="1">
        <v>2</v>
      </c>
      <c r="Q125" s="1">
        <v>2</v>
      </c>
      <c r="U125" s="1">
        <v>2</v>
      </c>
      <c r="AD125" s="5" cm="1">
        <f t="array" ref="AD125">_xlfn.XLOOKUP(TRUE,E125:AB125&lt;&gt;"",E125:AB125,,,-1)</f>
        <v>2</v>
      </c>
    </row>
    <row r="126" spans="1:30">
      <c r="A126" t="s">
        <v>152</v>
      </c>
      <c r="B126" t="s">
        <v>154</v>
      </c>
      <c r="C126" s="2" t="s">
        <v>154</v>
      </c>
      <c r="D126" s="7">
        <v>0</v>
      </c>
      <c r="E126" s="1">
        <f t="shared" si="13"/>
        <v>6.9</v>
      </c>
      <c r="F126" s="1">
        <f t="shared" si="13"/>
        <v>6.9</v>
      </c>
      <c r="G126" s="1">
        <f t="shared" si="13"/>
        <v>6.9</v>
      </c>
      <c r="H126" s="1">
        <v>6.9</v>
      </c>
      <c r="I126" s="1">
        <v>6.9</v>
      </c>
      <c r="J126" s="1">
        <v>6.9</v>
      </c>
      <c r="K126" s="1">
        <f t="shared" si="14"/>
        <v>5</v>
      </c>
      <c r="L126" s="1">
        <v>5</v>
      </c>
      <c r="M126" s="1">
        <v>5</v>
      </c>
      <c r="N126" s="1">
        <v>5</v>
      </c>
      <c r="O126" s="1">
        <v>5</v>
      </c>
      <c r="P126" s="1">
        <v>5</v>
      </c>
      <c r="Q126" s="1">
        <v>5</v>
      </c>
      <c r="U126" s="1">
        <v>8</v>
      </c>
      <c r="AD126" s="5" cm="1">
        <f t="array" ref="AD126">_xlfn.XLOOKUP(TRUE,E126:AB126&lt;&gt;"",E126:AB126,,,-1)</f>
        <v>8</v>
      </c>
    </row>
    <row r="127" spans="1:30">
      <c r="A127" t="s">
        <v>152</v>
      </c>
      <c r="B127" t="s">
        <v>155</v>
      </c>
      <c r="C127" s="2" t="s">
        <v>155</v>
      </c>
      <c r="D127" s="7">
        <v>0</v>
      </c>
      <c r="E127" s="1">
        <f t="shared" si="13"/>
        <v>6.9</v>
      </c>
      <c r="F127" s="1">
        <f t="shared" si="13"/>
        <v>6.9</v>
      </c>
      <c r="G127" s="1">
        <f t="shared" si="13"/>
        <v>6.9</v>
      </c>
      <c r="H127" s="1">
        <v>6.9</v>
      </c>
      <c r="I127" s="1">
        <v>6.9</v>
      </c>
      <c r="J127" s="1">
        <v>6.9</v>
      </c>
      <c r="K127" s="1">
        <f t="shared" si="14"/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U127" s="1">
        <v>2</v>
      </c>
      <c r="AD127" s="5" cm="1">
        <f t="array" ref="AD127">_xlfn.XLOOKUP(TRUE,E127:AB127&lt;&gt;"",E127:AB127,,,-1)</f>
        <v>2</v>
      </c>
    </row>
    <row r="128" spans="1:30">
      <c r="A128" t="s">
        <v>152</v>
      </c>
      <c r="B128" t="s">
        <v>156</v>
      </c>
      <c r="C128" s="2" t="s">
        <v>157</v>
      </c>
      <c r="D128" s="7">
        <v>0</v>
      </c>
      <c r="E128" s="1">
        <f t="shared" si="13"/>
        <v>0</v>
      </c>
      <c r="F128" s="1">
        <f t="shared" si="13"/>
        <v>0</v>
      </c>
      <c r="G128" s="1">
        <f t="shared" si="13"/>
        <v>0</v>
      </c>
      <c r="H128" s="1">
        <v>0</v>
      </c>
      <c r="I128" s="1">
        <v>0</v>
      </c>
      <c r="J128" s="1">
        <v>0</v>
      </c>
      <c r="K128" s="1">
        <f t="shared" si="14"/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U128" s="1">
        <v>0</v>
      </c>
      <c r="AD128" s="5" cm="1">
        <f t="array" ref="AD128">_xlfn.XLOOKUP(TRUE,E128:AB128&lt;&gt;"",E128:AB128,,,-1)</f>
        <v>0</v>
      </c>
    </row>
    <row r="129" spans="1:30">
      <c r="A129" t="s">
        <v>152</v>
      </c>
      <c r="B129" t="s">
        <v>158</v>
      </c>
      <c r="C129" s="2" t="s">
        <v>159</v>
      </c>
      <c r="D129" s="7">
        <v>0</v>
      </c>
      <c r="E129" s="1">
        <f t="shared" si="13"/>
        <v>5</v>
      </c>
      <c r="F129" s="1">
        <f t="shared" si="13"/>
        <v>5</v>
      </c>
      <c r="G129" s="1">
        <f t="shared" si="13"/>
        <v>5</v>
      </c>
      <c r="H129" s="1">
        <v>5</v>
      </c>
      <c r="I129" s="1">
        <v>5</v>
      </c>
      <c r="J129" s="1">
        <v>5</v>
      </c>
      <c r="K129" s="1">
        <f t="shared" si="14"/>
        <v>5</v>
      </c>
      <c r="L129" s="1">
        <v>5</v>
      </c>
      <c r="M129" s="1">
        <v>5</v>
      </c>
      <c r="N129" s="1">
        <v>5</v>
      </c>
      <c r="O129" s="1">
        <v>5</v>
      </c>
      <c r="P129" s="1">
        <v>5</v>
      </c>
      <c r="Q129" s="1">
        <v>5</v>
      </c>
      <c r="U129" s="1">
        <v>5</v>
      </c>
      <c r="AD129" s="5" cm="1">
        <f t="array" ref="AD129">_xlfn.XLOOKUP(TRUE,E129:AB129&lt;&gt;"",E129:AB129,,,-1)</f>
        <v>5</v>
      </c>
    </row>
    <row r="130" spans="1:30">
      <c r="A130" t="s">
        <v>152</v>
      </c>
      <c r="B130" t="s">
        <v>156</v>
      </c>
      <c r="C130" s="2" t="s">
        <v>160</v>
      </c>
      <c r="D130" s="7">
        <v>0</v>
      </c>
      <c r="E130" s="1">
        <f t="shared" ref="E130:G193" si="15">F130</f>
        <v>9.9</v>
      </c>
      <c r="F130" s="1">
        <f t="shared" si="15"/>
        <v>9.9</v>
      </c>
      <c r="G130" s="1">
        <f t="shared" si="15"/>
        <v>9.9</v>
      </c>
      <c r="H130" s="1">
        <v>9.9</v>
      </c>
      <c r="I130" s="1">
        <v>9.9</v>
      </c>
      <c r="J130" s="1">
        <v>9.9</v>
      </c>
      <c r="K130" s="1">
        <f t="shared" ref="K130:K193" si="16">L130</f>
        <v>10</v>
      </c>
      <c r="L130" s="1">
        <v>10</v>
      </c>
      <c r="M130" s="1">
        <v>10</v>
      </c>
      <c r="N130" s="1">
        <v>10</v>
      </c>
      <c r="O130" s="1">
        <v>10</v>
      </c>
      <c r="P130" s="1">
        <v>10</v>
      </c>
      <c r="Q130" s="1">
        <v>10</v>
      </c>
      <c r="U130" s="1">
        <v>10</v>
      </c>
      <c r="AD130" s="5" cm="1">
        <f t="array" ref="AD130">_xlfn.XLOOKUP(TRUE,E130:AB130&lt;&gt;"",E130:AB130,,,-1)</f>
        <v>10</v>
      </c>
    </row>
    <row r="131" spans="1:30">
      <c r="A131" t="s">
        <v>152</v>
      </c>
      <c r="B131" t="s">
        <v>156</v>
      </c>
      <c r="C131" s="2" t="s">
        <v>161</v>
      </c>
      <c r="D131" s="7">
        <v>0</v>
      </c>
      <c r="E131" s="1">
        <f t="shared" si="15"/>
        <v>9.9</v>
      </c>
      <c r="F131" s="1">
        <f t="shared" si="15"/>
        <v>9.9</v>
      </c>
      <c r="G131" s="1">
        <f t="shared" si="15"/>
        <v>9.9</v>
      </c>
      <c r="H131" s="1">
        <v>9.9</v>
      </c>
      <c r="I131" s="1">
        <v>9.9</v>
      </c>
      <c r="J131" s="1">
        <v>9.9</v>
      </c>
      <c r="K131" s="1">
        <f t="shared" si="16"/>
        <v>10</v>
      </c>
      <c r="L131" s="1">
        <v>10</v>
      </c>
      <c r="M131" s="1">
        <v>10</v>
      </c>
      <c r="N131" s="1">
        <v>10</v>
      </c>
      <c r="O131" s="1">
        <v>10</v>
      </c>
      <c r="P131" s="1">
        <v>10</v>
      </c>
      <c r="Q131" s="1">
        <v>10</v>
      </c>
      <c r="U131" s="1">
        <v>10</v>
      </c>
      <c r="AD131" s="5" cm="1">
        <f t="array" ref="AD131">_xlfn.XLOOKUP(TRUE,E131:AB131&lt;&gt;"",E131:AB131,,,-1)</f>
        <v>10</v>
      </c>
    </row>
    <row r="132" spans="1:30">
      <c r="A132" t="s">
        <v>152</v>
      </c>
      <c r="B132" t="s">
        <v>158</v>
      </c>
      <c r="C132" s="2" t="s">
        <v>162</v>
      </c>
      <c r="D132" s="7">
        <v>0</v>
      </c>
      <c r="E132" s="1">
        <f t="shared" si="15"/>
        <v>0</v>
      </c>
      <c r="F132" s="1">
        <f t="shared" si="15"/>
        <v>0</v>
      </c>
      <c r="G132" s="1">
        <f t="shared" si="15"/>
        <v>0</v>
      </c>
      <c r="H132" s="1">
        <v>0</v>
      </c>
      <c r="I132" s="1">
        <v>30.1</v>
      </c>
      <c r="J132" s="1">
        <v>30.1</v>
      </c>
      <c r="K132" s="1">
        <f t="shared" si="16"/>
        <v>25</v>
      </c>
      <c r="L132" s="1">
        <v>25</v>
      </c>
      <c r="M132" s="1">
        <v>25</v>
      </c>
      <c r="N132" s="1">
        <v>25</v>
      </c>
      <c r="O132" s="1">
        <v>25</v>
      </c>
      <c r="P132" s="1">
        <v>25</v>
      </c>
      <c r="Q132" s="1">
        <v>25</v>
      </c>
      <c r="U132" s="1">
        <v>25</v>
      </c>
      <c r="AD132" s="5" cm="1">
        <f t="array" ref="AD132">_xlfn.XLOOKUP(TRUE,E132:AB132&lt;&gt;"",E132:AB132,,,-1)</f>
        <v>25</v>
      </c>
    </row>
    <row r="133" spans="1:30">
      <c r="A133" t="s">
        <v>152</v>
      </c>
      <c r="B133" t="s">
        <v>158</v>
      </c>
      <c r="C133" s="2" t="s">
        <v>163</v>
      </c>
      <c r="D133" s="7">
        <v>0</v>
      </c>
      <c r="E133" s="1">
        <f t="shared" si="15"/>
        <v>0</v>
      </c>
      <c r="F133" s="1">
        <f t="shared" si="15"/>
        <v>0</v>
      </c>
      <c r="G133" s="1">
        <f t="shared" si="15"/>
        <v>0</v>
      </c>
      <c r="H133" s="1">
        <v>0</v>
      </c>
      <c r="I133" s="1">
        <v>30.1</v>
      </c>
      <c r="J133" s="1">
        <v>30.1</v>
      </c>
      <c r="K133" s="1">
        <f t="shared" si="16"/>
        <v>25</v>
      </c>
      <c r="L133" s="1">
        <v>25</v>
      </c>
      <c r="M133" s="1">
        <v>25</v>
      </c>
      <c r="N133" s="1">
        <v>25</v>
      </c>
      <c r="O133" s="1">
        <v>25</v>
      </c>
      <c r="P133" s="1">
        <v>25</v>
      </c>
      <c r="Q133" s="1">
        <v>25</v>
      </c>
      <c r="U133" s="1">
        <v>25</v>
      </c>
      <c r="AD133" s="5" cm="1">
        <f t="array" ref="AD133">_xlfn.XLOOKUP(TRUE,E133:AB133&lt;&gt;"",E133:AB133,,,-1)</f>
        <v>25</v>
      </c>
    </row>
    <row r="134" spans="1:30">
      <c r="A134" t="s">
        <v>152</v>
      </c>
      <c r="B134" t="s">
        <v>153</v>
      </c>
      <c r="C134" s="2" t="s">
        <v>164</v>
      </c>
      <c r="D134" s="7">
        <v>0</v>
      </c>
      <c r="E134" s="1">
        <f t="shared" si="15"/>
        <v>6.9</v>
      </c>
      <c r="F134" s="1">
        <f t="shared" si="15"/>
        <v>6.9</v>
      </c>
      <c r="G134" s="1">
        <f t="shared" si="15"/>
        <v>6.9</v>
      </c>
      <c r="H134" s="1">
        <v>6.9</v>
      </c>
      <c r="I134" s="1">
        <v>6.9</v>
      </c>
      <c r="J134" s="1">
        <v>6.9</v>
      </c>
      <c r="K134" s="1">
        <f t="shared" si="16"/>
        <v>2</v>
      </c>
      <c r="L134" s="1">
        <v>2</v>
      </c>
      <c r="M134" s="1">
        <v>2</v>
      </c>
      <c r="N134" s="1">
        <v>2</v>
      </c>
      <c r="O134" s="1">
        <v>2</v>
      </c>
      <c r="P134" s="1">
        <v>2</v>
      </c>
      <c r="Q134" s="1">
        <v>2</v>
      </c>
      <c r="U134" s="1">
        <v>2</v>
      </c>
      <c r="AD134" s="5" cm="1">
        <f t="array" ref="AD134">_xlfn.XLOOKUP(TRUE,E134:AB134&lt;&gt;"",E134:AB134,,,-1)</f>
        <v>2</v>
      </c>
    </row>
    <row r="135" spans="1:30">
      <c r="A135" t="s">
        <v>152</v>
      </c>
      <c r="B135" t="s">
        <v>154</v>
      </c>
      <c r="C135" s="2" t="s">
        <v>165</v>
      </c>
      <c r="D135" s="7">
        <v>0</v>
      </c>
      <c r="E135" s="1">
        <f t="shared" si="15"/>
        <v>6.9</v>
      </c>
      <c r="F135" s="1">
        <f t="shared" si="15"/>
        <v>6.9</v>
      </c>
      <c r="G135" s="1">
        <f t="shared" si="15"/>
        <v>6.9</v>
      </c>
      <c r="H135" s="1">
        <v>6.9</v>
      </c>
      <c r="I135" s="1">
        <v>6.9</v>
      </c>
      <c r="J135" s="1">
        <v>6.9</v>
      </c>
      <c r="K135" s="1">
        <f t="shared" si="16"/>
        <v>5</v>
      </c>
      <c r="L135" s="1">
        <v>5</v>
      </c>
      <c r="M135" s="1">
        <v>5</v>
      </c>
      <c r="N135" s="1">
        <v>5</v>
      </c>
      <c r="O135" s="1">
        <v>5</v>
      </c>
      <c r="P135" s="1">
        <v>5</v>
      </c>
      <c r="Q135" s="1">
        <v>5</v>
      </c>
      <c r="U135" s="1">
        <v>8</v>
      </c>
      <c r="AD135" s="5" cm="1">
        <f t="array" ref="AD135">_xlfn.XLOOKUP(TRUE,E135:AB135&lt;&gt;"",E135:AB135,,,-1)</f>
        <v>8</v>
      </c>
    </row>
    <row r="136" spans="1:30">
      <c r="A136" t="s">
        <v>152</v>
      </c>
      <c r="B136" t="s">
        <v>155</v>
      </c>
      <c r="C136" s="2" t="s">
        <v>166</v>
      </c>
      <c r="D136" s="7">
        <v>0</v>
      </c>
      <c r="E136" s="1">
        <f t="shared" si="15"/>
        <v>6.9</v>
      </c>
      <c r="F136" s="1">
        <f t="shared" si="15"/>
        <v>6.9</v>
      </c>
      <c r="G136" s="1">
        <f t="shared" si="15"/>
        <v>6.9</v>
      </c>
      <c r="H136" s="1">
        <v>6.9</v>
      </c>
      <c r="I136" s="1">
        <v>6.9</v>
      </c>
      <c r="J136" s="1">
        <v>6.9</v>
      </c>
      <c r="K136" s="1">
        <f t="shared" si="16"/>
        <v>2</v>
      </c>
      <c r="L136" s="1">
        <v>2</v>
      </c>
      <c r="M136" s="1">
        <v>2</v>
      </c>
      <c r="N136" s="1">
        <v>2</v>
      </c>
      <c r="O136" s="1">
        <v>2</v>
      </c>
      <c r="P136" s="1">
        <v>2</v>
      </c>
      <c r="Q136" s="1">
        <v>2</v>
      </c>
      <c r="U136" s="1">
        <v>2</v>
      </c>
      <c r="AD136" s="5" cm="1">
        <f t="array" ref="AD136">_xlfn.XLOOKUP(TRUE,E136:AB136&lt;&gt;"",E136:AB136,,,-1)</f>
        <v>2</v>
      </c>
    </row>
    <row r="137" spans="1:30">
      <c r="A137" t="s">
        <v>152</v>
      </c>
      <c r="B137" t="s">
        <v>156</v>
      </c>
      <c r="C137" s="2" t="s">
        <v>167</v>
      </c>
      <c r="D137" s="7">
        <v>0</v>
      </c>
      <c r="E137" s="1">
        <f t="shared" si="15"/>
        <v>9.9</v>
      </c>
      <c r="F137" s="1">
        <f t="shared" si="15"/>
        <v>9.9</v>
      </c>
      <c r="G137" s="1">
        <f t="shared" si="15"/>
        <v>9.9</v>
      </c>
      <c r="H137" s="1">
        <v>9.9</v>
      </c>
      <c r="I137" s="1">
        <v>9.9</v>
      </c>
      <c r="J137" s="1">
        <v>9.9</v>
      </c>
      <c r="K137" s="1">
        <f t="shared" si="16"/>
        <v>10</v>
      </c>
      <c r="L137" s="1">
        <v>10</v>
      </c>
      <c r="M137" s="1">
        <v>10</v>
      </c>
      <c r="N137" s="1">
        <v>10</v>
      </c>
      <c r="O137" s="1">
        <v>10</v>
      </c>
      <c r="P137" s="1">
        <v>10</v>
      </c>
      <c r="Q137" s="1">
        <v>10</v>
      </c>
      <c r="U137" s="1">
        <v>10</v>
      </c>
      <c r="AD137" s="5" cm="1">
        <f t="array" ref="AD137">_xlfn.XLOOKUP(TRUE,E137:AB137&lt;&gt;"",E137:AB137,,,-1)</f>
        <v>10</v>
      </c>
    </row>
    <row r="138" spans="1:30">
      <c r="A138" t="s">
        <v>152</v>
      </c>
      <c r="B138" t="s">
        <v>153</v>
      </c>
      <c r="C138" s="2" t="s">
        <v>168</v>
      </c>
      <c r="D138" s="7">
        <v>0</v>
      </c>
      <c r="E138" s="1">
        <f t="shared" si="15"/>
        <v>6.9</v>
      </c>
      <c r="F138" s="1">
        <f t="shared" si="15"/>
        <v>6.9</v>
      </c>
      <c r="G138" s="1">
        <f t="shared" si="15"/>
        <v>6.9</v>
      </c>
      <c r="H138" s="1">
        <v>6.9</v>
      </c>
      <c r="I138" s="1">
        <v>6.9</v>
      </c>
      <c r="J138" s="1">
        <v>6.9</v>
      </c>
      <c r="K138" s="1">
        <f t="shared" si="16"/>
        <v>2</v>
      </c>
      <c r="L138" s="1">
        <v>2</v>
      </c>
      <c r="M138" s="1">
        <v>2</v>
      </c>
      <c r="N138" s="1">
        <v>2</v>
      </c>
      <c r="O138" s="1">
        <v>2</v>
      </c>
      <c r="P138" s="1">
        <v>2</v>
      </c>
      <c r="Q138" s="1">
        <v>2</v>
      </c>
      <c r="U138" s="1">
        <v>2</v>
      </c>
      <c r="AD138" s="5" cm="1">
        <f t="array" ref="AD138">_xlfn.XLOOKUP(TRUE,E138:AB138&lt;&gt;"",E138:AB138,,,-1)</f>
        <v>2</v>
      </c>
    </row>
    <row r="139" spans="1:30">
      <c r="A139" t="s">
        <v>152</v>
      </c>
      <c r="B139" t="s">
        <v>154</v>
      </c>
      <c r="C139" s="2" t="s">
        <v>169</v>
      </c>
      <c r="D139" s="7">
        <v>0</v>
      </c>
      <c r="E139" s="1">
        <f t="shared" si="15"/>
        <v>6.9</v>
      </c>
      <c r="F139" s="1">
        <f t="shared" si="15"/>
        <v>6.9</v>
      </c>
      <c r="G139" s="1">
        <f t="shared" si="15"/>
        <v>6.9</v>
      </c>
      <c r="H139" s="1">
        <v>6.9</v>
      </c>
      <c r="I139" s="1">
        <v>6.9</v>
      </c>
      <c r="J139" s="1">
        <v>6.9</v>
      </c>
      <c r="K139" s="1">
        <f t="shared" si="16"/>
        <v>5</v>
      </c>
      <c r="L139" s="1">
        <v>5</v>
      </c>
      <c r="M139" s="1">
        <v>5</v>
      </c>
      <c r="N139" s="1">
        <v>5</v>
      </c>
      <c r="O139" s="1">
        <v>5</v>
      </c>
      <c r="P139" s="1">
        <v>5</v>
      </c>
      <c r="Q139" s="1">
        <v>5</v>
      </c>
      <c r="U139" s="1">
        <v>8</v>
      </c>
      <c r="AD139" s="5" cm="1">
        <f t="array" ref="AD139">_xlfn.XLOOKUP(TRUE,E139:AB139&lt;&gt;"",E139:AB139,,,-1)</f>
        <v>8</v>
      </c>
    </row>
    <row r="140" spans="1:30">
      <c r="A140" t="s">
        <v>152</v>
      </c>
      <c r="B140" t="s">
        <v>155</v>
      </c>
      <c r="C140" s="2" t="s">
        <v>170</v>
      </c>
      <c r="D140" s="7">
        <v>0</v>
      </c>
      <c r="E140" s="1">
        <f t="shared" si="15"/>
        <v>6.9</v>
      </c>
      <c r="F140" s="1">
        <f t="shared" si="15"/>
        <v>6.9</v>
      </c>
      <c r="G140" s="1">
        <f t="shared" si="15"/>
        <v>6.9</v>
      </c>
      <c r="H140" s="1">
        <v>6.9</v>
      </c>
      <c r="I140" s="1">
        <v>6.9</v>
      </c>
      <c r="J140" s="1">
        <v>6.9</v>
      </c>
      <c r="K140" s="1">
        <f t="shared" si="16"/>
        <v>2</v>
      </c>
      <c r="L140" s="1">
        <v>2</v>
      </c>
      <c r="M140" s="1">
        <v>2</v>
      </c>
      <c r="N140" s="1">
        <v>2</v>
      </c>
      <c r="O140" s="1">
        <v>2</v>
      </c>
      <c r="P140" s="1">
        <v>2</v>
      </c>
      <c r="Q140" s="1">
        <v>2</v>
      </c>
      <c r="U140" s="1">
        <v>2</v>
      </c>
      <c r="AD140" s="5" cm="1">
        <f t="array" ref="AD140">_xlfn.XLOOKUP(TRUE,E140:AB140&lt;&gt;"",E140:AB140,,,-1)</f>
        <v>2</v>
      </c>
    </row>
    <row r="141" spans="1:30">
      <c r="A141" t="s">
        <v>152</v>
      </c>
      <c r="B141" t="s">
        <v>156</v>
      </c>
      <c r="C141" s="2" t="s">
        <v>171</v>
      </c>
      <c r="D141" s="7">
        <v>0</v>
      </c>
      <c r="E141" s="1">
        <f t="shared" si="15"/>
        <v>9.9</v>
      </c>
      <c r="F141" s="1">
        <f t="shared" si="15"/>
        <v>9.9</v>
      </c>
      <c r="G141" s="1">
        <f t="shared" si="15"/>
        <v>9.9</v>
      </c>
      <c r="H141" s="1">
        <v>9.9</v>
      </c>
      <c r="I141" s="1">
        <v>9.9</v>
      </c>
      <c r="J141" s="1">
        <v>9.9</v>
      </c>
      <c r="K141" s="1">
        <f t="shared" si="16"/>
        <v>10</v>
      </c>
      <c r="L141" s="1">
        <v>10</v>
      </c>
      <c r="M141" s="1">
        <v>10</v>
      </c>
      <c r="N141" s="1">
        <v>10</v>
      </c>
      <c r="O141" s="1">
        <v>10</v>
      </c>
      <c r="P141" s="1">
        <v>10</v>
      </c>
      <c r="Q141" s="1">
        <v>10</v>
      </c>
      <c r="U141" s="1">
        <v>10</v>
      </c>
      <c r="AD141" s="5" cm="1">
        <f t="array" ref="AD141">_xlfn.XLOOKUP(TRUE,E141:AB141&lt;&gt;"",E141:AB141,,,-1)</f>
        <v>10</v>
      </c>
    </row>
    <row r="142" spans="1:30">
      <c r="A142" t="s">
        <v>152</v>
      </c>
      <c r="B142" t="s">
        <v>158</v>
      </c>
      <c r="C142" s="2" t="s">
        <v>172</v>
      </c>
      <c r="D142" s="7">
        <v>0</v>
      </c>
      <c r="E142" s="1">
        <f t="shared" si="15"/>
        <v>0</v>
      </c>
      <c r="F142" s="1">
        <f t="shared" si="15"/>
        <v>0</v>
      </c>
      <c r="G142" s="1">
        <f t="shared" si="15"/>
        <v>0</v>
      </c>
      <c r="H142" s="1">
        <v>0</v>
      </c>
      <c r="I142" s="1">
        <v>0</v>
      </c>
      <c r="J142" s="1">
        <v>0</v>
      </c>
      <c r="K142" s="1">
        <f t="shared" si="16"/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U142" s="1">
        <v>0</v>
      </c>
      <c r="AD142" s="5" cm="1">
        <f t="array" ref="AD142">_xlfn.XLOOKUP(TRUE,E142:AB142&lt;&gt;"",E142:AB142,,,-1)</f>
        <v>0</v>
      </c>
    </row>
    <row r="143" spans="1:30">
      <c r="A143" t="s">
        <v>152</v>
      </c>
      <c r="B143" t="s">
        <v>158</v>
      </c>
      <c r="C143" s="2" t="s">
        <v>173</v>
      </c>
      <c r="D143" s="7">
        <v>0</v>
      </c>
      <c r="E143" s="1">
        <f t="shared" si="15"/>
        <v>0</v>
      </c>
      <c r="F143" s="1">
        <f t="shared" si="15"/>
        <v>0</v>
      </c>
      <c r="G143" s="1">
        <f t="shared" si="15"/>
        <v>0</v>
      </c>
      <c r="H143" s="1">
        <v>0</v>
      </c>
      <c r="I143" s="1">
        <v>0</v>
      </c>
      <c r="J143" s="1">
        <v>0</v>
      </c>
      <c r="K143" s="1">
        <f t="shared" si="16"/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U143" s="1">
        <v>0</v>
      </c>
      <c r="AD143" s="5" cm="1">
        <f t="array" ref="AD143">_xlfn.XLOOKUP(TRUE,E143:AB143&lt;&gt;"",E143:AB143,,,-1)</f>
        <v>0</v>
      </c>
    </row>
    <row r="144" spans="1:30">
      <c r="A144" t="s">
        <v>152</v>
      </c>
      <c r="B144" t="s">
        <v>156</v>
      </c>
      <c r="C144" s="2" t="s">
        <v>156</v>
      </c>
      <c r="D144" s="7">
        <v>0</v>
      </c>
      <c r="E144" s="1">
        <f t="shared" si="15"/>
        <v>9.9</v>
      </c>
      <c r="F144" s="1">
        <f t="shared" si="15"/>
        <v>9.9</v>
      </c>
      <c r="G144" s="1">
        <f t="shared" si="15"/>
        <v>9.9</v>
      </c>
      <c r="H144" s="1">
        <v>9.9</v>
      </c>
      <c r="I144" s="1">
        <v>9.9</v>
      </c>
      <c r="J144" s="1">
        <v>9.9</v>
      </c>
      <c r="K144" s="1">
        <f t="shared" si="16"/>
        <v>10</v>
      </c>
      <c r="L144" s="1">
        <v>10</v>
      </c>
      <c r="M144" s="1">
        <v>10</v>
      </c>
      <c r="N144" s="1">
        <v>10</v>
      </c>
      <c r="O144" s="1">
        <v>10</v>
      </c>
      <c r="P144" s="1">
        <v>10</v>
      </c>
      <c r="Q144" s="1">
        <v>10</v>
      </c>
      <c r="U144" s="1">
        <v>10</v>
      </c>
      <c r="AD144" s="5" cm="1">
        <f t="array" ref="AD144">_xlfn.XLOOKUP(TRUE,E144:AB144&lt;&gt;"",E144:AB144,,,-1)</f>
        <v>10</v>
      </c>
    </row>
    <row r="145" spans="1:30">
      <c r="A145" t="s">
        <v>152</v>
      </c>
      <c r="B145" t="s">
        <v>174</v>
      </c>
      <c r="C145" s="2" t="s">
        <v>174</v>
      </c>
      <c r="D145" s="7">
        <v>0</v>
      </c>
      <c r="E145" s="1">
        <f t="shared" si="15"/>
        <v>0</v>
      </c>
      <c r="F145" s="1">
        <f t="shared" si="15"/>
        <v>0</v>
      </c>
      <c r="G145" s="1">
        <f t="shared" si="15"/>
        <v>0</v>
      </c>
      <c r="H145" s="1">
        <v>0</v>
      </c>
      <c r="I145" s="1">
        <v>0</v>
      </c>
      <c r="J145" s="1">
        <v>9</v>
      </c>
      <c r="K145" s="1">
        <f t="shared" si="16"/>
        <v>9</v>
      </c>
      <c r="L145" s="1">
        <v>9</v>
      </c>
      <c r="M145" s="1">
        <v>9</v>
      </c>
      <c r="N145" s="1">
        <v>9</v>
      </c>
      <c r="O145" s="1">
        <v>9</v>
      </c>
      <c r="P145" s="1">
        <v>9</v>
      </c>
      <c r="Q145" s="1">
        <v>9</v>
      </c>
      <c r="U145" s="1">
        <v>4</v>
      </c>
      <c r="AD145" s="5" cm="1">
        <f t="array" ref="AD145">_xlfn.XLOOKUP(TRUE,E145:AB145&lt;&gt;"",E145:AB145,,,-1)</f>
        <v>4</v>
      </c>
    </row>
    <row r="146" spans="1:30">
      <c r="A146" t="s">
        <v>152</v>
      </c>
      <c r="B146" t="s">
        <v>158</v>
      </c>
      <c r="C146" s="2" t="s">
        <v>175</v>
      </c>
      <c r="D146" s="7">
        <v>0</v>
      </c>
      <c r="E146" s="1">
        <f t="shared" si="15"/>
        <v>0</v>
      </c>
      <c r="F146" s="1">
        <f t="shared" si="15"/>
        <v>0</v>
      </c>
      <c r="G146" s="1">
        <f t="shared" si="15"/>
        <v>0</v>
      </c>
      <c r="H146" s="1">
        <v>0</v>
      </c>
      <c r="I146" s="1">
        <v>0</v>
      </c>
      <c r="J146" s="1">
        <v>0</v>
      </c>
      <c r="K146" s="1">
        <f t="shared" si="16"/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U146" s="1">
        <v>0</v>
      </c>
      <c r="AD146" s="5" cm="1">
        <f t="array" ref="AD146">_xlfn.XLOOKUP(TRUE,E146:AB146&lt;&gt;"",E146:AB146,,,-1)</f>
        <v>0</v>
      </c>
    </row>
    <row r="147" spans="1:30">
      <c r="A147" t="s">
        <v>152</v>
      </c>
      <c r="B147" t="s">
        <v>174</v>
      </c>
      <c r="C147" s="2" t="s">
        <v>176</v>
      </c>
      <c r="D147" s="7">
        <v>0</v>
      </c>
      <c r="E147" s="1">
        <f t="shared" si="15"/>
        <v>0</v>
      </c>
      <c r="F147" s="1">
        <f t="shared" si="15"/>
        <v>0</v>
      </c>
      <c r="G147" s="1">
        <f t="shared" si="15"/>
        <v>0</v>
      </c>
      <c r="H147" s="1">
        <v>0</v>
      </c>
      <c r="I147" s="1">
        <v>0</v>
      </c>
      <c r="J147" s="1">
        <v>0</v>
      </c>
      <c r="K147" s="1">
        <f t="shared" si="16"/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U147" s="1">
        <v>0</v>
      </c>
      <c r="AD147" s="5" cm="1">
        <f t="array" ref="AD147">_xlfn.XLOOKUP(TRUE,E147:AB147&lt;&gt;"",E147:AB147,,,-1)</f>
        <v>0</v>
      </c>
    </row>
    <row r="148" spans="1:30">
      <c r="A148" t="s">
        <v>152</v>
      </c>
      <c r="B148" t="s">
        <v>174</v>
      </c>
      <c r="C148" s="2" t="s">
        <v>177</v>
      </c>
      <c r="D148" s="7">
        <v>0</v>
      </c>
      <c r="E148" s="1">
        <f t="shared" si="15"/>
        <v>0</v>
      </c>
      <c r="F148" s="1">
        <f t="shared" si="15"/>
        <v>0</v>
      </c>
      <c r="G148" s="1">
        <f t="shared" si="15"/>
        <v>0</v>
      </c>
      <c r="H148" s="1">
        <v>0</v>
      </c>
      <c r="I148" s="1">
        <v>0</v>
      </c>
      <c r="J148" s="1">
        <v>0</v>
      </c>
      <c r="K148" s="1">
        <f t="shared" si="16"/>
        <v>9</v>
      </c>
      <c r="L148" s="1">
        <v>9</v>
      </c>
      <c r="M148" s="1">
        <v>9</v>
      </c>
      <c r="N148" s="1">
        <v>9</v>
      </c>
      <c r="O148" s="1">
        <v>9</v>
      </c>
      <c r="P148" s="1">
        <v>9</v>
      </c>
      <c r="Q148" s="1">
        <v>9</v>
      </c>
      <c r="U148" s="1">
        <v>4</v>
      </c>
      <c r="AD148" s="5" cm="1">
        <f t="array" ref="AD148">_xlfn.XLOOKUP(TRUE,E148:AB148&lt;&gt;"",E148:AB148,,,-1)</f>
        <v>4</v>
      </c>
    </row>
    <row r="149" spans="1:30">
      <c r="A149" t="s">
        <v>152</v>
      </c>
      <c r="B149" t="s">
        <v>158</v>
      </c>
      <c r="C149" s="2" t="s">
        <v>178</v>
      </c>
      <c r="D149" s="7">
        <v>0</v>
      </c>
      <c r="E149" s="1">
        <f t="shared" si="15"/>
        <v>0</v>
      </c>
      <c r="F149" s="1">
        <f t="shared" si="15"/>
        <v>0</v>
      </c>
      <c r="G149" s="1">
        <f t="shared" si="15"/>
        <v>0</v>
      </c>
      <c r="H149" s="1">
        <v>0</v>
      </c>
      <c r="I149" s="1">
        <v>0</v>
      </c>
      <c r="J149" s="1">
        <v>0</v>
      </c>
      <c r="K149" s="1">
        <f t="shared" si="16"/>
        <v>10</v>
      </c>
      <c r="L149" s="1">
        <v>10</v>
      </c>
      <c r="M149" s="1">
        <v>10</v>
      </c>
      <c r="N149" s="1">
        <v>10</v>
      </c>
      <c r="O149" s="1">
        <v>10</v>
      </c>
      <c r="P149" s="1">
        <v>10</v>
      </c>
      <c r="Q149" s="1">
        <v>10</v>
      </c>
      <c r="U149" s="1">
        <v>10</v>
      </c>
      <c r="AD149" s="5" cm="1">
        <f t="array" ref="AD149">_xlfn.XLOOKUP(TRUE,E149:AB149&lt;&gt;"",E149:AB149,,,-1)</f>
        <v>10</v>
      </c>
    </row>
    <row r="150" spans="1:30">
      <c r="A150" t="s">
        <v>152</v>
      </c>
      <c r="B150" t="s">
        <v>158</v>
      </c>
      <c r="C150" s="2" t="s">
        <v>179</v>
      </c>
      <c r="D150" s="7">
        <v>0</v>
      </c>
      <c r="E150" s="1">
        <f t="shared" si="15"/>
        <v>0</v>
      </c>
      <c r="F150" s="1">
        <f t="shared" si="15"/>
        <v>0</v>
      </c>
      <c r="G150" s="1">
        <f t="shared" si="15"/>
        <v>0</v>
      </c>
      <c r="H150" s="1">
        <v>0</v>
      </c>
      <c r="I150" s="1">
        <v>0</v>
      </c>
      <c r="J150" s="1">
        <v>0</v>
      </c>
      <c r="K150" s="1">
        <f t="shared" si="16"/>
        <v>10</v>
      </c>
      <c r="L150" s="1">
        <v>10</v>
      </c>
      <c r="M150" s="1">
        <v>10</v>
      </c>
      <c r="N150" s="1">
        <v>10</v>
      </c>
      <c r="O150" s="1">
        <v>10</v>
      </c>
      <c r="P150" s="1">
        <v>10</v>
      </c>
      <c r="Q150" s="1">
        <v>10</v>
      </c>
      <c r="U150" s="1">
        <v>10</v>
      </c>
      <c r="AD150" s="5" cm="1">
        <f t="array" ref="AD150">_xlfn.XLOOKUP(TRUE,E150:AB150&lt;&gt;"",E150:AB150,,,-1)</f>
        <v>10</v>
      </c>
    </row>
    <row r="151" spans="1:30">
      <c r="A151" t="s">
        <v>152</v>
      </c>
      <c r="B151" t="s">
        <v>174</v>
      </c>
      <c r="C151" s="2" t="s">
        <v>180</v>
      </c>
      <c r="D151" s="7">
        <v>0</v>
      </c>
      <c r="E151" s="1">
        <f t="shared" si="15"/>
        <v>0</v>
      </c>
      <c r="F151" s="1">
        <f t="shared" si="15"/>
        <v>0</v>
      </c>
      <c r="G151" s="1">
        <f t="shared" si="15"/>
        <v>0</v>
      </c>
      <c r="H151" s="1">
        <v>0</v>
      </c>
      <c r="I151" s="1">
        <v>0</v>
      </c>
      <c r="J151" s="1">
        <v>0</v>
      </c>
      <c r="K151" s="1">
        <f t="shared" si="16"/>
        <v>9</v>
      </c>
      <c r="L151" s="1">
        <v>9</v>
      </c>
      <c r="M151" s="1">
        <v>9</v>
      </c>
      <c r="N151" s="1">
        <v>9</v>
      </c>
      <c r="O151" s="1">
        <v>9</v>
      </c>
      <c r="P151" s="1">
        <v>9</v>
      </c>
      <c r="Q151" s="1">
        <v>9</v>
      </c>
      <c r="U151" s="1">
        <v>4</v>
      </c>
      <c r="AD151" s="5" cm="1">
        <f t="array" ref="AD151">_xlfn.XLOOKUP(TRUE,E151:AB151&lt;&gt;"",E151:AB151,,,-1)</f>
        <v>4</v>
      </c>
    </row>
    <row r="152" spans="1:30">
      <c r="A152" t="s">
        <v>181</v>
      </c>
      <c r="B152" t="s">
        <v>182</v>
      </c>
      <c r="C152" s="2" t="s">
        <v>183</v>
      </c>
      <c r="D152" s="7">
        <v>0</v>
      </c>
      <c r="E152" s="1">
        <f t="shared" si="15"/>
        <v>0</v>
      </c>
      <c r="F152" s="1">
        <f t="shared" si="15"/>
        <v>0</v>
      </c>
      <c r="G152" s="1">
        <f t="shared" si="15"/>
        <v>0</v>
      </c>
      <c r="H152" s="1">
        <v>0</v>
      </c>
      <c r="I152" s="1">
        <v>0</v>
      </c>
      <c r="J152" s="1">
        <v>0</v>
      </c>
      <c r="K152" s="1">
        <f t="shared" si="16"/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U152" s="1">
        <v>0</v>
      </c>
      <c r="AD152" s="5" cm="1">
        <f t="array" ref="AD152">_xlfn.XLOOKUP(TRUE,E152:AB152&lt;&gt;"",E152:AB152,,,-1)</f>
        <v>0</v>
      </c>
    </row>
    <row r="153" spans="1:30">
      <c r="A153" t="s">
        <v>181</v>
      </c>
      <c r="B153" t="s">
        <v>182</v>
      </c>
      <c r="C153" s="2" t="s">
        <v>184</v>
      </c>
      <c r="D153" s="7">
        <v>0</v>
      </c>
      <c r="E153" s="1">
        <f t="shared" si="15"/>
        <v>0</v>
      </c>
      <c r="F153" s="1">
        <f t="shared" si="15"/>
        <v>0</v>
      </c>
      <c r="G153" s="1">
        <f t="shared" si="15"/>
        <v>0</v>
      </c>
      <c r="H153" s="1">
        <v>0</v>
      </c>
      <c r="I153" s="1">
        <v>0</v>
      </c>
      <c r="J153" s="1">
        <v>0</v>
      </c>
      <c r="K153" s="1">
        <f t="shared" si="16"/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U153" s="1">
        <v>0</v>
      </c>
      <c r="AD153" s="5" cm="1">
        <f t="array" ref="AD153">_xlfn.XLOOKUP(TRUE,E153:AB153&lt;&gt;"",E153:AB153,,,-1)</f>
        <v>0</v>
      </c>
    </row>
    <row r="154" spans="1:30">
      <c r="A154" t="s">
        <v>181</v>
      </c>
      <c r="B154" t="s">
        <v>182</v>
      </c>
      <c r="C154" s="2" t="s">
        <v>185</v>
      </c>
      <c r="D154" s="7">
        <v>0</v>
      </c>
      <c r="E154" s="1">
        <f t="shared" si="15"/>
        <v>5</v>
      </c>
      <c r="F154" s="1">
        <f t="shared" si="15"/>
        <v>5</v>
      </c>
      <c r="G154" s="1">
        <f t="shared" si="15"/>
        <v>5</v>
      </c>
      <c r="H154" s="1">
        <v>5</v>
      </c>
      <c r="I154" s="1">
        <v>5</v>
      </c>
      <c r="J154" s="1">
        <v>5</v>
      </c>
      <c r="K154" s="1">
        <f t="shared" si="16"/>
        <v>5</v>
      </c>
      <c r="L154" s="1">
        <v>5</v>
      </c>
      <c r="M154" s="1">
        <v>5</v>
      </c>
      <c r="N154" s="1">
        <v>5</v>
      </c>
      <c r="O154" s="1">
        <v>5</v>
      </c>
      <c r="P154" s="1">
        <v>5</v>
      </c>
      <c r="Q154" s="1">
        <v>5</v>
      </c>
      <c r="U154" s="1">
        <v>5</v>
      </c>
      <c r="AD154" s="5" cm="1">
        <f t="array" ref="AD154">_xlfn.XLOOKUP(TRUE,E154:AB154&lt;&gt;"",E154:AB154,,,-1)</f>
        <v>5</v>
      </c>
    </row>
    <row r="155" spans="1:30">
      <c r="A155" t="s">
        <v>181</v>
      </c>
      <c r="B155" t="s">
        <v>186</v>
      </c>
      <c r="C155" s="2" t="s">
        <v>187</v>
      </c>
      <c r="D155" s="7">
        <v>0</v>
      </c>
      <c r="E155" s="1">
        <f t="shared" si="15"/>
        <v>0</v>
      </c>
      <c r="F155" s="1">
        <f t="shared" si="15"/>
        <v>0</v>
      </c>
      <c r="G155" s="1">
        <f t="shared" si="15"/>
        <v>0</v>
      </c>
      <c r="H155" s="1">
        <v>0</v>
      </c>
      <c r="I155" s="1">
        <v>0</v>
      </c>
      <c r="J155" s="1">
        <v>0</v>
      </c>
      <c r="K155" s="1">
        <f t="shared" si="16"/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U155" s="1">
        <v>0</v>
      </c>
      <c r="AD155" s="5" cm="1">
        <f t="array" ref="AD155">_xlfn.XLOOKUP(TRUE,E155:AB155&lt;&gt;"",E155:AB155,,,-1)</f>
        <v>0</v>
      </c>
    </row>
    <row r="156" spans="1:30">
      <c r="A156" t="s">
        <v>181</v>
      </c>
      <c r="B156" t="s">
        <v>182</v>
      </c>
      <c r="C156" s="2" t="s">
        <v>188</v>
      </c>
      <c r="D156" s="7">
        <v>0</v>
      </c>
      <c r="E156" s="1">
        <f t="shared" si="15"/>
        <v>5</v>
      </c>
      <c r="F156" s="1">
        <f t="shared" si="15"/>
        <v>5</v>
      </c>
      <c r="G156" s="1">
        <f t="shared" si="15"/>
        <v>5</v>
      </c>
      <c r="H156" s="1">
        <v>5</v>
      </c>
      <c r="I156" s="1">
        <v>5</v>
      </c>
      <c r="J156" s="1">
        <v>5</v>
      </c>
      <c r="K156" s="1">
        <f t="shared" si="16"/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U156" s="1">
        <v>0</v>
      </c>
      <c r="AD156" s="5" cm="1">
        <f t="array" ref="AD156">_xlfn.XLOOKUP(TRUE,E156:AB156&lt;&gt;"",E156:AB156,,,-1)</f>
        <v>0</v>
      </c>
    </row>
    <row r="157" spans="1:30">
      <c r="A157" t="s">
        <v>181</v>
      </c>
      <c r="B157" t="s">
        <v>182</v>
      </c>
      <c r="C157" s="2" t="s">
        <v>189</v>
      </c>
      <c r="D157" s="7">
        <v>0</v>
      </c>
      <c r="E157" s="1">
        <f t="shared" si="15"/>
        <v>0</v>
      </c>
      <c r="F157" s="1">
        <f t="shared" si="15"/>
        <v>0</v>
      </c>
      <c r="G157" s="1">
        <f t="shared" si="15"/>
        <v>0</v>
      </c>
      <c r="H157" s="1">
        <v>0</v>
      </c>
      <c r="I157" s="1">
        <v>0</v>
      </c>
      <c r="J157" s="1">
        <v>0</v>
      </c>
      <c r="K157" s="1">
        <f t="shared" si="16"/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U157" s="1">
        <v>0</v>
      </c>
      <c r="AD157" s="5" cm="1">
        <f t="array" ref="AD157">_xlfn.XLOOKUP(TRUE,E157:AB157&lt;&gt;"",E157:AB157,,,-1)</f>
        <v>0</v>
      </c>
    </row>
    <row r="158" spans="1:30">
      <c r="A158" t="s">
        <v>181</v>
      </c>
      <c r="B158" t="s">
        <v>182</v>
      </c>
      <c r="C158" s="2" t="s">
        <v>190</v>
      </c>
      <c r="D158" s="7">
        <v>0</v>
      </c>
      <c r="E158" s="1">
        <f t="shared" si="15"/>
        <v>0</v>
      </c>
      <c r="F158" s="1">
        <f t="shared" si="15"/>
        <v>0</v>
      </c>
      <c r="G158" s="1">
        <f t="shared" si="15"/>
        <v>0</v>
      </c>
      <c r="H158" s="1">
        <v>0</v>
      </c>
      <c r="I158" s="1">
        <v>0</v>
      </c>
      <c r="J158" s="1">
        <v>0</v>
      </c>
      <c r="K158" s="1">
        <f t="shared" si="16"/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U158" s="1">
        <v>0</v>
      </c>
      <c r="AD158" s="5" cm="1">
        <f t="array" ref="AD158">_xlfn.XLOOKUP(TRUE,E158:AB158&lt;&gt;"",E158:AB158,,,-1)</f>
        <v>0</v>
      </c>
    </row>
    <row r="159" spans="1:30">
      <c r="A159" t="s">
        <v>181</v>
      </c>
      <c r="B159" t="s">
        <v>182</v>
      </c>
      <c r="C159" s="2" t="s">
        <v>191</v>
      </c>
      <c r="D159" s="7">
        <v>0</v>
      </c>
      <c r="E159" s="1">
        <f t="shared" si="15"/>
        <v>0</v>
      </c>
      <c r="F159" s="1">
        <f t="shared" si="15"/>
        <v>0</v>
      </c>
      <c r="G159" s="1">
        <f t="shared" si="15"/>
        <v>0</v>
      </c>
      <c r="H159" s="1">
        <v>0</v>
      </c>
      <c r="I159" s="1">
        <v>0</v>
      </c>
      <c r="J159" s="1">
        <v>0</v>
      </c>
      <c r="K159" s="1">
        <f t="shared" si="16"/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U159" s="1">
        <v>0</v>
      </c>
      <c r="AD159" s="5" cm="1">
        <f t="array" ref="AD159">_xlfn.XLOOKUP(TRUE,E159:AB159&lt;&gt;"",E159:AB159,,,-1)</f>
        <v>0</v>
      </c>
    </row>
    <row r="160" spans="1:30">
      <c r="A160" t="s">
        <v>181</v>
      </c>
      <c r="B160" t="s">
        <v>182</v>
      </c>
      <c r="C160" s="2" t="s">
        <v>192</v>
      </c>
      <c r="D160" s="7">
        <v>0</v>
      </c>
      <c r="E160" s="1">
        <f t="shared" si="15"/>
        <v>0</v>
      </c>
      <c r="F160" s="1">
        <f t="shared" si="15"/>
        <v>0</v>
      </c>
      <c r="G160" s="1">
        <f t="shared" si="15"/>
        <v>0</v>
      </c>
      <c r="H160" s="1">
        <v>0</v>
      </c>
      <c r="I160" s="1">
        <v>0</v>
      </c>
      <c r="J160" s="1">
        <v>0</v>
      </c>
      <c r="K160" s="1">
        <f t="shared" si="16"/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U160" s="1">
        <v>0</v>
      </c>
      <c r="AD160" s="5" cm="1">
        <f t="array" ref="AD160">_xlfn.XLOOKUP(TRUE,E160:AB160&lt;&gt;"",E160:AB160,,,-1)</f>
        <v>0</v>
      </c>
    </row>
    <row r="161" spans="1:30">
      <c r="A161" t="s">
        <v>181</v>
      </c>
      <c r="B161" t="s">
        <v>182</v>
      </c>
      <c r="C161" s="2" t="s">
        <v>193</v>
      </c>
      <c r="D161" s="7">
        <v>0</v>
      </c>
      <c r="E161" s="1">
        <f t="shared" si="15"/>
        <v>0</v>
      </c>
      <c r="F161" s="1">
        <f t="shared" si="15"/>
        <v>0</v>
      </c>
      <c r="G161" s="1">
        <f t="shared" si="15"/>
        <v>0</v>
      </c>
      <c r="H161" s="1">
        <v>0</v>
      </c>
      <c r="I161" s="1">
        <v>0</v>
      </c>
      <c r="J161" s="1">
        <v>0</v>
      </c>
      <c r="K161" s="1">
        <f t="shared" si="16"/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U161" s="1">
        <v>0</v>
      </c>
      <c r="AD161" s="5" cm="1">
        <f t="array" ref="AD161">_xlfn.XLOOKUP(TRUE,E161:AB161&lt;&gt;"",E161:AB161,,,-1)</f>
        <v>0</v>
      </c>
    </row>
    <row r="162" spans="1:30">
      <c r="A162" t="s">
        <v>181</v>
      </c>
      <c r="B162" t="s">
        <v>182</v>
      </c>
      <c r="C162" s="2" t="s">
        <v>194</v>
      </c>
      <c r="D162" s="7">
        <v>0</v>
      </c>
      <c r="E162" s="1">
        <f t="shared" si="15"/>
        <v>0</v>
      </c>
      <c r="F162" s="1">
        <f t="shared" si="15"/>
        <v>0</v>
      </c>
      <c r="G162" s="1">
        <f t="shared" si="15"/>
        <v>0</v>
      </c>
      <c r="H162" s="1">
        <v>0</v>
      </c>
      <c r="I162" s="1">
        <v>0</v>
      </c>
      <c r="J162" s="1">
        <v>0</v>
      </c>
      <c r="K162" s="1">
        <f t="shared" si="16"/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U162" s="1">
        <v>0</v>
      </c>
      <c r="AD162" s="5" cm="1">
        <f t="array" ref="AD162">_xlfn.XLOOKUP(TRUE,E162:AB162&lt;&gt;"",E162:AB162,,,-1)</f>
        <v>0</v>
      </c>
    </row>
    <row r="163" spans="1:30">
      <c r="A163" t="s">
        <v>181</v>
      </c>
      <c r="B163" t="s">
        <v>181</v>
      </c>
      <c r="C163" s="2" t="s">
        <v>195</v>
      </c>
      <c r="D163" s="7">
        <v>0</v>
      </c>
      <c r="E163" s="1">
        <f t="shared" si="15"/>
        <v>0</v>
      </c>
      <c r="F163" s="1">
        <f t="shared" si="15"/>
        <v>0</v>
      </c>
      <c r="G163" s="1">
        <f t="shared" si="15"/>
        <v>0</v>
      </c>
      <c r="H163" s="1">
        <v>0</v>
      </c>
      <c r="I163" s="1">
        <v>0</v>
      </c>
      <c r="J163" s="1">
        <v>0</v>
      </c>
      <c r="K163" s="1">
        <f t="shared" si="16"/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U163" s="1">
        <v>0</v>
      </c>
      <c r="AD163" s="5" cm="1">
        <f t="array" ref="AD163">_xlfn.XLOOKUP(TRUE,E163:AB163&lt;&gt;"",E163:AB163,,,-1)</f>
        <v>0</v>
      </c>
    </row>
    <row r="164" spans="1:30">
      <c r="A164" t="s">
        <v>96</v>
      </c>
      <c r="B164" t="s">
        <v>96</v>
      </c>
      <c r="C164" s="2" t="s">
        <v>196</v>
      </c>
      <c r="D164" s="7">
        <v>0</v>
      </c>
      <c r="E164" s="1">
        <f t="shared" si="15"/>
        <v>2</v>
      </c>
      <c r="F164" s="1">
        <f t="shared" si="15"/>
        <v>2</v>
      </c>
      <c r="G164" s="1">
        <f t="shared" si="15"/>
        <v>2</v>
      </c>
      <c r="H164" s="1">
        <v>2</v>
      </c>
      <c r="I164" s="1">
        <v>2</v>
      </c>
      <c r="J164" s="1">
        <v>2</v>
      </c>
      <c r="K164" s="1">
        <f t="shared" si="16"/>
        <v>2</v>
      </c>
      <c r="L164" s="1">
        <v>2</v>
      </c>
      <c r="M164" s="1">
        <v>2</v>
      </c>
      <c r="N164" s="1">
        <v>2</v>
      </c>
      <c r="O164" s="1">
        <v>2</v>
      </c>
      <c r="P164" s="1">
        <v>2</v>
      </c>
      <c r="Q164" s="1">
        <v>2</v>
      </c>
      <c r="U164" s="1">
        <v>2</v>
      </c>
      <c r="AD164" s="5" cm="1">
        <f t="array" ref="AD164">_xlfn.XLOOKUP(TRUE,E164:AB164&lt;&gt;"",E164:AB164,,,-1)</f>
        <v>2</v>
      </c>
    </row>
    <row r="165" spans="1:30">
      <c r="A165" t="s">
        <v>96</v>
      </c>
      <c r="B165" t="s">
        <v>97</v>
      </c>
      <c r="C165" s="2" t="s">
        <v>197</v>
      </c>
      <c r="D165" s="7">
        <v>0</v>
      </c>
      <c r="E165" s="1">
        <f t="shared" si="15"/>
        <v>5</v>
      </c>
      <c r="F165" s="1">
        <f t="shared" si="15"/>
        <v>5</v>
      </c>
      <c r="G165" s="1">
        <f t="shared" si="15"/>
        <v>5</v>
      </c>
      <c r="H165" s="1">
        <v>5</v>
      </c>
      <c r="I165" s="1">
        <v>5</v>
      </c>
      <c r="J165" s="1">
        <v>5</v>
      </c>
      <c r="K165" s="1">
        <f t="shared" si="16"/>
        <v>5</v>
      </c>
      <c r="L165" s="1">
        <v>5</v>
      </c>
      <c r="M165" s="1">
        <v>5</v>
      </c>
      <c r="N165" s="1">
        <v>5</v>
      </c>
      <c r="O165" s="1">
        <v>5</v>
      </c>
      <c r="P165" s="1">
        <v>5</v>
      </c>
      <c r="Q165" s="1">
        <v>5</v>
      </c>
      <c r="U165" s="1">
        <v>5</v>
      </c>
      <c r="AD165" s="5" cm="1">
        <f t="array" ref="AD165">_xlfn.XLOOKUP(TRUE,E165:AB165&lt;&gt;"",E165:AB165,,,-1)</f>
        <v>5</v>
      </c>
    </row>
    <row r="166" spans="1:30">
      <c r="A166" t="s">
        <v>96</v>
      </c>
      <c r="B166" t="s">
        <v>97</v>
      </c>
      <c r="C166" s="2" t="s">
        <v>198</v>
      </c>
      <c r="D166" s="7">
        <v>0</v>
      </c>
      <c r="E166" s="1">
        <f t="shared" si="15"/>
        <v>5</v>
      </c>
      <c r="F166" s="1">
        <f t="shared" si="15"/>
        <v>5</v>
      </c>
      <c r="G166" s="1">
        <f t="shared" si="15"/>
        <v>5</v>
      </c>
      <c r="H166" s="1">
        <v>5</v>
      </c>
      <c r="I166" s="1">
        <v>5</v>
      </c>
      <c r="J166" s="1">
        <v>5</v>
      </c>
      <c r="K166" s="1">
        <f t="shared" si="16"/>
        <v>5</v>
      </c>
      <c r="L166" s="1">
        <v>5</v>
      </c>
      <c r="M166" s="1">
        <v>5</v>
      </c>
      <c r="N166" s="1">
        <v>5</v>
      </c>
      <c r="O166" s="1">
        <v>5</v>
      </c>
      <c r="P166" s="1">
        <v>5</v>
      </c>
      <c r="Q166" s="1">
        <v>5</v>
      </c>
      <c r="U166" s="1">
        <v>5</v>
      </c>
      <c r="AD166" s="5" cm="1">
        <f t="array" ref="AD166">_xlfn.XLOOKUP(TRUE,E166:AB166&lt;&gt;"",E166:AB166,,,-1)</f>
        <v>5</v>
      </c>
    </row>
    <row r="167" spans="1:30">
      <c r="A167" t="s">
        <v>96</v>
      </c>
      <c r="B167" t="s">
        <v>97</v>
      </c>
      <c r="C167" s="2" t="s">
        <v>199</v>
      </c>
      <c r="D167" s="7">
        <v>0</v>
      </c>
      <c r="E167" s="1">
        <f t="shared" si="15"/>
        <v>5</v>
      </c>
      <c r="F167" s="1">
        <f t="shared" si="15"/>
        <v>5</v>
      </c>
      <c r="G167" s="1">
        <f t="shared" si="15"/>
        <v>5</v>
      </c>
      <c r="H167" s="1">
        <v>5</v>
      </c>
      <c r="I167" s="1">
        <v>5</v>
      </c>
      <c r="J167" s="1">
        <v>5</v>
      </c>
      <c r="K167" s="1">
        <f t="shared" si="16"/>
        <v>5</v>
      </c>
      <c r="L167" s="1">
        <v>5</v>
      </c>
      <c r="M167" s="1">
        <v>5</v>
      </c>
      <c r="N167" s="1">
        <v>5</v>
      </c>
      <c r="O167" s="1">
        <v>5</v>
      </c>
      <c r="P167" s="1">
        <v>5</v>
      </c>
      <c r="Q167" s="1">
        <v>5</v>
      </c>
      <c r="U167" s="1">
        <v>5</v>
      </c>
      <c r="AD167" s="5" cm="1">
        <f t="array" ref="AD167">_xlfn.XLOOKUP(TRUE,E167:AB167&lt;&gt;"",E167:AB167,,,-1)</f>
        <v>5</v>
      </c>
    </row>
    <row r="168" spans="1:30">
      <c r="A168" t="s">
        <v>96</v>
      </c>
      <c r="B168" t="s">
        <v>97</v>
      </c>
      <c r="C168" s="2" t="s">
        <v>200</v>
      </c>
      <c r="D168" s="7">
        <v>0</v>
      </c>
      <c r="E168" s="1">
        <f t="shared" si="15"/>
        <v>21</v>
      </c>
      <c r="F168" s="1">
        <f t="shared" si="15"/>
        <v>21</v>
      </c>
      <c r="G168" s="1">
        <f t="shared" si="15"/>
        <v>21</v>
      </c>
      <c r="H168" s="1">
        <v>21</v>
      </c>
      <c r="I168" s="1">
        <v>21</v>
      </c>
      <c r="J168" s="1">
        <v>21</v>
      </c>
      <c r="K168" s="1">
        <f t="shared" si="16"/>
        <v>12</v>
      </c>
      <c r="L168" s="1">
        <v>12</v>
      </c>
      <c r="M168" s="1">
        <v>12</v>
      </c>
      <c r="N168" s="1">
        <v>12</v>
      </c>
      <c r="O168" s="1">
        <v>12</v>
      </c>
      <c r="P168" s="1">
        <v>12</v>
      </c>
      <c r="Q168" s="1">
        <v>12</v>
      </c>
      <c r="U168" s="1">
        <v>12</v>
      </c>
      <c r="AD168" s="5" cm="1">
        <f t="array" ref="AD168">_xlfn.XLOOKUP(TRUE,E168:AB168&lt;&gt;"",E168:AB168,,,-1)</f>
        <v>12</v>
      </c>
    </row>
    <row r="169" spans="1:30">
      <c r="A169" t="s">
        <v>96</v>
      </c>
      <c r="B169" t="s">
        <v>97</v>
      </c>
      <c r="C169" s="2" t="s">
        <v>201</v>
      </c>
      <c r="D169" s="7">
        <v>0</v>
      </c>
      <c r="E169" s="1">
        <f t="shared" si="15"/>
        <v>21</v>
      </c>
      <c r="F169" s="1">
        <f t="shared" si="15"/>
        <v>21</v>
      </c>
      <c r="G169" s="1">
        <f t="shared" si="15"/>
        <v>21</v>
      </c>
      <c r="H169" s="1">
        <v>21</v>
      </c>
      <c r="I169" s="1">
        <v>21</v>
      </c>
      <c r="J169" s="1">
        <v>21</v>
      </c>
      <c r="K169" s="1">
        <f t="shared" si="16"/>
        <v>12</v>
      </c>
      <c r="L169" s="1">
        <v>12</v>
      </c>
      <c r="M169" s="1">
        <v>12</v>
      </c>
      <c r="N169" s="1">
        <v>12</v>
      </c>
      <c r="O169" s="1">
        <v>12</v>
      </c>
      <c r="P169" s="1">
        <v>12</v>
      </c>
      <c r="Q169" s="1">
        <v>12</v>
      </c>
      <c r="U169" s="1">
        <v>12</v>
      </c>
      <c r="AD169" s="5" cm="1">
        <f t="array" ref="AD169">_xlfn.XLOOKUP(TRUE,E169:AB169&lt;&gt;"",E169:AB169,,,-1)</f>
        <v>12</v>
      </c>
    </row>
    <row r="170" spans="1:30">
      <c r="A170" t="s">
        <v>96</v>
      </c>
      <c r="B170" t="s">
        <v>97</v>
      </c>
      <c r="C170" s="2" t="s">
        <v>202</v>
      </c>
      <c r="D170" s="7">
        <v>0</v>
      </c>
      <c r="E170" s="1">
        <f t="shared" si="15"/>
        <v>22.2</v>
      </c>
      <c r="F170" s="1">
        <f t="shared" si="15"/>
        <v>22.2</v>
      </c>
      <c r="G170" s="1">
        <f t="shared" si="15"/>
        <v>22.2</v>
      </c>
      <c r="H170" s="1">
        <v>22.2</v>
      </c>
      <c r="I170" s="1">
        <v>22.2</v>
      </c>
      <c r="J170" s="1">
        <v>22.2</v>
      </c>
      <c r="K170" s="1">
        <f t="shared" si="16"/>
        <v>12</v>
      </c>
      <c r="L170" s="1">
        <v>12</v>
      </c>
      <c r="M170" s="1">
        <v>12</v>
      </c>
      <c r="N170" s="1">
        <v>12</v>
      </c>
      <c r="O170" s="1">
        <v>12</v>
      </c>
      <c r="P170" s="1">
        <v>12</v>
      </c>
      <c r="Q170" s="1">
        <v>12</v>
      </c>
      <c r="U170" s="1">
        <v>12</v>
      </c>
      <c r="AD170" s="5" cm="1">
        <f t="array" ref="AD170">_xlfn.XLOOKUP(TRUE,E170:AB170&lt;&gt;"",E170:AB170,,,-1)</f>
        <v>12</v>
      </c>
    </row>
    <row r="171" spans="1:30">
      <c r="A171" t="s">
        <v>96</v>
      </c>
      <c r="B171" t="s">
        <v>97</v>
      </c>
      <c r="C171" s="2" t="s">
        <v>203</v>
      </c>
      <c r="D171" s="7">
        <v>0</v>
      </c>
      <c r="E171" s="1">
        <f t="shared" si="15"/>
        <v>22.2</v>
      </c>
      <c r="F171" s="1">
        <f t="shared" si="15"/>
        <v>22.2</v>
      </c>
      <c r="G171" s="1">
        <f t="shared" si="15"/>
        <v>22.2</v>
      </c>
      <c r="H171" s="1">
        <v>22.2</v>
      </c>
      <c r="I171" s="1">
        <v>22.2</v>
      </c>
      <c r="J171" s="1">
        <v>22.2</v>
      </c>
      <c r="K171" s="1">
        <f t="shared" si="16"/>
        <v>12</v>
      </c>
      <c r="L171" s="1">
        <v>12</v>
      </c>
      <c r="M171" s="1">
        <v>12</v>
      </c>
      <c r="N171" s="1">
        <v>12</v>
      </c>
      <c r="O171" s="1">
        <v>12</v>
      </c>
      <c r="P171" s="1">
        <v>12</v>
      </c>
      <c r="Q171" s="1">
        <v>12</v>
      </c>
      <c r="U171" s="1">
        <v>12</v>
      </c>
      <c r="AD171" s="5" cm="1">
        <f t="array" ref="AD171">_xlfn.XLOOKUP(TRUE,E171:AB171&lt;&gt;"",E171:AB171,,,-1)</f>
        <v>12</v>
      </c>
    </row>
    <row r="172" spans="1:30">
      <c r="A172" t="s">
        <v>96</v>
      </c>
      <c r="B172" t="s">
        <v>97</v>
      </c>
      <c r="C172" s="2" t="s">
        <v>204</v>
      </c>
      <c r="D172" s="7">
        <v>0</v>
      </c>
      <c r="E172" s="1">
        <f t="shared" si="15"/>
        <v>22.2</v>
      </c>
      <c r="F172" s="1">
        <f t="shared" si="15"/>
        <v>22.2</v>
      </c>
      <c r="G172" s="1">
        <f t="shared" si="15"/>
        <v>22.2</v>
      </c>
      <c r="H172" s="1">
        <v>22.2</v>
      </c>
      <c r="I172" s="1">
        <v>22.2</v>
      </c>
      <c r="J172" s="1">
        <v>22.2</v>
      </c>
      <c r="K172" s="1">
        <f t="shared" si="16"/>
        <v>12</v>
      </c>
      <c r="L172" s="1">
        <v>12</v>
      </c>
      <c r="M172" s="1">
        <v>12</v>
      </c>
      <c r="N172" s="1">
        <v>12</v>
      </c>
      <c r="O172" s="1">
        <v>12</v>
      </c>
      <c r="P172" s="1">
        <v>12</v>
      </c>
      <c r="Q172" s="1">
        <v>25</v>
      </c>
      <c r="U172" s="1">
        <v>25</v>
      </c>
      <c r="AD172" s="5" cm="1">
        <f t="array" ref="AD172">_xlfn.XLOOKUP(TRUE,E172:AB172&lt;&gt;"",E172:AB172,,,-1)</f>
        <v>25</v>
      </c>
    </row>
    <row r="173" spans="1:30">
      <c r="A173" t="s">
        <v>96</v>
      </c>
      <c r="B173" t="s">
        <v>97</v>
      </c>
      <c r="C173" s="2" t="s">
        <v>205</v>
      </c>
      <c r="D173" s="7">
        <v>0</v>
      </c>
      <c r="E173" s="1">
        <f t="shared" si="15"/>
        <v>22.2</v>
      </c>
      <c r="F173" s="1">
        <f t="shared" si="15"/>
        <v>22.2</v>
      </c>
      <c r="G173" s="1">
        <f t="shared" si="15"/>
        <v>22.2</v>
      </c>
      <c r="H173" s="1">
        <v>22.2</v>
      </c>
      <c r="I173" s="1">
        <v>22.2</v>
      </c>
      <c r="J173" s="1">
        <v>22.2</v>
      </c>
      <c r="K173" s="1">
        <f t="shared" si="16"/>
        <v>12</v>
      </c>
      <c r="L173" s="1">
        <v>12</v>
      </c>
      <c r="M173" s="1">
        <v>12</v>
      </c>
      <c r="N173" s="1">
        <v>12</v>
      </c>
      <c r="O173" s="1">
        <v>12</v>
      </c>
      <c r="P173" s="1">
        <v>12</v>
      </c>
      <c r="Q173" s="1">
        <v>12</v>
      </c>
      <c r="U173" s="1">
        <v>25</v>
      </c>
      <c r="AD173" s="5" cm="1">
        <f t="array" ref="AD173">_xlfn.XLOOKUP(TRUE,E173:AB173&lt;&gt;"",E173:AB173,,,-1)</f>
        <v>25</v>
      </c>
    </row>
    <row r="174" spans="1:30">
      <c r="A174" t="s">
        <v>12</v>
      </c>
      <c r="B174" t="s">
        <v>18</v>
      </c>
      <c r="C174" s="2" t="s">
        <v>206</v>
      </c>
      <c r="D174" s="7">
        <v>0</v>
      </c>
      <c r="E174" s="1">
        <f t="shared" si="15"/>
        <v>11.1</v>
      </c>
      <c r="F174" s="1">
        <f t="shared" si="15"/>
        <v>11.1</v>
      </c>
      <c r="G174" s="1">
        <f t="shared" si="15"/>
        <v>11.1</v>
      </c>
      <c r="H174" s="1">
        <v>11.1</v>
      </c>
      <c r="I174" s="1">
        <v>11.1</v>
      </c>
      <c r="J174" s="1">
        <v>11.1</v>
      </c>
      <c r="K174" s="1">
        <f t="shared" si="16"/>
        <v>12</v>
      </c>
      <c r="L174" s="1">
        <v>12</v>
      </c>
      <c r="M174" s="1">
        <v>12</v>
      </c>
      <c r="N174" s="1">
        <v>12</v>
      </c>
      <c r="O174" s="1">
        <v>12</v>
      </c>
      <c r="P174" s="1">
        <v>12</v>
      </c>
      <c r="Q174" s="1">
        <v>12</v>
      </c>
      <c r="U174" s="1">
        <v>12</v>
      </c>
      <c r="AD174" s="5" cm="1">
        <f t="array" ref="AD174">_xlfn.XLOOKUP(TRUE,E174:AB174&lt;&gt;"",E174:AB174,,,-1)</f>
        <v>12</v>
      </c>
    </row>
    <row r="175" spans="1:30">
      <c r="A175" t="s">
        <v>207</v>
      </c>
      <c r="B175" t="s">
        <v>208</v>
      </c>
      <c r="C175" s="2" t="s">
        <v>209</v>
      </c>
      <c r="D175" s="7">
        <v>0</v>
      </c>
      <c r="E175" s="1">
        <f t="shared" si="15"/>
        <v>7.4</v>
      </c>
      <c r="F175" s="1">
        <f t="shared" si="15"/>
        <v>7.4</v>
      </c>
      <c r="G175" s="1">
        <f t="shared" si="15"/>
        <v>7.4</v>
      </c>
      <c r="H175" s="1">
        <v>7.4</v>
      </c>
      <c r="I175" s="1">
        <v>7.4</v>
      </c>
      <c r="J175" s="1">
        <v>7.4</v>
      </c>
      <c r="K175" s="1">
        <f t="shared" si="16"/>
        <v>8</v>
      </c>
      <c r="L175" s="1">
        <v>8</v>
      </c>
      <c r="M175" s="1">
        <v>8</v>
      </c>
      <c r="N175" s="1">
        <v>8</v>
      </c>
      <c r="O175" s="1">
        <v>8</v>
      </c>
      <c r="P175" s="1">
        <v>8</v>
      </c>
      <c r="Q175" s="1">
        <v>8</v>
      </c>
      <c r="U175" s="1">
        <v>8</v>
      </c>
      <c r="AD175" s="5" cm="1">
        <f t="array" ref="AD175">_xlfn.XLOOKUP(TRUE,E175:AB175&lt;&gt;"",E175:AB175,,,-1)</f>
        <v>8</v>
      </c>
    </row>
    <row r="176" spans="1:30">
      <c r="A176" t="s">
        <v>207</v>
      </c>
      <c r="B176" t="s">
        <v>210</v>
      </c>
      <c r="C176" s="2" t="s">
        <v>211</v>
      </c>
      <c r="D176" s="7">
        <v>0</v>
      </c>
      <c r="E176" s="1">
        <f t="shared" si="15"/>
        <v>7.4</v>
      </c>
      <c r="F176" s="1">
        <f t="shared" si="15"/>
        <v>7.4</v>
      </c>
      <c r="G176" s="1">
        <f t="shared" si="15"/>
        <v>7.4</v>
      </c>
      <c r="H176" s="1">
        <v>7.4</v>
      </c>
      <c r="I176" s="1">
        <v>7.4</v>
      </c>
      <c r="J176" s="1">
        <v>7.4</v>
      </c>
      <c r="K176" s="1">
        <f t="shared" si="16"/>
        <v>10</v>
      </c>
      <c r="L176" s="1">
        <v>10</v>
      </c>
      <c r="M176" s="1">
        <v>10</v>
      </c>
      <c r="N176" s="1">
        <v>10</v>
      </c>
      <c r="O176" s="1">
        <v>10</v>
      </c>
      <c r="P176" s="1">
        <v>10</v>
      </c>
      <c r="Q176" s="1">
        <v>10</v>
      </c>
      <c r="U176" s="1">
        <v>10</v>
      </c>
      <c r="AD176" s="5" cm="1">
        <f t="array" ref="AD176">_xlfn.XLOOKUP(TRUE,E176:AB176&lt;&gt;"",E176:AB176,,,-1)</f>
        <v>10</v>
      </c>
    </row>
    <row r="177" spans="1:30">
      <c r="A177" t="s">
        <v>207</v>
      </c>
      <c r="B177" t="s">
        <v>210</v>
      </c>
      <c r="C177" s="2" t="s">
        <v>212</v>
      </c>
      <c r="D177" s="7">
        <v>0</v>
      </c>
      <c r="E177" s="1">
        <f t="shared" si="15"/>
        <v>12.5</v>
      </c>
      <c r="F177" s="1">
        <f t="shared" si="15"/>
        <v>12.5</v>
      </c>
      <c r="G177" s="1">
        <f t="shared" si="15"/>
        <v>12.5</v>
      </c>
      <c r="H177" s="1">
        <v>12.5</v>
      </c>
      <c r="I177" s="1">
        <v>12.5</v>
      </c>
      <c r="J177" s="1">
        <v>12.5</v>
      </c>
      <c r="K177" s="1">
        <f t="shared" si="16"/>
        <v>10</v>
      </c>
      <c r="L177" s="1">
        <v>10</v>
      </c>
      <c r="M177" s="1">
        <v>10</v>
      </c>
      <c r="N177" s="1">
        <v>10</v>
      </c>
      <c r="O177" s="1">
        <v>10</v>
      </c>
      <c r="P177" s="1">
        <v>10</v>
      </c>
      <c r="Q177" s="1">
        <v>10</v>
      </c>
      <c r="U177" s="1">
        <v>10</v>
      </c>
      <c r="AD177" s="5" cm="1">
        <f t="array" ref="AD177">_xlfn.XLOOKUP(TRUE,E177:AB177&lt;&gt;"",E177:AB177,,,-1)</f>
        <v>10</v>
      </c>
    </row>
    <row r="178" spans="1:30">
      <c r="A178" t="s">
        <v>207</v>
      </c>
      <c r="B178" t="s">
        <v>210</v>
      </c>
      <c r="C178" s="2" t="s">
        <v>213</v>
      </c>
      <c r="D178" s="7">
        <v>0</v>
      </c>
      <c r="E178" s="1">
        <f t="shared" si="15"/>
        <v>12.5</v>
      </c>
      <c r="F178" s="1">
        <f t="shared" si="15"/>
        <v>12.5</v>
      </c>
      <c r="G178" s="1">
        <f t="shared" si="15"/>
        <v>12.5</v>
      </c>
      <c r="H178" s="1">
        <v>12.5</v>
      </c>
      <c r="I178" s="1">
        <v>12.5</v>
      </c>
      <c r="J178" s="1">
        <v>12.5</v>
      </c>
      <c r="K178" s="1">
        <f t="shared" si="16"/>
        <v>10</v>
      </c>
      <c r="L178" s="1">
        <v>10</v>
      </c>
      <c r="M178" s="1">
        <v>10</v>
      </c>
      <c r="N178" s="1">
        <v>10</v>
      </c>
      <c r="O178" s="1">
        <v>10</v>
      </c>
      <c r="P178" s="1">
        <v>10</v>
      </c>
      <c r="Q178" s="1">
        <v>10</v>
      </c>
      <c r="U178" s="1">
        <v>10</v>
      </c>
      <c r="AD178" s="5" cm="1">
        <f t="array" ref="AD178">_xlfn.XLOOKUP(TRUE,E178:AB178&lt;&gt;"",E178:AB178,,,-1)</f>
        <v>10</v>
      </c>
    </row>
    <row r="179" spans="1:30">
      <c r="A179" t="s">
        <v>207</v>
      </c>
      <c r="B179" t="s">
        <v>214</v>
      </c>
      <c r="C179" s="2" t="s">
        <v>215</v>
      </c>
      <c r="D179" s="7">
        <v>0</v>
      </c>
      <c r="E179" s="1">
        <f t="shared" si="15"/>
        <v>5.55</v>
      </c>
      <c r="F179" s="1">
        <f t="shared" si="15"/>
        <v>5.55</v>
      </c>
      <c r="G179" s="1">
        <f t="shared" si="15"/>
        <v>5.55</v>
      </c>
      <c r="H179" s="1">
        <v>5.55</v>
      </c>
      <c r="I179" s="1">
        <v>5.55</v>
      </c>
      <c r="J179" s="1">
        <v>5.55</v>
      </c>
      <c r="K179" s="1">
        <f t="shared" si="16"/>
        <v>10</v>
      </c>
      <c r="L179" s="1">
        <v>10</v>
      </c>
      <c r="M179" s="1">
        <v>10</v>
      </c>
      <c r="N179" s="1">
        <v>10</v>
      </c>
      <c r="O179" s="1">
        <v>10</v>
      </c>
      <c r="P179" s="1">
        <v>10</v>
      </c>
      <c r="Q179" s="1">
        <v>10</v>
      </c>
      <c r="U179" s="1">
        <v>10</v>
      </c>
      <c r="AD179" s="5" cm="1">
        <f t="array" ref="AD179">_xlfn.XLOOKUP(TRUE,E179:AB179&lt;&gt;"",E179:AB179,,,-1)</f>
        <v>10</v>
      </c>
    </row>
    <row r="180" spans="1:30">
      <c r="A180" t="s">
        <v>207</v>
      </c>
      <c r="B180" t="s">
        <v>214</v>
      </c>
      <c r="C180" s="2" t="s">
        <v>216</v>
      </c>
      <c r="D180" s="7">
        <v>0</v>
      </c>
      <c r="E180" s="1">
        <f t="shared" si="15"/>
        <v>5.55</v>
      </c>
      <c r="F180" s="1">
        <f t="shared" si="15"/>
        <v>5.55</v>
      </c>
      <c r="G180" s="1">
        <f t="shared" si="15"/>
        <v>5.55</v>
      </c>
      <c r="H180" s="1">
        <v>5.55</v>
      </c>
      <c r="I180" s="1">
        <v>5.55</v>
      </c>
      <c r="J180" s="1">
        <v>5.55</v>
      </c>
      <c r="K180" s="1">
        <f t="shared" si="16"/>
        <v>10</v>
      </c>
      <c r="L180" s="1">
        <v>10</v>
      </c>
      <c r="M180" s="1">
        <v>10</v>
      </c>
      <c r="N180" s="1">
        <v>10</v>
      </c>
      <c r="O180" s="1">
        <v>10</v>
      </c>
      <c r="P180" s="1">
        <v>10</v>
      </c>
      <c r="Q180" s="1">
        <v>10</v>
      </c>
      <c r="U180" s="1">
        <v>10</v>
      </c>
      <c r="AD180" s="5" cm="1">
        <f t="array" ref="AD180">_xlfn.XLOOKUP(TRUE,E180:AB180&lt;&gt;"",E180:AB180,,,-1)</f>
        <v>10</v>
      </c>
    </row>
    <row r="181" spans="1:30">
      <c r="A181" t="s">
        <v>207</v>
      </c>
      <c r="B181" t="s">
        <v>214</v>
      </c>
      <c r="C181" s="2" t="s">
        <v>217</v>
      </c>
      <c r="D181" s="7">
        <v>0</v>
      </c>
      <c r="E181" s="1">
        <f t="shared" si="15"/>
        <v>16.649999999999999</v>
      </c>
      <c r="F181" s="1">
        <f t="shared" si="15"/>
        <v>16.649999999999999</v>
      </c>
      <c r="G181" s="1">
        <f t="shared" si="15"/>
        <v>16.649999999999999</v>
      </c>
      <c r="H181" s="1">
        <v>16.649999999999999</v>
      </c>
      <c r="I181" s="1">
        <v>16.649999999999999</v>
      </c>
      <c r="J181" s="1">
        <v>16.649999999999999</v>
      </c>
      <c r="K181" s="1">
        <f t="shared" si="16"/>
        <v>25</v>
      </c>
      <c r="L181" s="1">
        <v>25</v>
      </c>
      <c r="M181" s="1">
        <v>25</v>
      </c>
      <c r="N181" s="1">
        <v>25</v>
      </c>
      <c r="O181" s="1">
        <v>25</v>
      </c>
      <c r="P181" s="1">
        <v>25</v>
      </c>
      <c r="Q181" s="1">
        <v>25</v>
      </c>
      <c r="U181" s="1">
        <v>25</v>
      </c>
      <c r="AD181" s="5" cm="1">
        <f t="array" ref="AD181">_xlfn.XLOOKUP(TRUE,E181:AB181&lt;&gt;"",E181:AB181,,,-1)</f>
        <v>25</v>
      </c>
    </row>
    <row r="182" spans="1:30">
      <c r="A182" t="s">
        <v>207</v>
      </c>
      <c r="B182" t="s">
        <v>214</v>
      </c>
      <c r="C182" s="2" t="s">
        <v>218</v>
      </c>
      <c r="D182" s="7">
        <v>0</v>
      </c>
      <c r="E182" s="1">
        <f t="shared" si="15"/>
        <v>5.55</v>
      </c>
      <c r="F182" s="1">
        <f t="shared" si="15"/>
        <v>5.55</v>
      </c>
      <c r="G182" s="1">
        <f t="shared" si="15"/>
        <v>5.55</v>
      </c>
      <c r="H182" s="1">
        <v>5.55</v>
      </c>
      <c r="I182" s="1">
        <v>5.55</v>
      </c>
      <c r="J182" s="1">
        <v>5.55</v>
      </c>
      <c r="K182" s="1">
        <f t="shared" si="16"/>
        <v>10</v>
      </c>
      <c r="L182" s="1">
        <v>10</v>
      </c>
      <c r="M182" s="1">
        <v>10</v>
      </c>
      <c r="N182" s="1">
        <v>10</v>
      </c>
      <c r="O182" s="1">
        <v>10</v>
      </c>
      <c r="P182" s="1">
        <v>10</v>
      </c>
      <c r="Q182" s="1">
        <v>10</v>
      </c>
      <c r="U182" s="1">
        <v>10</v>
      </c>
      <c r="AD182" s="5" cm="1">
        <f t="array" ref="AD182">_xlfn.XLOOKUP(TRUE,E182:AB182&lt;&gt;"",E182:AB182,,,-1)</f>
        <v>10</v>
      </c>
    </row>
    <row r="183" spans="1:30">
      <c r="A183" t="s">
        <v>207</v>
      </c>
      <c r="B183" t="s">
        <v>208</v>
      </c>
      <c r="C183" s="2" t="s">
        <v>219</v>
      </c>
      <c r="D183" s="7">
        <v>0</v>
      </c>
      <c r="E183" s="1">
        <f t="shared" si="15"/>
        <v>7.4</v>
      </c>
      <c r="F183" s="1">
        <f t="shared" si="15"/>
        <v>7.4</v>
      </c>
      <c r="G183" s="1">
        <f t="shared" si="15"/>
        <v>7.4</v>
      </c>
      <c r="H183" s="1">
        <v>7.4</v>
      </c>
      <c r="I183" s="1">
        <v>7.4</v>
      </c>
      <c r="J183" s="1">
        <v>7.4</v>
      </c>
      <c r="K183" s="1">
        <f t="shared" si="16"/>
        <v>15</v>
      </c>
      <c r="L183" s="1">
        <v>15</v>
      </c>
      <c r="M183" s="1">
        <v>15</v>
      </c>
      <c r="N183" s="1">
        <v>15</v>
      </c>
      <c r="O183" s="1">
        <v>15</v>
      </c>
      <c r="P183" s="1">
        <v>15</v>
      </c>
      <c r="Q183" s="1">
        <v>15</v>
      </c>
      <c r="U183" s="1">
        <v>15</v>
      </c>
      <c r="AD183" s="5" cm="1">
        <f t="array" ref="AD183">_xlfn.XLOOKUP(TRUE,E183:AB183&lt;&gt;"",E183:AB183,,,-1)</f>
        <v>15</v>
      </c>
    </row>
    <row r="184" spans="1:30">
      <c r="A184" t="s">
        <v>207</v>
      </c>
      <c r="B184" t="s">
        <v>210</v>
      </c>
      <c r="C184" s="2" t="s">
        <v>220</v>
      </c>
      <c r="D184" s="7">
        <v>0</v>
      </c>
      <c r="E184" s="1">
        <f t="shared" si="15"/>
        <v>22.2</v>
      </c>
      <c r="F184" s="1">
        <f t="shared" si="15"/>
        <v>22.2</v>
      </c>
      <c r="G184" s="1">
        <f t="shared" si="15"/>
        <v>22.2</v>
      </c>
      <c r="H184" s="1">
        <v>22.2</v>
      </c>
      <c r="I184" s="1">
        <v>22.2</v>
      </c>
      <c r="J184" s="1">
        <v>22.2</v>
      </c>
      <c r="K184" s="1">
        <f t="shared" si="16"/>
        <v>20</v>
      </c>
      <c r="L184" s="1">
        <v>20</v>
      </c>
      <c r="M184" s="1">
        <v>20</v>
      </c>
      <c r="N184" s="1">
        <v>20</v>
      </c>
      <c r="O184" s="1">
        <v>20</v>
      </c>
      <c r="P184" s="1">
        <v>20</v>
      </c>
      <c r="Q184" s="1">
        <v>20</v>
      </c>
      <c r="U184" s="1">
        <v>20</v>
      </c>
      <c r="AD184" s="5" cm="1">
        <f t="array" ref="AD184">_xlfn.XLOOKUP(TRUE,E184:AB184&lt;&gt;"",E184:AB184,,,-1)</f>
        <v>20</v>
      </c>
    </row>
    <row r="185" spans="1:30">
      <c r="A185" t="s">
        <v>207</v>
      </c>
      <c r="B185" t="s">
        <v>221</v>
      </c>
      <c r="C185" s="2" t="s">
        <v>221</v>
      </c>
      <c r="D185" s="7">
        <v>0</v>
      </c>
      <c r="E185" s="1">
        <f t="shared" si="15"/>
        <v>0</v>
      </c>
      <c r="F185" s="1">
        <f t="shared" si="15"/>
        <v>0</v>
      </c>
      <c r="G185" s="1">
        <f t="shared" si="15"/>
        <v>0</v>
      </c>
      <c r="H185" s="1">
        <v>0</v>
      </c>
      <c r="I185" s="1">
        <v>0</v>
      </c>
      <c r="J185" s="1">
        <v>0</v>
      </c>
      <c r="K185" s="1">
        <f t="shared" si="16"/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U185" s="1">
        <v>0</v>
      </c>
      <c r="AD185" s="5" cm="1">
        <f t="array" ref="AD185">_xlfn.XLOOKUP(TRUE,E185:AB185&lt;&gt;"",E185:AB185,,,-1)</f>
        <v>0</v>
      </c>
    </row>
    <row r="186" spans="1:30">
      <c r="A186" t="s">
        <v>207</v>
      </c>
      <c r="B186" t="s">
        <v>221</v>
      </c>
      <c r="C186" s="2" t="s">
        <v>222</v>
      </c>
      <c r="D186" s="7">
        <v>0</v>
      </c>
      <c r="E186" s="1">
        <f t="shared" si="15"/>
        <v>0</v>
      </c>
      <c r="F186" s="1">
        <f t="shared" si="15"/>
        <v>0</v>
      </c>
      <c r="G186" s="1">
        <f t="shared" si="15"/>
        <v>0</v>
      </c>
      <c r="H186" s="1">
        <v>0</v>
      </c>
      <c r="I186" s="1">
        <v>0</v>
      </c>
      <c r="J186" s="1">
        <v>0</v>
      </c>
      <c r="K186" s="1">
        <f t="shared" si="16"/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U186" s="1">
        <v>0</v>
      </c>
      <c r="AD186" s="5" cm="1">
        <f t="array" ref="AD186">_xlfn.XLOOKUP(TRUE,E186:AB186&lt;&gt;"",E186:AB186,,,-1)</f>
        <v>0</v>
      </c>
    </row>
    <row r="187" spans="1:30">
      <c r="A187" t="s">
        <v>12</v>
      </c>
      <c r="B187" t="s">
        <v>18</v>
      </c>
      <c r="C187" s="2" t="s">
        <v>223</v>
      </c>
      <c r="D187" s="7">
        <v>0</v>
      </c>
      <c r="E187" s="1">
        <f t="shared" si="15"/>
        <v>11.1</v>
      </c>
      <c r="F187" s="1">
        <f t="shared" si="15"/>
        <v>11.1</v>
      </c>
      <c r="G187" s="1">
        <f t="shared" si="15"/>
        <v>11.1</v>
      </c>
      <c r="H187" s="1">
        <v>11.1</v>
      </c>
      <c r="I187" s="1">
        <v>11.1</v>
      </c>
      <c r="J187" s="1">
        <v>11.1</v>
      </c>
      <c r="K187" s="1">
        <f t="shared" si="16"/>
        <v>12</v>
      </c>
      <c r="L187" s="1">
        <v>12</v>
      </c>
      <c r="M187" s="1">
        <v>12</v>
      </c>
      <c r="N187" s="1">
        <v>12</v>
      </c>
      <c r="O187" s="1">
        <v>12</v>
      </c>
      <c r="P187" s="1">
        <v>12</v>
      </c>
      <c r="Q187" s="1">
        <v>12</v>
      </c>
      <c r="U187" s="1">
        <v>12</v>
      </c>
      <c r="AD187" s="5" cm="1">
        <f t="array" ref="AD187">_xlfn.XLOOKUP(TRUE,E187:AB187&lt;&gt;"",E187:AB187,,,-1)</f>
        <v>12</v>
      </c>
    </row>
    <row r="188" spans="1:30">
      <c r="A188" t="s">
        <v>12</v>
      </c>
      <c r="B188" t="s">
        <v>18</v>
      </c>
      <c r="C188" s="2" t="s">
        <v>224</v>
      </c>
      <c r="D188" s="7">
        <v>0</v>
      </c>
      <c r="E188" s="1">
        <f t="shared" si="15"/>
        <v>11.1</v>
      </c>
      <c r="F188" s="1">
        <f t="shared" si="15"/>
        <v>11.1</v>
      </c>
      <c r="G188" s="1">
        <f t="shared" si="15"/>
        <v>11.1</v>
      </c>
      <c r="H188" s="1">
        <v>11.1</v>
      </c>
      <c r="I188" s="1">
        <v>11.1</v>
      </c>
      <c r="J188" s="1">
        <v>11.1</v>
      </c>
      <c r="K188" s="1">
        <f t="shared" si="16"/>
        <v>12</v>
      </c>
      <c r="L188" s="1">
        <v>12</v>
      </c>
      <c r="M188" s="1">
        <v>12</v>
      </c>
      <c r="N188" s="1">
        <v>12</v>
      </c>
      <c r="O188" s="1">
        <v>12</v>
      </c>
      <c r="P188" s="1">
        <v>12</v>
      </c>
      <c r="Q188" s="1">
        <v>12</v>
      </c>
      <c r="U188" s="1">
        <v>12</v>
      </c>
      <c r="AD188" s="5" cm="1">
        <f t="array" ref="AD188">_xlfn.XLOOKUP(TRUE,E188:AB188&lt;&gt;"",E188:AB188,,,-1)</f>
        <v>12</v>
      </c>
    </row>
    <row r="189" spans="1:30">
      <c r="A189" t="s">
        <v>207</v>
      </c>
      <c r="B189" t="s">
        <v>225</v>
      </c>
      <c r="C189" s="2" t="s">
        <v>225</v>
      </c>
      <c r="D189" s="7">
        <v>0</v>
      </c>
      <c r="E189" s="1">
        <f t="shared" si="15"/>
        <v>14.8</v>
      </c>
      <c r="F189" s="1">
        <f t="shared" si="15"/>
        <v>14.8</v>
      </c>
      <c r="G189" s="1">
        <f t="shared" si="15"/>
        <v>14.8</v>
      </c>
      <c r="H189" s="1">
        <v>14.8</v>
      </c>
      <c r="I189" s="1">
        <v>14.8</v>
      </c>
      <c r="J189" s="1">
        <v>14.8</v>
      </c>
      <c r="K189" s="1">
        <f t="shared" si="16"/>
        <v>15</v>
      </c>
      <c r="L189" s="1">
        <v>15</v>
      </c>
      <c r="M189" s="1">
        <v>15</v>
      </c>
      <c r="N189" s="1">
        <v>15</v>
      </c>
      <c r="O189" s="1">
        <v>15</v>
      </c>
      <c r="P189" s="1">
        <v>15</v>
      </c>
      <c r="Q189" s="1">
        <v>15</v>
      </c>
      <c r="U189" s="1">
        <v>15</v>
      </c>
      <c r="AD189" s="5" cm="1">
        <f t="array" ref="AD189">_xlfn.XLOOKUP(TRUE,E189:AB189&lt;&gt;"",E189:AB189,,,-1)</f>
        <v>15</v>
      </c>
    </row>
    <row r="190" spans="1:30">
      <c r="A190" t="s">
        <v>207</v>
      </c>
      <c r="B190" t="s">
        <v>225</v>
      </c>
      <c r="C190" s="2" t="s">
        <v>226</v>
      </c>
      <c r="D190" s="7">
        <v>0</v>
      </c>
      <c r="E190" s="1">
        <f t="shared" si="15"/>
        <v>14.8</v>
      </c>
      <c r="F190" s="1">
        <f t="shared" si="15"/>
        <v>14.8</v>
      </c>
      <c r="G190" s="1">
        <f t="shared" si="15"/>
        <v>14.8</v>
      </c>
      <c r="H190" s="1">
        <v>14.8</v>
      </c>
      <c r="I190" s="1">
        <v>14.8</v>
      </c>
      <c r="J190" s="1">
        <v>14.8</v>
      </c>
      <c r="K190" s="1">
        <f t="shared" si="16"/>
        <v>15</v>
      </c>
      <c r="L190" s="1">
        <v>15</v>
      </c>
      <c r="M190" s="1">
        <v>15</v>
      </c>
      <c r="N190" s="1">
        <v>15</v>
      </c>
      <c r="O190" s="1">
        <v>15</v>
      </c>
      <c r="P190" s="1">
        <v>15</v>
      </c>
      <c r="Q190" s="1">
        <v>15</v>
      </c>
      <c r="U190" s="1">
        <v>15</v>
      </c>
      <c r="AD190" s="5" cm="1">
        <f t="array" ref="AD190">_xlfn.XLOOKUP(TRUE,E190:AB190&lt;&gt;"",E190:AB190,,,-1)</f>
        <v>15</v>
      </c>
    </row>
    <row r="191" spans="1:30">
      <c r="A191" t="s">
        <v>207</v>
      </c>
      <c r="B191" t="s">
        <v>225</v>
      </c>
      <c r="C191" s="2" t="s">
        <v>227</v>
      </c>
      <c r="D191" s="7">
        <v>0</v>
      </c>
      <c r="E191" s="1">
        <f t="shared" si="15"/>
        <v>11.1</v>
      </c>
      <c r="F191" s="1">
        <f t="shared" si="15"/>
        <v>11.1</v>
      </c>
      <c r="G191" s="1">
        <f t="shared" si="15"/>
        <v>11.1</v>
      </c>
      <c r="H191" s="1">
        <v>11.1</v>
      </c>
      <c r="I191" s="1">
        <v>11.1</v>
      </c>
      <c r="J191" s="1">
        <v>11.1</v>
      </c>
      <c r="K191" s="1">
        <f t="shared" si="16"/>
        <v>12</v>
      </c>
      <c r="L191" s="1">
        <v>12</v>
      </c>
      <c r="M191" s="1">
        <v>12</v>
      </c>
      <c r="N191" s="1">
        <v>12</v>
      </c>
      <c r="O191" s="1">
        <v>12</v>
      </c>
      <c r="P191" s="1">
        <v>12</v>
      </c>
      <c r="Q191" s="1">
        <v>12</v>
      </c>
      <c r="U191" s="1">
        <v>12</v>
      </c>
      <c r="AD191" s="5" cm="1">
        <f t="array" ref="AD191">_xlfn.XLOOKUP(TRUE,E191:AB191&lt;&gt;"",E191:AB191,,,-1)</f>
        <v>12</v>
      </c>
    </row>
    <row r="192" spans="1:30">
      <c r="A192" t="s">
        <v>207</v>
      </c>
      <c r="B192" t="s">
        <v>225</v>
      </c>
      <c r="C192" s="2" t="s">
        <v>228</v>
      </c>
      <c r="D192" s="7">
        <v>0</v>
      </c>
      <c r="E192" s="1">
        <f t="shared" si="15"/>
        <v>11.1</v>
      </c>
      <c r="F192" s="1">
        <f t="shared" si="15"/>
        <v>11.1</v>
      </c>
      <c r="G192" s="1">
        <f t="shared" si="15"/>
        <v>11.1</v>
      </c>
      <c r="H192" s="1">
        <v>11.1</v>
      </c>
      <c r="I192" s="1">
        <v>11.1</v>
      </c>
      <c r="J192" s="1">
        <v>11.1</v>
      </c>
      <c r="K192" s="1">
        <f t="shared" si="16"/>
        <v>12</v>
      </c>
      <c r="L192" s="1">
        <v>12</v>
      </c>
      <c r="M192" s="1">
        <v>12</v>
      </c>
      <c r="N192" s="1">
        <v>12</v>
      </c>
      <c r="O192" s="1">
        <v>12</v>
      </c>
      <c r="P192" s="1">
        <v>12</v>
      </c>
      <c r="Q192" s="1">
        <v>12</v>
      </c>
      <c r="U192" s="1">
        <v>12</v>
      </c>
      <c r="AD192" s="5" cm="1">
        <f t="array" ref="AD192">_xlfn.XLOOKUP(TRUE,E192:AB192&lt;&gt;"",E192:AB192,,,-1)</f>
        <v>12</v>
      </c>
    </row>
    <row r="193" spans="1:30">
      <c r="A193" t="s">
        <v>207</v>
      </c>
      <c r="B193" t="s">
        <v>225</v>
      </c>
      <c r="C193" s="2" t="s">
        <v>229</v>
      </c>
      <c r="D193" s="7">
        <v>0</v>
      </c>
      <c r="E193" s="1">
        <f t="shared" si="15"/>
        <v>11.1</v>
      </c>
      <c r="F193" s="1">
        <f t="shared" si="15"/>
        <v>11.1</v>
      </c>
      <c r="G193" s="1">
        <f t="shared" si="15"/>
        <v>11.1</v>
      </c>
      <c r="H193" s="1">
        <v>11.1</v>
      </c>
      <c r="I193" s="1">
        <v>11.1</v>
      </c>
      <c r="J193" s="1">
        <v>11.1</v>
      </c>
      <c r="K193" s="1">
        <f t="shared" si="16"/>
        <v>12</v>
      </c>
      <c r="L193" s="1">
        <v>12</v>
      </c>
      <c r="M193" s="1">
        <v>12</v>
      </c>
      <c r="N193" s="1">
        <v>12</v>
      </c>
      <c r="O193" s="1">
        <v>12</v>
      </c>
      <c r="P193" s="1">
        <v>12</v>
      </c>
      <c r="Q193" s="1">
        <v>12</v>
      </c>
      <c r="U193" s="1">
        <v>12</v>
      </c>
      <c r="AD193" s="5" cm="1">
        <f t="array" ref="AD193">_xlfn.XLOOKUP(TRUE,E193:AB193&lt;&gt;"",E193:AB193,,,-1)</f>
        <v>12</v>
      </c>
    </row>
    <row r="194" spans="1:30">
      <c r="A194" t="s">
        <v>207</v>
      </c>
      <c r="B194" t="s">
        <v>230</v>
      </c>
      <c r="C194" s="2" t="s">
        <v>231</v>
      </c>
      <c r="D194" s="7">
        <v>0</v>
      </c>
      <c r="E194" s="1">
        <f t="shared" ref="E194:G225" si="17">F194</f>
        <v>0</v>
      </c>
      <c r="F194" s="1">
        <f t="shared" si="17"/>
        <v>0</v>
      </c>
      <c r="G194" s="1">
        <f t="shared" si="17"/>
        <v>0</v>
      </c>
      <c r="H194" s="1">
        <v>0</v>
      </c>
      <c r="I194" s="1">
        <v>0</v>
      </c>
      <c r="J194" s="1">
        <v>12.5</v>
      </c>
      <c r="K194" s="1">
        <f t="shared" ref="K194:K225" si="18">L194</f>
        <v>12.5</v>
      </c>
      <c r="L194" s="1">
        <v>12.5</v>
      </c>
      <c r="M194" s="1">
        <v>12.5</v>
      </c>
      <c r="N194" s="1">
        <v>12.5</v>
      </c>
      <c r="O194" s="1">
        <v>12.5</v>
      </c>
      <c r="P194" s="1">
        <v>12.5</v>
      </c>
      <c r="Q194" s="1">
        <v>12.5</v>
      </c>
      <c r="U194" s="1">
        <v>0</v>
      </c>
      <c r="AD194" s="5" cm="1">
        <f t="array" ref="AD194">_xlfn.XLOOKUP(TRUE,E194:AB194&lt;&gt;"",E194:AB194,,,-1)</f>
        <v>0</v>
      </c>
    </row>
    <row r="195" spans="1:30">
      <c r="A195" t="s">
        <v>207</v>
      </c>
      <c r="B195" t="s">
        <v>230</v>
      </c>
      <c r="C195" s="2" t="s">
        <v>232</v>
      </c>
      <c r="D195" s="7">
        <v>0</v>
      </c>
      <c r="E195" s="1">
        <f t="shared" si="17"/>
        <v>0</v>
      </c>
      <c r="F195" s="1">
        <f t="shared" si="17"/>
        <v>0</v>
      </c>
      <c r="G195" s="1">
        <f t="shared" si="17"/>
        <v>0</v>
      </c>
      <c r="H195" s="1">
        <v>0</v>
      </c>
      <c r="I195" s="1">
        <v>0</v>
      </c>
      <c r="J195" s="1">
        <v>12.5</v>
      </c>
      <c r="K195" s="1">
        <f t="shared" si="18"/>
        <v>12.5</v>
      </c>
      <c r="L195" s="1">
        <v>12.5</v>
      </c>
      <c r="M195" s="1">
        <v>12.5</v>
      </c>
      <c r="N195" s="1">
        <v>12.5</v>
      </c>
      <c r="O195" s="1">
        <v>12.5</v>
      </c>
      <c r="P195" s="1">
        <v>12.5</v>
      </c>
      <c r="Q195" s="1">
        <v>12.5</v>
      </c>
      <c r="U195" s="1">
        <v>0</v>
      </c>
      <c r="AD195" s="5" cm="1">
        <f t="array" ref="AD195">_xlfn.XLOOKUP(TRUE,E195:AB195&lt;&gt;"",E195:AB195,,,-1)</f>
        <v>0</v>
      </c>
    </row>
    <row r="196" spans="1:30">
      <c r="A196" t="s">
        <v>207</v>
      </c>
      <c r="B196" t="s">
        <v>230</v>
      </c>
      <c r="C196" s="2" t="s">
        <v>233</v>
      </c>
      <c r="D196" s="7">
        <v>0</v>
      </c>
      <c r="E196" s="1">
        <f t="shared" si="17"/>
        <v>0</v>
      </c>
      <c r="F196" s="1">
        <f t="shared" si="17"/>
        <v>0</v>
      </c>
      <c r="G196" s="1">
        <f t="shared" si="17"/>
        <v>0</v>
      </c>
      <c r="H196" s="1">
        <v>0</v>
      </c>
      <c r="I196" s="1">
        <v>0</v>
      </c>
      <c r="J196" s="1">
        <v>12.5</v>
      </c>
      <c r="K196" s="1">
        <f t="shared" si="18"/>
        <v>12.5</v>
      </c>
      <c r="L196" s="1">
        <v>12.5</v>
      </c>
      <c r="M196" s="1">
        <v>12.5</v>
      </c>
      <c r="N196" s="1">
        <v>12.5</v>
      </c>
      <c r="O196" s="1">
        <v>12.5</v>
      </c>
      <c r="P196" s="1">
        <v>12.5</v>
      </c>
      <c r="Q196" s="1">
        <v>12.5</v>
      </c>
      <c r="U196" s="1">
        <v>0</v>
      </c>
      <c r="AD196" s="5" cm="1">
        <f t="array" ref="AD196">_xlfn.XLOOKUP(TRUE,E196:AB196&lt;&gt;"",E196:AB196,,,-1)</f>
        <v>0</v>
      </c>
    </row>
    <row r="197" spans="1:30">
      <c r="A197" t="s">
        <v>207</v>
      </c>
      <c r="B197" t="s">
        <v>230</v>
      </c>
      <c r="C197" s="2" t="s">
        <v>234</v>
      </c>
      <c r="D197" s="7">
        <v>0</v>
      </c>
      <c r="E197" s="1">
        <f t="shared" si="17"/>
        <v>0</v>
      </c>
      <c r="F197" s="1">
        <f t="shared" si="17"/>
        <v>0</v>
      </c>
      <c r="G197" s="1">
        <f t="shared" si="17"/>
        <v>0</v>
      </c>
      <c r="H197" s="1">
        <v>0</v>
      </c>
      <c r="I197" s="1">
        <v>0</v>
      </c>
      <c r="J197" s="1">
        <v>12.5</v>
      </c>
      <c r="K197" s="1">
        <f t="shared" si="18"/>
        <v>12.5</v>
      </c>
      <c r="L197" s="1">
        <v>12.5</v>
      </c>
      <c r="M197" s="1">
        <v>12.5</v>
      </c>
      <c r="N197" s="1">
        <v>12.5</v>
      </c>
      <c r="O197" s="1">
        <v>12.5</v>
      </c>
      <c r="P197" s="1">
        <v>12.5</v>
      </c>
      <c r="Q197" s="1">
        <v>12.5</v>
      </c>
      <c r="U197" s="1">
        <v>0</v>
      </c>
      <c r="AD197" s="5" cm="1">
        <f t="array" ref="AD197">_xlfn.XLOOKUP(TRUE,E197:AB197&lt;&gt;"",E197:AB197,,,-1)</f>
        <v>0</v>
      </c>
    </row>
    <row r="198" spans="1:30">
      <c r="A198" t="s">
        <v>207</v>
      </c>
      <c r="B198" t="s">
        <v>230</v>
      </c>
      <c r="C198" s="2" t="s">
        <v>235</v>
      </c>
      <c r="D198" s="7">
        <v>0</v>
      </c>
      <c r="E198" s="1">
        <f t="shared" si="17"/>
        <v>0</v>
      </c>
      <c r="F198" s="1">
        <f t="shared" si="17"/>
        <v>0</v>
      </c>
      <c r="G198" s="1">
        <f t="shared" si="17"/>
        <v>0</v>
      </c>
      <c r="H198" s="1">
        <v>0</v>
      </c>
      <c r="I198" s="1">
        <v>0</v>
      </c>
      <c r="J198" s="1">
        <v>0</v>
      </c>
      <c r="K198" s="1">
        <f t="shared" si="18"/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U198" s="1">
        <v>12.5</v>
      </c>
      <c r="AD198" s="5" cm="1">
        <f t="array" ref="AD198">_xlfn.XLOOKUP(TRUE,E198:AB198&lt;&gt;"",E198:AB198,,,-1)</f>
        <v>12.5</v>
      </c>
    </row>
    <row r="199" spans="1:30">
      <c r="A199" t="s">
        <v>207</v>
      </c>
      <c r="B199" t="s">
        <v>230</v>
      </c>
      <c r="C199" s="2" t="s">
        <v>236</v>
      </c>
      <c r="D199" s="7">
        <v>0</v>
      </c>
      <c r="E199" s="1">
        <f t="shared" si="17"/>
        <v>0</v>
      </c>
      <c r="F199" s="1">
        <f t="shared" si="17"/>
        <v>0</v>
      </c>
      <c r="G199" s="1">
        <f t="shared" si="17"/>
        <v>0</v>
      </c>
      <c r="H199" s="1">
        <v>0</v>
      </c>
      <c r="I199" s="1">
        <v>0</v>
      </c>
      <c r="J199" s="1">
        <v>0</v>
      </c>
      <c r="K199" s="1">
        <f t="shared" si="18"/>
        <v>5</v>
      </c>
      <c r="L199" s="1">
        <v>5</v>
      </c>
      <c r="M199" s="1">
        <v>5</v>
      </c>
      <c r="N199" s="1">
        <v>5</v>
      </c>
      <c r="O199" s="1">
        <v>5</v>
      </c>
      <c r="P199" s="1">
        <v>5</v>
      </c>
      <c r="Q199" s="1">
        <v>5</v>
      </c>
      <c r="U199" s="1">
        <v>5</v>
      </c>
      <c r="AD199" s="5" cm="1">
        <f t="array" ref="AD199">_xlfn.XLOOKUP(TRUE,E199:AB199&lt;&gt;"",E199:AB199,,,-1)</f>
        <v>5</v>
      </c>
    </row>
    <row r="200" spans="1:30">
      <c r="A200" t="s">
        <v>207</v>
      </c>
      <c r="B200" t="s">
        <v>230</v>
      </c>
      <c r="C200" s="2" t="s">
        <v>237</v>
      </c>
      <c r="D200" s="7">
        <v>0</v>
      </c>
      <c r="E200" s="1">
        <f t="shared" si="17"/>
        <v>0</v>
      </c>
      <c r="F200" s="1">
        <f t="shared" si="17"/>
        <v>0</v>
      </c>
      <c r="G200" s="1">
        <f t="shared" si="17"/>
        <v>0</v>
      </c>
      <c r="H200" s="1">
        <v>0</v>
      </c>
      <c r="I200" s="1">
        <v>0</v>
      </c>
      <c r="J200" s="1">
        <v>0</v>
      </c>
      <c r="K200" s="1">
        <f t="shared" si="18"/>
        <v>12.5</v>
      </c>
      <c r="L200" s="1">
        <v>12.5</v>
      </c>
      <c r="M200" s="1">
        <v>12.5</v>
      </c>
      <c r="N200" s="1">
        <v>12.5</v>
      </c>
      <c r="O200" s="1">
        <v>12.5</v>
      </c>
      <c r="P200" s="1">
        <v>12.5</v>
      </c>
      <c r="Q200" s="1">
        <v>12.5</v>
      </c>
      <c r="U200" s="1">
        <v>0</v>
      </c>
      <c r="AD200" s="5" cm="1">
        <f t="array" ref="AD200">_xlfn.XLOOKUP(TRUE,E200:AB200&lt;&gt;"",E200:AB200,,,-1)</f>
        <v>0</v>
      </c>
    </row>
    <row r="201" spans="1:30">
      <c r="A201" t="s">
        <v>100</v>
      </c>
      <c r="B201" t="s">
        <v>100</v>
      </c>
      <c r="C201" s="2" t="s">
        <v>238</v>
      </c>
      <c r="D201" s="7">
        <v>0</v>
      </c>
      <c r="E201" s="1">
        <f t="shared" si="17"/>
        <v>0</v>
      </c>
      <c r="F201" s="1">
        <f t="shared" si="17"/>
        <v>0</v>
      </c>
      <c r="G201" s="1">
        <f t="shared" si="17"/>
        <v>0</v>
      </c>
      <c r="H201" s="1">
        <v>0</v>
      </c>
      <c r="I201" s="1">
        <v>0</v>
      </c>
      <c r="J201" s="1">
        <v>0</v>
      </c>
      <c r="K201" s="1">
        <f t="shared" si="18"/>
        <v>24</v>
      </c>
      <c r="L201" s="1">
        <v>24</v>
      </c>
      <c r="M201" s="1">
        <v>24</v>
      </c>
      <c r="N201" s="1">
        <v>24</v>
      </c>
      <c r="O201" s="1">
        <v>24</v>
      </c>
      <c r="P201" s="1">
        <v>24</v>
      </c>
      <c r="Q201" s="1">
        <v>24</v>
      </c>
      <c r="U201" s="1">
        <v>24</v>
      </c>
      <c r="AD201" s="5" cm="1">
        <f t="array" ref="AD201">_xlfn.XLOOKUP(TRUE,E201:AB201&lt;&gt;"",E201:AB201,,,-1)</f>
        <v>24</v>
      </c>
    </row>
    <row r="202" spans="1:30">
      <c r="A202" t="s">
        <v>207</v>
      </c>
      <c r="B202" t="s">
        <v>230</v>
      </c>
      <c r="C202" s="2" t="s">
        <v>239</v>
      </c>
      <c r="D202" s="7">
        <v>0</v>
      </c>
      <c r="E202" s="1">
        <f t="shared" si="17"/>
        <v>0</v>
      </c>
      <c r="F202" s="1">
        <f t="shared" si="17"/>
        <v>0</v>
      </c>
      <c r="G202" s="1">
        <f t="shared" si="17"/>
        <v>0</v>
      </c>
      <c r="H202" s="1">
        <v>0</v>
      </c>
      <c r="I202" s="1">
        <v>0</v>
      </c>
      <c r="J202" s="1">
        <v>0</v>
      </c>
      <c r="K202" s="1">
        <f t="shared" si="18"/>
        <v>12.5</v>
      </c>
      <c r="L202" s="1">
        <v>12.5</v>
      </c>
      <c r="M202" s="1">
        <v>12.5</v>
      </c>
      <c r="N202" s="1">
        <v>12.5</v>
      </c>
      <c r="O202" s="1">
        <v>12.5</v>
      </c>
      <c r="P202" s="1">
        <v>12.5</v>
      </c>
      <c r="Q202" s="1">
        <v>12.5</v>
      </c>
      <c r="U202" s="1">
        <v>0</v>
      </c>
      <c r="AD202" s="5" cm="1">
        <f t="array" ref="AD202">_xlfn.XLOOKUP(TRUE,E202:AB202&lt;&gt;"",E202:AB202,,,-1)</f>
        <v>0</v>
      </c>
    </row>
    <row r="203" spans="1:30">
      <c r="A203" t="s">
        <v>207</v>
      </c>
      <c r="B203" t="s">
        <v>230</v>
      </c>
      <c r="C203" s="2" t="s">
        <v>240</v>
      </c>
      <c r="D203" s="7">
        <v>0</v>
      </c>
      <c r="E203" s="1">
        <f t="shared" si="17"/>
        <v>0</v>
      </c>
      <c r="F203" s="1">
        <f t="shared" si="17"/>
        <v>0</v>
      </c>
      <c r="G203" s="1">
        <f t="shared" si="17"/>
        <v>0</v>
      </c>
      <c r="H203" s="1">
        <v>0</v>
      </c>
      <c r="I203" s="1">
        <v>0</v>
      </c>
      <c r="J203" s="1">
        <v>0</v>
      </c>
      <c r="K203" s="1">
        <f t="shared" si="18"/>
        <v>5</v>
      </c>
      <c r="L203" s="1">
        <v>5</v>
      </c>
      <c r="M203" s="1">
        <v>5</v>
      </c>
      <c r="N203" s="1">
        <v>5</v>
      </c>
      <c r="O203" s="1">
        <v>5</v>
      </c>
      <c r="P203" s="1">
        <v>5</v>
      </c>
      <c r="Q203" s="1">
        <v>5</v>
      </c>
      <c r="U203" s="1">
        <v>5</v>
      </c>
      <c r="AD203" s="5" cm="1">
        <f t="array" ref="AD203">_xlfn.XLOOKUP(TRUE,E203:AB203&lt;&gt;"",E203:AB203,,,-1)</f>
        <v>5</v>
      </c>
    </row>
    <row r="204" spans="1:30">
      <c r="A204" t="s">
        <v>100</v>
      </c>
      <c r="B204" t="s">
        <v>100</v>
      </c>
      <c r="C204" s="2" t="s">
        <v>241</v>
      </c>
      <c r="D204" s="7">
        <v>0</v>
      </c>
      <c r="E204" s="1">
        <f t="shared" si="17"/>
        <v>0</v>
      </c>
      <c r="F204" s="1">
        <f t="shared" si="17"/>
        <v>0</v>
      </c>
      <c r="G204" s="1">
        <f t="shared" si="17"/>
        <v>0</v>
      </c>
      <c r="H204" s="1">
        <v>0</v>
      </c>
      <c r="I204" s="1">
        <v>0</v>
      </c>
      <c r="J204" s="1">
        <v>0</v>
      </c>
      <c r="K204" s="1">
        <f t="shared" si="18"/>
        <v>12</v>
      </c>
      <c r="L204" s="1">
        <v>12</v>
      </c>
      <c r="M204" s="1">
        <v>12</v>
      </c>
      <c r="N204" s="1">
        <v>12</v>
      </c>
      <c r="O204" s="1">
        <v>12</v>
      </c>
      <c r="P204" s="1">
        <v>12</v>
      </c>
      <c r="Q204" s="1">
        <v>12</v>
      </c>
      <c r="U204" s="1">
        <v>12</v>
      </c>
      <c r="AD204" s="5" cm="1">
        <f t="array" ref="AD204">_xlfn.XLOOKUP(TRUE,E204:AB204&lt;&gt;"",E204:AB204,,,-1)</f>
        <v>12</v>
      </c>
    </row>
    <row r="205" spans="1:30">
      <c r="A205" t="s">
        <v>100</v>
      </c>
      <c r="B205" t="s">
        <v>100</v>
      </c>
      <c r="C205" s="2" t="s">
        <v>242</v>
      </c>
      <c r="D205" s="7">
        <v>0</v>
      </c>
      <c r="E205" s="1">
        <f t="shared" si="17"/>
        <v>0</v>
      </c>
      <c r="F205" s="1">
        <f t="shared" si="17"/>
        <v>0</v>
      </c>
      <c r="G205" s="1">
        <f t="shared" si="17"/>
        <v>0</v>
      </c>
      <c r="H205" s="1">
        <v>0</v>
      </c>
      <c r="I205" s="1">
        <v>0</v>
      </c>
      <c r="J205" s="1">
        <v>0</v>
      </c>
      <c r="K205" s="1">
        <f t="shared" si="18"/>
        <v>24</v>
      </c>
      <c r="L205" s="1">
        <v>24</v>
      </c>
      <c r="M205" s="1">
        <v>24</v>
      </c>
      <c r="N205" s="1">
        <v>24</v>
      </c>
      <c r="O205" s="1">
        <v>24</v>
      </c>
      <c r="P205" s="1">
        <v>24</v>
      </c>
      <c r="Q205" s="1">
        <v>24</v>
      </c>
      <c r="U205" s="1">
        <v>24</v>
      </c>
      <c r="AD205" s="5" cm="1">
        <f t="array" ref="AD205">_xlfn.XLOOKUP(TRUE,E205:AB205&lt;&gt;"",E205:AB205,,,-1)</f>
        <v>24</v>
      </c>
    </row>
    <row r="206" spans="1:30">
      <c r="A206" t="s">
        <v>207</v>
      </c>
      <c r="B206" t="s">
        <v>230</v>
      </c>
      <c r="C206" s="2" t="s">
        <v>243</v>
      </c>
      <c r="D206" s="7">
        <v>0</v>
      </c>
      <c r="E206" s="1">
        <f t="shared" si="17"/>
        <v>0</v>
      </c>
      <c r="F206" s="1">
        <f t="shared" si="17"/>
        <v>0</v>
      </c>
      <c r="G206" s="1">
        <f t="shared" si="17"/>
        <v>0</v>
      </c>
      <c r="H206" s="1">
        <v>0</v>
      </c>
      <c r="I206" s="1">
        <v>0</v>
      </c>
      <c r="J206" s="1">
        <v>0</v>
      </c>
      <c r="K206" s="1">
        <f t="shared" si="18"/>
        <v>12.5</v>
      </c>
      <c r="L206" s="1">
        <v>12.5</v>
      </c>
      <c r="M206" s="1">
        <v>12.5</v>
      </c>
      <c r="N206" s="1">
        <v>12.5</v>
      </c>
      <c r="O206" s="1">
        <v>12.5</v>
      </c>
      <c r="P206" s="1">
        <v>12.5</v>
      </c>
      <c r="Q206" s="1">
        <v>12.5</v>
      </c>
      <c r="U206" s="1">
        <v>7.5</v>
      </c>
      <c r="AD206" s="5" cm="1">
        <f t="array" ref="AD206">_xlfn.XLOOKUP(TRUE,E206:AB206&lt;&gt;"",E206:AB206,,,-1)</f>
        <v>7.5</v>
      </c>
    </row>
    <row r="207" spans="1:30">
      <c r="A207" t="s">
        <v>152</v>
      </c>
      <c r="B207" t="s">
        <v>156</v>
      </c>
      <c r="C207" s="2" t="s">
        <v>244</v>
      </c>
      <c r="D207" s="7">
        <v>0</v>
      </c>
      <c r="E207" s="1">
        <f t="shared" si="17"/>
        <v>0</v>
      </c>
      <c r="F207" s="1">
        <f t="shared" si="17"/>
        <v>0</v>
      </c>
      <c r="G207" s="1">
        <f t="shared" si="17"/>
        <v>0</v>
      </c>
      <c r="H207" s="1">
        <v>0</v>
      </c>
      <c r="I207" s="1">
        <v>0</v>
      </c>
      <c r="J207" s="1">
        <v>0</v>
      </c>
      <c r="K207" s="1">
        <f t="shared" si="18"/>
        <v>7.5</v>
      </c>
      <c r="L207" s="1">
        <v>7.5</v>
      </c>
      <c r="M207" s="1">
        <v>7.5</v>
      </c>
      <c r="N207" s="1">
        <v>7.5</v>
      </c>
      <c r="O207" s="1">
        <v>7.5</v>
      </c>
      <c r="P207" s="1">
        <v>7.5</v>
      </c>
      <c r="Q207" s="1">
        <v>7.5</v>
      </c>
      <c r="U207" s="1">
        <v>7.5</v>
      </c>
      <c r="AD207" s="5" cm="1">
        <f t="array" ref="AD207">_xlfn.XLOOKUP(TRUE,E207:AB207&lt;&gt;"",E207:AB207,,,-1)</f>
        <v>7.5</v>
      </c>
    </row>
    <row r="208" spans="1:30">
      <c r="A208" t="s">
        <v>12</v>
      </c>
      <c r="B208" t="s">
        <v>245</v>
      </c>
      <c r="C208" s="2" t="s">
        <v>246</v>
      </c>
      <c r="D208" s="7">
        <v>0</v>
      </c>
      <c r="E208" s="1">
        <f t="shared" si="17"/>
        <v>0</v>
      </c>
      <c r="F208" s="1">
        <f t="shared" si="17"/>
        <v>0</v>
      </c>
      <c r="G208" s="1">
        <f t="shared" si="17"/>
        <v>0</v>
      </c>
      <c r="H208" s="1">
        <v>0</v>
      </c>
      <c r="I208" s="1">
        <v>0</v>
      </c>
      <c r="J208" s="1">
        <v>0</v>
      </c>
      <c r="K208" s="1">
        <f t="shared" si="18"/>
        <v>0</v>
      </c>
      <c r="L208" s="1">
        <v>0</v>
      </c>
      <c r="M208" s="1">
        <v>7.5</v>
      </c>
      <c r="N208" s="1">
        <v>7.5</v>
      </c>
      <c r="O208" s="1">
        <v>7.5</v>
      </c>
      <c r="P208" s="1">
        <v>7.5</v>
      </c>
      <c r="Q208" s="1">
        <v>7.5</v>
      </c>
      <c r="U208" s="1">
        <v>7.5</v>
      </c>
      <c r="AD208" s="5" cm="1">
        <f t="array" ref="AD208">_xlfn.XLOOKUP(TRUE,E208:AB208&lt;&gt;"",E208:AB208,,,-1)</f>
        <v>7.5</v>
      </c>
    </row>
    <row r="209" spans="1:30">
      <c r="A209" t="s">
        <v>12</v>
      </c>
      <c r="B209" t="s">
        <v>245</v>
      </c>
      <c r="C209" s="2" t="s">
        <v>247</v>
      </c>
      <c r="D209" s="7">
        <v>0</v>
      </c>
      <c r="E209" s="1">
        <f t="shared" si="17"/>
        <v>0</v>
      </c>
      <c r="F209" s="1">
        <f t="shared" si="17"/>
        <v>0</v>
      </c>
      <c r="G209" s="1">
        <f t="shared" si="17"/>
        <v>0</v>
      </c>
      <c r="H209" s="1">
        <v>0</v>
      </c>
      <c r="I209" s="1">
        <v>0</v>
      </c>
      <c r="J209" s="1">
        <v>0</v>
      </c>
      <c r="K209" s="1">
        <f t="shared" si="18"/>
        <v>0</v>
      </c>
      <c r="L209" s="1">
        <v>0</v>
      </c>
      <c r="M209" s="1">
        <v>10</v>
      </c>
      <c r="N209" s="1">
        <v>10</v>
      </c>
      <c r="O209" s="1">
        <v>10</v>
      </c>
      <c r="P209" s="1">
        <v>10</v>
      </c>
      <c r="Q209" s="1">
        <v>10</v>
      </c>
      <c r="U209" s="1">
        <v>10</v>
      </c>
      <c r="AD209" s="5" cm="1">
        <f t="array" ref="AD209">_xlfn.XLOOKUP(TRUE,E209:AB209&lt;&gt;"",E209:AB209,,,-1)</f>
        <v>10</v>
      </c>
    </row>
    <row r="210" spans="1:30">
      <c r="A210" t="s">
        <v>207</v>
      </c>
      <c r="B210" t="s">
        <v>214</v>
      </c>
      <c r="C210" s="2" t="s">
        <v>248</v>
      </c>
      <c r="D210" s="7">
        <v>0</v>
      </c>
      <c r="E210" s="1">
        <f t="shared" si="17"/>
        <v>0</v>
      </c>
      <c r="F210" s="1">
        <f t="shared" si="17"/>
        <v>0</v>
      </c>
      <c r="G210" s="1">
        <f t="shared" si="17"/>
        <v>0</v>
      </c>
      <c r="H210" s="1">
        <v>0</v>
      </c>
      <c r="I210" s="1">
        <v>0</v>
      </c>
      <c r="J210" s="1">
        <v>0</v>
      </c>
      <c r="K210" s="1">
        <f t="shared" si="18"/>
        <v>0</v>
      </c>
      <c r="L210" s="1">
        <v>0</v>
      </c>
      <c r="M210" s="1">
        <v>10</v>
      </c>
      <c r="N210" s="1">
        <v>10</v>
      </c>
      <c r="O210" s="1">
        <v>10</v>
      </c>
      <c r="P210" s="1">
        <v>10</v>
      </c>
      <c r="Q210" s="1">
        <v>10</v>
      </c>
      <c r="U210" s="1">
        <v>10</v>
      </c>
      <c r="AD210" s="5" cm="1">
        <f t="array" ref="AD210">_xlfn.XLOOKUP(TRUE,E210:AB210&lt;&gt;"",E210:AB210,,,-1)</f>
        <v>10</v>
      </c>
    </row>
    <row r="211" spans="1:30">
      <c r="A211" t="s">
        <v>100</v>
      </c>
      <c r="B211" t="s">
        <v>100</v>
      </c>
      <c r="C211" s="2" t="s">
        <v>249</v>
      </c>
      <c r="D211" s="7">
        <v>0</v>
      </c>
      <c r="E211" s="1">
        <f t="shared" si="17"/>
        <v>0</v>
      </c>
      <c r="F211" s="1">
        <f t="shared" si="17"/>
        <v>0</v>
      </c>
      <c r="G211" s="1">
        <f t="shared" si="17"/>
        <v>0</v>
      </c>
      <c r="H211" s="1">
        <v>0</v>
      </c>
      <c r="I211" s="1">
        <v>0</v>
      </c>
      <c r="J211" s="1">
        <v>0</v>
      </c>
      <c r="K211" s="1">
        <f t="shared" si="18"/>
        <v>0</v>
      </c>
      <c r="L211" s="1">
        <v>0</v>
      </c>
      <c r="M211" s="1">
        <v>0</v>
      </c>
      <c r="N211" s="1">
        <v>20</v>
      </c>
      <c r="O211" s="1">
        <v>20</v>
      </c>
      <c r="P211" s="1">
        <v>20</v>
      </c>
      <c r="Q211" s="1">
        <v>20</v>
      </c>
      <c r="U211" s="1">
        <v>20</v>
      </c>
      <c r="AD211" s="5" cm="1">
        <f t="array" ref="AD211">_xlfn.XLOOKUP(TRUE,E211:AB211&lt;&gt;"",E211:AB211,,,-1)</f>
        <v>20</v>
      </c>
    </row>
    <row r="212" spans="1:30">
      <c r="A212" t="s">
        <v>100</v>
      </c>
      <c r="B212" t="s">
        <v>100</v>
      </c>
      <c r="C212" s="2" t="s">
        <v>250</v>
      </c>
      <c r="D212" s="7">
        <v>0</v>
      </c>
      <c r="E212" s="1">
        <f t="shared" si="17"/>
        <v>0</v>
      </c>
      <c r="F212" s="1">
        <f t="shared" si="17"/>
        <v>0</v>
      </c>
      <c r="G212" s="1">
        <f t="shared" si="17"/>
        <v>0</v>
      </c>
      <c r="H212" s="1">
        <v>0</v>
      </c>
      <c r="I212" s="1">
        <v>0</v>
      </c>
      <c r="J212" s="1">
        <v>0</v>
      </c>
      <c r="K212" s="1">
        <f t="shared" si="18"/>
        <v>0</v>
      </c>
      <c r="L212" s="1">
        <v>0</v>
      </c>
      <c r="M212" s="1">
        <v>0</v>
      </c>
      <c r="N212" s="1">
        <v>5</v>
      </c>
      <c r="O212" s="1">
        <v>5</v>
      </c>
      <c r="P212" s="1">
        <v>5</v>
      </c>
      <c r="Q212" s="1">
        <v>5</v>
      </c>
      <c r="U212" s="1">
        <v>5</v>
      </c>
      <c r="AD212" s="5" cm="1">
        <f t="array" ref="AD212">_xlfn.XLOOKUP(TRUE,E212:AB212&lt;&gt;"",E212:AB212,,,-1)</f>
        <v>5</v>
      </c>
    </row>
    <row r="213" spans="1:30">
      <c r="A213" t="s">
        <v>100</v>
      </c>
      <c r="B213" t="s">
        <v>100</v>
      </c>
      <c r="C213" s="2" t="s">
        <v>251</v>
      </c>
      <c r="D213" s="7">
        <v>0</v>
      </c>
      <c r="E213" s="1">
        <f t="shared" si="17"/>
        <v>0</v>
      </c>
      <c r="F213" s="1">
        <f t="shared" si="17"/>
        <v>0</v>
      </c>
      <c r="G213" s="1">
        <f t="shared" si="17"/>
        <v>0</v>
      </c>
      <c r="H213" s="1">
        <v>0</v>
      </c>
      <c r="I213" s="1">
        <v>0</v>
      </c>
      <c r="J213" s="1">
        <v>0</v>
      </c>
      <c r="K213" s="1">
        <f t="shared" si="18"/>
        <v>0</v>
      </c>
      <c r="L213" s="1">
        <v>0</v>
      </c>
      <c r="M213" s="1">
        <v>0</v>
      </c>
      <c r="N213" s="1">
        <v>24</v>
      </c>
      <c r="O213" s="1">
        <v>24</v>
      </c>
      <c r="P213" s="1">
        <v>24</v>
      </c>
      <c r="Q213" s="1">
        <v>24</v>
      </c>
      <c r="U213" s="1">
        <v>24</v>
      </c>
      <c r="AD213" s="5" cm="1">
        <f t="array" ref="AD213">_xlfn.XLOOKUP(TRUE,E213:AB213&lt;&gt;"",E213:AB213,,,-1)</f>
        <v>24</v>
      </c>
    </row>
    <row r="214" spans="1:30">
      <c r="A214" t="s">
        <v>100</v>
      </c>
      <c r="B214" t="s">
        <v>100</v>
      </c>
      <c r="C214" s="2" t="s">
        <v>252</v>
      </c>
      <c r="D214" s="7">
        <v>0</v>
      </c>
      <c r="E214" s="1">
        <f t="shared" si="17"/>
        <v>0</v>
      </c>
      <c r="F214" s="1">
        <f t="shared" si="17"/>
        <v>0</v>
      </c>
      <c r="G214" s="1">
        <f t="shared" si="17"/>
        <v>0</v>
      </c>
      <c r="H214" s="1">
        <v>0</v>
      </c>
      <c r="I214" s="1">
        <v>0</v>
      </c>
      <c r="J214" s="1">
        <v>0</v>
      </c>
      <c r="K214" s="1">
        <f t="shared" si="18"/>
        <v>0</v>
      </c>
      <c r="L214" s="1">
        <v>0</v>
      </c>
      <c r="M214" s="1">
        <v>0</v>
      </c>
      <c r="N214" s="1">
        <v>12</v>
      </c>
      <c r="O214" s="1">
        <v>12</v>
      </c>
      <c r="P214" s="1">
        <v>12</v>
      </c>
      <c r="Q214" s="1">
        <v>12</v>
      </c>
      <c r="U214" s="1">
        <v>12</v>
      </c>
      <c r="AD214" s="5" cm="1">
        <f t="array" ref="AD214">_xlfn.XLOOKUP(TRUE,E214:AB214&lt;&gt;"",E214:AB214,,,-1)</f>
        <v>12</v>
      </c>
    </row>
    <row r="215" spans="1:30">
      <c r="A215" t="s">
        <v>181</v>
      </c>
      <c r="B215" t="s">
        <v>182</v>
      </c>
      <c r="C215" s="2" t="s">
        <v>253</v>
      </c>
      <c r="D215" s="7">
        <v>0</v>
      </c>
      <c r="E215" s="1">
        <f t="shared" si="17"/>
        <v>0</v>
      </c>
      <c r="F215" s="1">
        <f t="shared" si="17"/>
        <v>0</v>
      </c>
      <c r="G215" s="1">
        <f t="shared" si="17"/>
        <v>0</v>
      </c>
      <c r="H215" s="1">
        <v>0</v>
      </c>
      <c r="I215" s="1">
        <v>0</v>
      </c>
      <c r="J215" s="1">
        <v>0</v>
      </c>
      <c r="K215" s="1">
        <f t="shared" si="18"/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U215" s="1">
        <v>0</v>
      </c>
      <c r="AD215" s="5" cm="1">
        <f t="array" ref="AD215">_xlfn.XLOOKUP(TRUE,E215:AB215&lt;&gt;"",E215:AB215,,,-1)</f>
        <v>0</v>
      </c>
    </row>
    <row r="216" spans="1:30">
      <c r="A216" t="s">
        <v>181</v>
      </c>
      <c r="B216" t="s">
        <v>182</v>
      </c>
      <c r="C216" s="2" t="s">
        <v>254</v>
      </c>
      <c r="D216" s="7">
        <v>0</v>
      </c>
      <c r="E216" s="1">
        <f t="shared" si="17"/>
        <v>0</v>
      </c>
      <c r="F216" s="1">
        <f t="shared" si="17"/>
        <v>0</v>
      </c>
      <c r="G216" s="1">
        <f t="shared" si="17"/>
        <v>0</v>
      </c>
      <c r="H216" s="1">
        <v>0</v>
      </c>
      <c r="I216" s="1">
        <v>0</v>
      </c>
      <c r="J216" s="1">
        <v>0</v>
      </c>
      <c r="K216" s="1">
        <f t="shared" si="18"/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U216" s="1">
        <v>0</v>
      </c>
      <c r="AD216" s="5" cm="1">
        <f t="array" ref="AD216">_xlfn.XLOOKUP(TRUE,E216:AB216&lt;&gt;"",E216:AB216,,,-1)</f>
        <v>0</v>
      </c>
    </row>
    <row r="217" spans="1:30">
      <c r="A217" t="s">
        <v>207</v>
      </c>
      <c r="B217" t="s">
        <v>230</v>
      </c>
      <c r="C217" s="2" t="s">
        <v>255</v>
      </c>
      <c r="D217" s="7">
        <v>0</v>
      </c>
      <c r="E217" s="1">
        <f t="shared" si="17"/>
        <v>0</v>
      </c>
      <c r="F217" s="1">
        <f t="shared" si="17"/>
        <v>0</v>
      </c>
      <c r="G217" s="1">
        <f t="shared" si="17"/>
        <v>0</v>
      </c>
      <c r="H217" s="1">
        <v>0</v>
      </c>
      <c r="I217" s="1">
        <v>0</v>
      </c>
      <c r="J217" s="1">
        <v>0</v>
      </c>
      <c r="K217" s="1">
        <f t="shared" si="18"/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U217" s="1">
        <v>7.5</v>
      </c>
      <c r="AD217" s="5" cm="1">
        <f t="array" ref="AD217">_xlfn.XLOOKUP(TRUE,E217:AB217&lt;&gt;"",E217:AB217,,,-1)</f>
        <v>7.5</v>
      </c>
    </row>
    <row r="218" spans="1:30">
      <c r="A218" t="s">
        <v>53</v>
      </c>
      <c r="B218" t="s">
        <v>256</v>
      </c>
      <c r="C218" s="2" t="s">
        <v>257</v>
      </c>
      <c r="D218" s="7" t="s">
        <v>56</v>
      </c>
      <c r="E218" s="1">
        <f t="shared" si="17"/>
        <v>0</v>
      </c>
      <c r="F218" s="1">
        <f t="shared" si="17"/>
        <v>0</v>
      </c>
      <c r="G218" s="1">
        <f t="shared" si="17"/>
        <v>0</v>
      </c>
      <c r="H218" s="1">
        <v>0</v>
      </c>
      <c r="I218" s="1">
        <v>0</v>
      </c>
      <c r="J218" s="1">
        <v>0</v>
      </c>
      <c r="K218" s="1">
        <f t="shared" si="18"/>
        <v>0</v>
      </c>
      <c r="L218" s="1">
        <v>0</v>
      </c>
      <c r="M218" s="1">
        <v>12.5</v>
      </c>
      <c r="N218" s="1">
        <v>12.5</v>
      </c>
      <c r="O218" s="1">
        <v>12.5</v>
      </c>
      <c r="P218" s="1">
        <v>12.5</v>
      </c>
      <c r="Q218" s="1">
        <v>12.5</v>
      </c>
      <c r="U218" s="1">
        <v>12.5</v>
      </c>
      <c r="AD218" s="5" cm="1">
        <f t="array" ref="AD218">_xlfn.XLOOKUP(TRUE,E218:AB218&lt;&gt;"",E218:AB218,,,-1)</f>
        <v>12.5</v>
      </c>
    </row>
    <row r="219" spans="1:30">
      <c r="A219" t="s">
        <v>53</v>
      </c>
      <c r="B219" t="s">
        <v>256</v>
      </c>
      <c r="C219" s="2" t="s">
        <v>258</v>
      </c>
      <c r="D219" s="7" t="s">
        <v>56</v>
      </c>
      <c r="E219" s="1">
        <f t="shared" si="17"/>
        <v>0</v>
      </c>
      <c r="F219" s="1">
        <f t="shared" si="17"/>
        <v>0</v>
      </c>
      <c r="G219" s="1">
        <f t="shared" si="17"/>
        <v>0</v>
      </c>
      <c r="H219" s="1">
        <v>0</v>
      </c>
      <c r="I219" s="1">
        <v>0</v>
      </c>
      <c r="J219" s="1">
        <v>0</v>
      </c>
      <c r="K219" s="1">
        <f t="shared" si="18"/>
        <v>0</v>
      </c>
      <c r="L219" s="1">
        <v>0</v>
      </c>
      <c r="M219" s="1">
        <v>12.5</v>
      </c>
      <c r="N219" s="1">
        <v>12.5</v>
      </c>
      <c r="O219" s="1">
        <v>12.5</v>
      </c>
      <c r="P219" s="1">
        <v>12.5</v>
      </c>
      <c r="Q219" s="1">
        <v>12.5</v>
      </c>
      <c r="U219" s="1">
        <v>12.5</v>
      </c>
      <c r="AD219" s="5" cm="1">
        <f t="array" ref="AD219">_xlfn.XLOOKUP(TRUE,E219:AB219&lt;&gt;"",E219:AB219,,,-1)</f>
        <v>12.5</v>
      </c>
    </row>
    <row r="220" spans="1:30">
      <c r="A220" t="s">
        <v>207</v>
      </c>
      <c r="B220" t="s">
        <v>259</v>
      </c>
      <c r="C220" s="2" t="s">
        <v>260</v>
      </c>
      <c r="D220" s="7">
        <v>0</v>
      </c>
      <c r="E220" s="1">
        <f t="shared" si="17"/>
        <v>0</v>
      </c>
      <c r="F220" s="1">
        <f t="shared" si="17"/>
        <v>0</v>
      </c>
      <c r="G220" s="1">
        <f t="shared" si="17"/>
        <v>0</v>
      </c>
      <c r="H220" s="1">
        <v>0</v>
      </c>
      <c r="I220" s="1">
        <v>0</v>
      </c>
      <c r="J220" s="1">
        <v>0</v>
      </c>
      <c r="K220" s="1">
        <f t="shared" si="18"/>
        <v>0</v>
      </c>
      <c r="L220" s="1">
        <v>0</v>
      </c>
      <c r="M220" s="1">
        <v>0</v>
      </c>
      <c r="N220" s="1">
        <v>0</v>
      </c>
      <c r="O220" s="1">
        <v>5</v>
      </c>
      <c r="P220" s="1">
        <v>5</v>
      </c>
      <c r="Q220" s="1">
        <v>5</v>
      </c>
      <c r="U220" s="1">
        <v>5</v>
      </c>
      <c r="AD220" s="5" cm="1">
        <f t="array" ref="AD220">_xlfn.XLOOKUP(TRUE,E220:AB220&lt;&gt;"",E220:AB220,,,-1)</f>
        <v>5</v>
      </c>
    </row>
    <row r="221" spans="1:30">
      <c r="A221" t="s">
        <v>53</v>
      </c>
      <c r="B221" t="s">
        <v>73</v>
      </c>
      <c r="C221" s="2" t="s">
        <v>261</v>
      </c>
      <c r="D221" s="7">
        <v>0</v>
      </c>
      <c r="E221" s="1">
        <f t="shared" si="17"/>
        <v>0</v>
      </c>
      <c r="F221" s="1">
        <f t="shared" si="17"/>
        <v>0</v>
      </c>
      <c r="G221" s="1">
        <f t="shared" si="17"/>
        <v>0</v>
      </c>
      <c r="H221" s="1">
        <v>0</v>
      </c>
      <c r="I221" s="1">
        <v>0</v>
      </c>
      <c r="J221" s="1">
        <v>0</v>
      </c>
      <c r="K221" s="1">
        <f t="shared" si="18"/>
        <v>0</v>
      </c>
      <c r="L221" s="1">
        <v>0</v>
      </c>
      <c r="M221" s="1">
        <v>0</v>
      </c>
      <c r="N221" s="1">
        <v>225</v>
      </c>
      <c r="O221" s="1">
        <v>225</v>
      </c>
      <c r="P221" s="1">
        <v>225</v>
      </c>
      <c r="Q221" s="1">
        <v>225</v>
      </c>
      <c r="U221" s="1">
        <v>225</v>
      </c>
      <c r="AD221" s="5" cm="1">
        <f t="array" ref="AD221">_xlfn.XLOOKUP(TRUE,E221:AB221&lt;&gt;"",E221:AB221,,,-1)</f>
        <v>225</v>
      </c>
    </row>
    <row r="222" spans="1:30">
      <c r="A222" t="s">
        <v>53</v>
      </c>
      <c r="B222" t="s">
        <v>73</v>
      </c>
      <c r="C222" s="2" t="s">
        <v>262</v>
      </c>
      <c r="D222" s="7">
        <v>0</v>
      </c>
      <c r="E222" s="1">
        <f t="shared" si="17"/>
        <v>0</v>
      </c>
      <c r="F222" s="1">
        <f t="shared" si="17"/>
        <v>0</v>
      </c>
      <c r="G222" s="1">
        <f t="shared" si="17"/>
        <v>0</v>
      </c>
      <c r="H222" s="1">
        <v>0</v>
      </c>
      <c r="I222" s="1">
        <v>0</v>
      </c>
      <c r="J222" s="1">
        <v>0</v>
      </c>
      <c r="K222" s="1">
        <f t="shared" si="18"/>
        <v>0</v>
      </c>
      <c r="L222" s="1">
        <v>0</v>
      </c>
      <c r="M222" s="1">
        <v>0</v>
      </c>
      <c r="N222" s="1">
        <v>275</v>
      </c>
      <c r="O222" s="1">
        <v>275</v>
      </c>
      <c r="P222" s="1">
        <v>275</v>
      </c>
      <c r="Q222" s="1">
        <v>275</v>
      </c>
      <c r="U222" s="1">
        <v>275</v>
      </c>
      <c r="AD222" s="5" cm="1">
        <f t="array" ref="AD222">_xlfn.XLOOKUP(TRUE,E222:AB222&lt;&gt;"",E222:AB222,,,-1)</f>
        <v>275</v>
      </c>
    </row>
    <row r="223" spans="1:30">
      <c r="A223" t="s">
        <v>53</v>
      </c>
      <c r="B223" t="s">
        <v>73</v>
      </c>
      <c r="C223" s="2" t="s">
        <v>263</v>
      </c>
      <c r="D223" s="7">
        <v>0</v>
      </c>
      <c r="E223" s="1">
        <f t="shared" si="17"/>
        <v>0</v>
      </c>
      <c r="F223" s="1">
        <f t="shared" si="17"/>
        <v>0</v>
      </c>
      <c r="G223" s="1">
        <f t="shared" si="17"/>
        <v>0</v>
      </c>
      <c r="H223" s="1">
        <v>0</v>
      </c>
      <c r="I223" s="1">
        <v>0</v>
      </c>
      <c r="J223" s="1">
        <v>0</v>
      </c>
      <c r="K223" s="1">
        <f t="shared" si="18"/>
        <v>0</v>
      </c>
      <c r="L223" s="1">
        <v>0</v>
      </c>
      <c r="M223" s="1">
        <v>0</v>
      </c>
      <c r="N223" s="1">
        <v>325</v>
      </c>
      <c r="O223" s="1">
        <v>325</v>
      </c>
      <c r="P223" s="1">
        <v>325</v>
      </c>
      <c r="Q223" s="1">
        <v>325</v>
      </c>
      <c r="U223" s="1">
        <v>325</v>
      </c>
      <c r="AD223" s="5" cm="1">
        <f t="array" ref="AD223">_xlfn.XLOOKUP(TRUE,E223:AB223&lt;&gt;"",E223:AB223,,,-1)</f>
        <v>325</v>
      </c>
    </row>
    <row r="224" spans="1:30">
      <c r="A224" t="s">
        <v>53</v>
      </c>
      <c r="B224" t="s">
        <v>73</v>
      </c>
      <c r="C224" s="2" t="s">
        <v>264</v>
      </c>
      <c r="D224" s="7">
        <v>0</v>
      </c>
      <c r="E224" s="1">
        <f t="shared" si="17"/>
        <v>0</v>
      </c>
      <c r="F224" s="1">
        <f t="shared" si="17"/>
        <v>0</v>
      </c>
      <c r="G224" s="1">
        <f t="shared" si="17"/>
        <v>0</v>
      </c>
      <c r="H224" s="1">
        <v>0</v>
      </c>
      <c r="I224" s="1">
        <v>0</v>
      </c>
      <c r="J224" s="1">
        <v>0</v>
      </c>
      <c r="K224" s="1">
        <f t="shared" si="18"/>
        <v>0</v>
      </c>
      <c r="L224" s="1">
        <v>0</v>
      </c>
      <c r="M224" s="1">
        <v>0</v>
      </c>
      <c r="N224" s="1">
        <v>400</v>
      </c>
      <c r="O224" s="1">
        <v>400</v>
      </c>
      <c r="P224" s="1">
        <v>400</v>
      </c>
      <c r="Q224" s="1">
        <v>400</v>
      </c>
      <c r="U224" s="1">
        <v>400</v>
      </c>
      <c r="AD224" s="5" cm="1">
        <f t="array" ref="AD224">_xlfn.XLOOKUP(TRUE,E224:AB224&lt;&gt;"",E224:AB224,,,-1)</f>
        <v>400</v>
      </c>
    </row>
    <row r="225" spans="1:30">
      <c r="A225" t="s">
        <v>53</v>
      </c>
      <c r="B225" t="s">
        <v>73</v>
      </c>
      <c r="C225" s="2" t="s">
        <v>265</v>
      </c>
      <c r="D225" s="7">
        <v>0</v>
      </c>
      <c r="E225" s="1">
        <f t="shared" si="17"/>
        <v>0</v>
      </c>
      <c r="F225" s="1">
        <f t="shared" si="17"/>
        <v>0</v>
      </c>
      <c r="G225" s="1">
        <f t="shared" si="17"/>
        <v>0</v>
      </c>
      <c r="H225" s="1">
        <v>0</v>
      </c>
      <c r="I225" s="1">
        <v>0</v>
      </c>
      <c r="J225" s="1">
        <v>0</v>
      </c>
      <c r="K225" s="1">
        <f t="shared" si="18"/>
        <v>0</v>
      </c>
      <c r="L225" s="1">
        <v>0</v>
      </c>
      <c r="M225" s="1">
        <v>0</v>
      </c>
      <c r="N225" s="1">
        <v>525</v>
      </c>
      <c r="O225" s="1">
        <v>525</v>
      </c>
      <c r="P225" s="1">
        <v>525</v>
      </c>
      <c r="Q225" s="1">
        <v>525</v>
      </c>
      <c r="U225" s="1">
        <v>525</v>
      </c>
      <c r="AD225" s="5" cm="1">
        <f t="array" ref="AD225">_xlfn.XLOOKUP(TRUE,E225:AB225&lt;&gt;"",E225:AB225,,,-1)</f>
        <v>525</v>
      </c>
    </row>
    <row r="226" spans="1:30">
      <c r="A226" t="s">
        <v>207</v>
      </c>
      <c r="B226" t="s">
        <v>259</v>
      </c>
      <c r="C226" s="2" t="s">
        <v>266</v>
      </c>
      <c r="U226" s="1">
        <v>25</v>
      </c>
      <c r="AD226" s="5" cm="1">
        <f t="array" ref="AD226">_xlfn.XLOOKUP(TRUE,E226:AB226&lt;&gt;"",E226:AB226,,,-1)</f>
        <v>25</v>
      </c>
    </row>
    <row r="227" spans="1:30">
      <c r="A227" t="s">
        <v>207</v>
      </c>
      <c r="B227" t="s">
        <v>259</v>
      </c>
      <c r="C227" s="2" t="s">
        <v>267</v>
      </c>
      <c r="U227" s="1">
        <v>17.5</v>
      </c>
      <c r="AD227" s="5" cm="1">
        <f t="array" ref="AD227">_xlfn.XLOOKUP(TRUE,E227:AB227&lt;&gt;"",E227:AB227,,,-1)</f>
        <v>17.5</v>
      </c>
    </row>
    <row r="228" spans="1:30">
      <c r="A228" t="s">
        <v>207</v>
      </c>
      <c r="B228" t="s">
        <v>259</v>
      </c>
      <c r="C228" s="2" t="s">
        <v>268</v>
      </c>
      <c r="U228" s="1">
        <v>5</v>
      </c>
      <c r="AD228" s="5" cm="1">
        <f t="array" ref="AD228">_xlfn.XLOOKUP(TRUE,E228:AB228&lt;&gt;"",E228:AB228,,,-1)</f>
        <v>5</v>
      </c>
    </row>
    <row r="229" spans="1:30">
      <c r="A229" t="s">
        <v>207</v>
      </c>
      <c r="B229" t="s">
        <v>259</v>
      </c>
      <c r="C229" s="2" t="s">
        <v>269</v>
      </c>
      <c r="U229" s="1">
        <v>17.5</v>
      </c>
      <c r="AD229" s="5" cm="1">
        <f t="array" ref="AD229">_xlfn.XLOOKUP(TRUE,E229:AB229&lt;&gt;"",E229:AB229,,,-1)</f>
        <v>17.5</v>
      </c>
    </row>
    <row r="230" spans="1:30">
      <c r="A230" t="s">
        <v>207</v>
      </c>
      <c r="B230" t="s">
        <v>259</v>
      </c>
      <c r="C230" s="2" t="s">
        <v>270</v>
      </c>
      <c r="U230" s="1">
        <v>25</v>
      </c>
      <c r="AD230" s="5" cm="1">
        <f t="array" ref="AD230">_xlfn.XLOOKUP(TRUE,E230:AB230&lt;&gt;"",E230:AB230,,,-1)</f>
        <v>25</v>
      </c>
    </row>
    <row r="231" spans="1:30">
      <c r="A231" t="s">
        <v>53</v>
      </c>
      <c r="B231" t="s">
        <v>86</v>
      </c>
      <c r="C231" s="2" t="s">
        <v>271</v>
      </c>
      <c r="U231" s="1">
        <v>0</v>
      </c>
      <c r="AD231" s="5" cm="1">
        <f t="array" ref="AD231">_xlfn.XLOOKUP(TRUE,E231:AB231&lt;&gt;"",E231:AB231,,,-1)</f>
        <v>0</v>
      </c>
    </row>
    <row r="232" spans="1:30">
      <c r="A232" t="s">
        <v>207</v>
      </c>
      <c r="B232" t="s">
        <v>210</v>
      </c>
      <c r="C232" s="2" t="s">
        <v>272</v>
      </c>
      <c r="U232" s="1">
        <v>20</v>
      </c>
      <c r="AD232" s="5" cm="1">
        <f t="array" ref="AD232">_xlfn.XLOOKUP(TRUE,E232:AB232&lt;&gt;"",E232:AB232,,,-1)</f>
        <v>20</v>
      </c>
    </row>
    <row r="233" spans="1:30">
      <c r="A233" t="s">
        <v>273</v>
      </c>
      <c r="B233" t="s">
        <v>90</v>
      </c>
      <c r="C233" s="2" t="s">
        <v>274</v>
      </c>
      <c r="U233" s="1">
        <v>25</v>
      </c>
      <c r="AD233" s="5" cm="1">
        <f t="array" ref="AD233">_xlfn.XLOOKUP(TRUE,E233:AB233&lt;&gt;"",E233:AB233,,,-1)</f>
        <v>25</v>
      </c>
    </row>
    <row r="234" spans="1:30">
      <c r="A234" t="s">
        <v>12</v>
      </c>
      <c r="B234" t="s">
        <v>27</v>
      </c>
      <c r="C234" s="2" t="s">
        <v>275</v>
      </c>
      <c r="U234" s="1">
        <v>3</v>
      </c>
      <c r="AD234" s="5" cm="1">
        <f t="array" ref="AD234">_xlfn.XLOOKUP(TRUE,E234:AB234&lt;&gt;"",E234:AB234,,,-1)</f>
        <v>3</v>
      </c>
    </row>
    <row r="235" spans="1:30">
      <c r="A235" t="s">
        <v>12</v>
      </c>
      <c r="B235" t="s">
        <v>27</v>
      </c>
      <c r="C235" s="2" t="s">
        <v>276</v>
      </c>
      <c r="U235" s="1">
        <v>3</v>
      </c>
      <c r="AD235" s="5" cm="1">
        <f t="array" ref="AD235">_xlfn.XLOOKUP(TRUE,E235:AB235&lt;&gt;"",E235:AB235,,,-1)</f>
        <v>3</v>
      </c>
    </row>
    <row r="236" spans="1:30">
      <c r="A236" t="s">
        <v>152</v>
      </c>
      <c r="B236" t="s">
        <v>156</v>
      </c>
      <c r="C236" s="2" t="s">
        <v>277</v>
      </c>
      <c r="U236" s="1">
        <v>7.5</v>
      </c>
      <c r="AD236" s="5" cm="1">
        <f t="array" ref="AD236">_xlfn.XLOOKUP(TRUE,E236:AB236&lt;&gt;"",E236:AB236,,,-1)</f>
        <v>7.5</v>
      </c>
    </row>
    <row r="237" spans="1:30">
      <c r="A237" t="s">
        <v>152</v>
      </c>
      <c r="B237" t="s">
        <v>156</v>
      </c>
      <c r="C237" s="2" t="s">
        <v>278</v>
      </c>
      <c r="U237" s="1">
        <v>0</v>
      </c>
      <c r="AD237" s="5" cm="1">
        <f t="array" ref="AD237">_xlfn.XLOOKUP(TRUE,E237:AB237&lt;&gt;"",E237:AB237,,,-1)</f>
        <v>0</v>
      </c>
    </row>
    <row r="238" spans="1:30">
      <c r="A238" t="s">
        <v>152</v>
      </c>
      <c r="B238" t="s">
        <v>156</v>
      </c>
      <c r="C238" s="2" t="s">
        <v>279</v>
      </c>
      <c r="U238" s="1">
        <v>10</v>
      </c>
      <c r="AD238" s="5" cm="1">
        <f t="array" ref="AD238">_xlfn.XLOOKUP(TRUE,E238:AB238&lt;&gt;"",E238:AB238,,,-1)</f>
        <v>10</v>
      </c>
    </row>
    <row r="239" spans="1:30">
      <c r="A239" t="s">
        <v>152</v>
      </c>
      <c r="B239" t="s">
        <v>156</v>
      </c>
      <c r="C239" s="2" t="s">
        <v>280</v>
      </c>
      <c r="U239" s="1">
        <v>12.5</v>
      </c>
      <c r="AD239" s="5" cm="1">
        <f t="array" ref="AD239">_xlfn.XLOOKUP(TRUE,E239:AB239&lt;&gt;"",E239:AB239,,,-1)</f>
        <v>12.5</v>
      </c>
    </row>
    <row r="240" spans="1:30">
      <c r="A240" t="s">
        <v>152</v>
      </c>
      <c r="B240" t="s">
        <v>156</v>
      </c>
      <c r="C240" s="2" t="s">
        <v>281</v>
      </c>
      <c r="U240" s="1">
        <v>5</v>
      </c>
      <c r="AD240" s="5" cm="1">
        <f t="array" ref="AD240">_xlfn.XLOOKUP(TRUE,E240:AB240&lt;&gt;"",E240:AB240,,,-1)</f>
        <v>5</v>
      </c>
    </row>
    <row r="241" spans="1:30">
      <c r="A241" t="s">
        <v>12</v>
      </c>
      <c r="B241" t="s">
        <v>27</v>
      </c>
      <c r="C241" s="2" t="s">
        <v>282</v>
      </c>
      <c r="U241" s="1">
        <v>12</v>
      </c>
      <c r="AD241" s="5" cm="1">
        <f t="array" ref="AD241">_xlfn.XLOOKUP(TRUE,E241:AB241&lt;&gt;"",E241:AB241,,,-1)</f>
        <v>12</v>
      </c>
    </row>
    <row r="242" spans="1:30">
      <c r="A242" t="s">
        <v>12</v>
      </c>
      <c r="B242" t="s">
        <v>27</v>
      </c>
      <c r="C242" s="2" t="s">
        <v>283</v>
      </c>
      <c r="U242" s="1">
        <v>8</v>
      </c>
      <c r="AD242" s="5" cm="1">
        <f t="array" ref="AD242">_xlfn.XLOOKUP(TRUE,E242:AB242&lt;&gt;"",E242:AB242,,,-1)</f>
        <v>8</v>
      </c>
    </row>
  </sheetData>
  <autoFilter ref="A1:AB242" xr:uid="{762E19DC-DB4F-4016-80B6-1124138266C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BB5E-0585-41D5-8055-FCCB2EE01F68}">
  <dimension ref="A1:E11"/>
  <sheetViews>
    <sheetView workbookViewId="0">
      <selection activeCell="I13" sqref="I13"/>
    </sheetView>
  </sheetViews>
  <sheetFormatPr defaultRowHeight="14.45"/>
  <cols>
    <col min="1" max="5" width="26.140625" customWidth="1"/>
  </cols>
  <sheetData>
    <row r="1" spans="1:5" ht="18">
      <c r="C1" s="12">
        <v>0.125</v>
      </c>
      <c r="D1" s="6"/>
      <c r="E1" s="13"/>
    </row>
    <row r="2" spans="1:5" ht="28.9">
      <c r="A2" s="14" t="s">
        <v>284</v>
      </c>
      <c r="B2" s="14" t="s">
        <v>285</v>
      </c>
      <c r="C2" s="15" t="s">
        <v>286</v>
      </c>
      <c r="D2" s="15" t="s">
        <v>287</v>
      </c>
      <c r="E2" s="15" t="s">
        <v>288</v>
      </c>
    </row>
    <row r="3" spans="1:5">
      <c r="A3" s="16" t="s">
        <v>289</v>
      </c>
      <c r="B3" s="17">
        <v>25.454545454545453</v>
      </c>
      <c r="C3" s="18">
        <f t="shared" ref="C3:C8" si="0">+B3*(1+C$1)</f>
        <v>28.636363636363633</v>
      </c>
      <c r="D3" s="18">
        <f t="shared" ref="D3:D11" si="1">+IFERROR(C3/E3,C3)</f>
        <v>28.636363636363633</v>
      </c>
      <c r="E3" s="19" t="s">
        <v>290</v>
      </c>
    </row>
    <row r="4" spans="1:5">
      <c r="A4" s="16" t="s">
        <v>291</v>
      </c>
      <c r="B4" s="17">
        <v>20.777777777777779</v>
      </c>
      <c r="C4" s="18">
        <f>+B4*(1+C$1)</f>
        <v>23.375</v>
      </c>
      <c r="D4" s="18">
        <f t="shared" si="1"/>
        <v>23.375</v>
      </c>
      <c r="E4" s="19" t="s">
        <v>290</v>
      </c>
    </row>
    <row r="5" spans="1:5">
      <c r="A5" s="16" t="s">
        <v>292</v>
      </c>
      <c r="B5" s="17">
        <v>25.454545454545453</v>
      </c>
      <c r="C5" s="18">
        <f t="shared" si="0"/>
        <v>28.636363636363633</v>
      </c>
      <c r="D5" s="18">
        <f t="shared" si="1"/>
        <v>52.06611570247933</v>
      </c>
      <c r="E5" s="19">
        <v>0.55000000000000004</v>
      </c>
    </row>
    <row r="6" spans="1:5">
      <c r="A6" s="16" t="s">
        <v>293</v>
      </c>
      <c r="B6" s="17">
        <v>30.542857142857148</v>
      </c>
      <c r="C6" s="18">
        <f t="shared" si="0"/>
        <v>34.360714285714295</v>
      </c>
      <c r="D6" s="18">
        <f t="shared" si="1"/>
        <v>34.360714285714295</v>
      </c>
      <c r="E6" s="19" t="s">
        <v>290</v>
      </c>
    </row>
    <row r="7" spans="1:5">
      <c r="A7" s="16" t="s">
        <v>294</v>
      </c>
      <c r="B7" s="17">
        <v>62.321851851851854</v>
      </c>
      <c r="C7" s="18">
        <f t="shared" si="0"/>
        <v>70.112083333333331</v>
      </c>
      <c r="D7" s="18">
        <f t="shared" si="1"/>
        <v>100.16011904761905</v>
      </c>
      <c r="E7" s="19">
        <v>0.7</v>
      </c>
    </row>
    <row r="8" spans="1:5">
      <c r="A8" s="16" t="s">
        <v>295</v>
      </c>
      <c r="B8" s="17">
        <v>62.321851851851854</v>
      </c>
      <c r="C8" s="18">
        <f t="shared" si="0"/>
        <v>70.112083333333331</v>
      </c>
      <c r="D8" s="18">
        <f t="shared" si="1"/>
        <v>100.16011904761905</v>
      </c>
      <c r="E8" s="19">
        <v>0.7</v>
      </c>
    </row>
    <row r="9" spans="1:5">
      <c r="A9" s="16" t="s">
        <v>296</v>
      </c>
      <c r="B9" s="17">
        <v>0</v>
      </c>
      <c r="C9" s="18">
        <f>+B9</f>
        <v>0</v>
      </c>
      <c r="D9" s="18">
        <f t="shared" si="1"/>
        <v>0</v>
      </c>
      <c r="E9" s="19">
        <v>1</v>
      </c>
    </row>
    <row r="10" spans="1:5">
      <c r="A10" s="16" t="s">
        <v>297</v>
      </c>
      <c r="B10" s="17">
        <f>250000/2080</f>
        <v>120.19230769230769</v>
      </c>
      <c r="C10" s="18">
        <f>+B10*(1+C$1)</f>
        <v>135.21634615384616</v>
      </c>
      <c r="D10" s="18">
        <f t="shared" si="1"/>
        <v>135.21634615384616</v>
      </c>
      <c r="E10" s="19">
        <v>1</v>
      </c>
    </row>
    <row r="11" spans="1:5">
      <c r="A11" s="16" t="s">
        <v>298</v>
      </c>
      <c r="B11" s="17">
        <v>125</v>
      </c>
      <c r="C11" s="18">
        <f>+B11</f>
        <v>125</v>
      </c>
      <c r="D11" s="18">
        <f t="shared" si="1"/>
        <v>125</v>
      </c>
      <c r="E11" s="19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2F13-1F27-4957-A8CA-9627B2B75B26}">
  <sheetPr>
    <tabColor theme="1"/>
  </sheetPr>
  <dimension ref="B2:NC44"/>
  <sheetViews>
    <sheetView topLeftCell="A26" workbookViewId="0">
      <selection activeCell="J41" sqref="J41"/>
    </sheetView>
  </sheetViews>
  <sheetFormatPr defaultRowHeight="14.45"/>
  <cols>
    <col min="2" max="2" width="15.140625" style="28" bestFit="1" customWidth="1"/>
    <col min="3" max="3" width="11.28515625" customWidth="1"/>
    <col min="4" max="4" width="8.85546875" customWidth="1"/>
    <col min="5" max="5" width="8.28515625" customWidth="1"/>
    <col min="6" max="6" width="8.5703125" customWidth="1"/>
    <col min="7" max="8" width="8.28515625" customWidth="1"/>
    <col min="9" max="9" width="8.28515625" bestFit="1" customWidth="1"/>
    <col min="10" max="10" width="11.28515625" bestFit="1" customWidth="1"/>
    <col min="11" max="11" width="8.85546875" bestFit="1" customWidth="1"/>
    <col min="12" max="16" width="9.28515625" bestFit="1" customWidth="1"/>
    <col min="17" max="17" width="11.28515625" bestFit="1" customWidth="1"/>
    <col min="18" max="23" width="9.28515625" bestFit="1" customWidth="1"/>
    <col min="24" max="24" width="11.28515625" bestFit="1" customWidth="1"/>
    <col min="25" max="30" width="9.28515625" bestFit="1" customWidth="1"/>
    <col min="31" max="31" width="11.28515625" bestFit="1" customWidth="1"/>
    <col min="32" max="33" width="9.28515625" bestFit="1" customWidth="1"/>
    <col min="34" max="34" width="8.5703125" bestFit="1" customWidth="1"/>
    <col min="35" max="37" width="8.28515625" bestFit="1" customWidth="1"/>
    <col min="38" max="38" width="11.28515625" bestFit="1" customWidth="1"/>
    <col min="39" max="39" width="8.85546875" bestFit="1" customWidth="1"/>
    <col min="40" max="40" width="8.28515625" bestFit="1" customWidth="1"/>
    <col min="41" max="41" width="8.5703125" bestFit="1" customWidth="1"/>
    <col min="42" max="42" width="8.28515625" bestFit="1" customWidth="1"/>
    <col min="43" max="44" width="9.28515625" bestFit="1" customWidth="1"/>
    <col min="45" max="45" width="11.28515625" bestFit="1" customWidth="1"/>
    <col min="46" max="51" width="9.28515625" bestFit="1" customWidth="1"/>
    <col min="52" max="52" width="11.28515625" bestFit="1" customWidth="1"/>
    <col min="53" max="58" width="9.28515625" bestFit="1" customWidth="1"/>
    <col min="59" max="59" width="11.28515625" bestFit="1" customWidth="1"/>
    <col min="60" max="61" width="9.28515625" bestFit="1" customWidth="1"/>
    <col min="62" max="62" width="8.5703125" bestFit="1" customWidth="1"/>
    <col min="63" max="65" width="8.28515625" bestFit="1" customWidth="1"/>
    <col min="66" max="66" width="11.28515625" bestFit="1" customWidth="1"/>
    <col min="67" max="67" width="8.85546875" bestFit="1" customWidth="1"/>
    <col min="68" max="68" width="8.28515625" bestFit="1" customWidth="1"/>
    <col min="69" max="69" width="8.5703125" bestFit="1" customWidth="1"/>
    <col min="70" max="70" width="8.28515625" bestFit="1" customWidth="1"/>
    <col min="71" max="72" width="9.28515625" bestFit="1" customWidth="1"/>
    <col min="73" max="73" width="11.28515625" bestFit="1" customWidth="1"/>
    <col min="74" max="79" width="9.28515625" bestFit="1" customWidth="1"/>
    <col min="80" max="80" width="11.28515625" bestFit="1" customWidth="1"/>
    <col min="81" max="86" width="9.28515625" bestFit="1" customWidth="1"/>
    <col min="87" max="87" width="11.28515625" bestFit="1" customWidth="1"/>
    <col min="88" max="92" width="9.28515625" bestFit="1" customWidth="1"/>
    <col min="93" max="93" width="8.28515625" bestFit="1" customWidth="1"/>
    <col min="94" max="94" width="11.28515625" bestFit="1" customWidth="1"/>
    <col min="95" max="95" width="8.85546875" bestFit="1" customWidth="1"/>
    <col min="96" max="96" width="8.28515625" bestFit="1" customWidth="1"/>
    <col min="97" max="97" width="8.5703125" bestFit="1" customWidth="1"/>
    <col min="98" max="100" width="8.28515625" bestFit="1" customWidth="1"/>
    <col min="101" max="101" width="11.28515625" bestFit="1" customWidth="1"/>
    <col min="102" max="107" width="9.28515625" bestFit="1" customWidth="1"/>
    <col min="108" max="108" width="11.28515625" bestFit="1" customWidth="1"/>
    <col min="109" max="114" width="9.28515625" bestFit="1" customWidth="1"/>
    <col min="115" max="115" width="11.28515625" bestFit="1" customWidth="1"/>
    <col min="116" max="121" width="9.28515625" bestFit="1" customWidth="1"/>
    <col min="122" max="122" width="11.28515625" bestFit="1" customWidth="1"/>
    <col min="123" max="123" width="8.85546875" bestFit="1" customWidth="1"/>
    <col min="124" max="124" width="8.28515625" bestFit="1" customWidth="1"/>
    <col min="125" max="125" width="8.5703125" bestFit="1" customWidth="1"/>
    <col min="126" max="128" width="8.28515625" bestFit="1" customWidth="1"/>
    <col min="129" max="129" width="11.28515625" bestFit="1" customWidth="1"/>
    <col min="130" max="130" width="8.85546875" bestFit="1" customWidth="1"/>
    <col min="131" max="131" width="8.28515625" bestFit="1" customWidth="1"/>
    <col min="132" max="135" width="9.28515625" bestFit="1" customWidth="1"/>
    <col min="136" max="136" width="11.28515625" bestFit="1" customWidth="1"/>
    <col min="137" max="142" width="9.28515625" bestFit="1" customWidth="1"/>
    <col min="143" max="143" width="11.28515625" bestFit="1" customWidth="1"/>
    <col min="144" max="149" width="9.28515625" bestFit="1" customWidth="1"/>
    <col min="150" max="150" width="11.28515625" bestFit="1" customWidth="1"/>
    <col min="151" max="153" width="9.28515625" bestFit="1" customWidth="1"/>
    <col min="154" max="156" width="8.28515625" bestFit="1" customWidth="1"/>
    <col min="157" max="157" width="11.28515625" bestFit="1" customWidth="1"/>
    <col min="158" max="158" width="8.85546875" bestFit="1" customWidth="1"/>
    <col min="159" max="159" width="8.28515625" bestFit="1" customWidth="1"/>
    <col min="160" max="160" width="8.5703125" bestFit="1" customWidth="1"/>
    <col min="161" max="162" width="8.28515625" bestFit="1" customWidth="1"/>
    <col min="163" max="163" width="9.28515625" bestFit="1" customWidth="1"/>
    <col min="164" max="164" width="11.28515625" bestFit="1" customWidth="1"/>
    <col min="165" max="170" width="9.28515625" bestFit="1" customWidth="1"/>
    <col min="171" max="171" width="11.28515625" bestFit="1" customWidth="1"/>
    <col min="172" max="177" width="9.28515625" bestFit="1" customWidth="1"/>
    <col min="178" max="178" width="11.28515625" bestFit="1" customWidth="1"/>
    <col min="179" max="183" width="9.28515625" bestFit="1" customWidth="1"/>
    <col min="184" max="184" width="8.28515625" bestFit="1" customWidth="1"/>
    <col min="185" max="185" width="11.28515625" bestFit="1" customWidth="1"/>
    <col min="186" max="186" width="8.85546875" bestFit="1" customWidth="1"/>
    <col min="187" max="187" width="8.28515625" bestFit="1" customWidth="1"/>
    <col min="188" max="188" width="8.5703125" bestFit="1" customWidth="1"/>
    <col min="189" max="191" width="8.28515625" bestFit="1" customWidth="1"/>
    <col min="192" max="192" width="11.28515625" bestFit="1" customWidth="1"/>
    <col min="193" max="198" width="9.28515625" bestFit="1" customWidth="1"/>
    <col min="199" max="199" width="11.28515625" bestFit="1" customWidth="1"/>
    <col min="200" max="205" width="9.28515625" bestFit="1" customWidth="1"/>
    <col min="206" max="206" width="11.28515625" bestFit="1" customWidth="1"/>
    <col min="207" max="212" width="9.28515625" bestFit="1" customWidth="1"/>
    <col min="213" max="213" width="11.28515625" bestFit="1" customWidth="1"/>
    <col min="214" max="214" width="9.28515625" bestFit="1" customWidth="1"/>
    <col min="215" max="215" width="8.28515625" bestFit="1" customWidth="1"/>
    <col min="216" max="216" width="8.5703125" bestFit="1" customWidth="1"/>
    <col min="217" max="219" width="8.28515625" bestFit="1" customWidth="1"/>
    <col min="220" max="220" width="11.28515625" bestFit="1" customWidth="1"/>
    <col min="221" max="221" width="8.85546875" bestFit="1" customWidth="1"/>
    <col min="222" max="222" width="8.28515625" bestFit="1" customWidth="1"/>
    <col min="223" max="223" width="8.5703125" bestFit="1" customWidth="1"/>
    <col min="224" max="226" width="9.28515625" bestFit="1" customWidth="1"/>
    <col min="227" max="227" width="11.28515625" bestFit="1" customWidth="1"/>
    <col min="228" max="233" width="9.28515625" bestFit="1" customWidth="1"/>
    <col min="234" max="234" width="11.28515625" bestFit="1" customWidth="1"/>
    <col min="235" max="240" width="9.28515625" bestFit="1" customWidth="1"/>
    <col min="241" max="241" width="11.28515625" bestFit="1" customWidth="1"/>
    <col min="242" max="245" width="9.28515625" bestFit="1" customWidth="1"/>
    <col min="246" max="247" width="8.28515625" bestFit="1" customWidth="1"/>
    <col min="248" max="248" width="11.28515625" bestFit="1" customWidth="1"/>
    <col min="249" max="249" width="8.85546875" bestFit="1" customWidth="1"/>
    <col min="250" max="250" width="8.28515625" bestFit="1" customWidth="1"/>
    <col min="251" max="251" width="8.5703125" bestFit="1" customWidth="1"/>
    <col min="252" max="254" width="8.28515625" bestFit="1" customWidth="1"/>
    <col min="255" max="255" width="11.28515625" bestFit="1" customWidth="1"/>
    <col min="256" max="261" width="9.28515625" bestFit="1" customWidth="1"/>
    <col min="262" max="262" width="11.28515625" bestFit="1" customWidth="1"/>
    <col min="263" max="268" width="9.28515625" bestFit="1" customWidth="1"/>
    <col min="269" max="269" width="11.28515625" bestFit="1" customWidth="1"/>
    <col min="270" max="275" width="9.28515625" bestFit="1" customWidth="1"/>
    <col min="276" max="276" width="11.28515625" bestFit="1" customWidth="1"/>
    <col min="277" max="282" width="9.28515625" bestFit="1" customWidth="1"/>
    <col min="283" max="283" width="11.28515625" bestFit="1" customWidth="1"/>
    <col min="284" max="284" width="9.28515625" bestFit="1" customWidth="1"/>
    <col min="285" max="289" width="10.28515625" bestFit="1" customWidth="1"/>
    <col min="290" max="290" width="11.28515625" bestFit="1" customWidth="1"/>
    <col min="291" max="296" width="10.28515625" bestFit="1" customWidth="1"/>
    <col min="297" max="297" width="11.28515625" bestFit="1" customWidth="1"/>
    <col min="298" max="303" width="10.28515625" bestFit="1" customWidth="1"/>
    <col min="304" max="304" width="11.28515625" bestFit="1" customWidth="1"/>
    <col min="305" max="306" width="10.28515625" bestFit="1" customWidth="1"/>
    <col min="307" max="310" width="9.28515625" bestFit="1" customWidth="1"/>
    <col min="311" max="311" width="11.28515625" bestFit="1" customWidth="1"/>
    <col min="312" max="315" width="9.28515625" bestFit="1" customWidth="1"/>
    <col min="316" max="317" width="10.28515625" bestFit="1" customWidth="1"/>
    <col min="318" max="318" width="11.28515625" bestFit="1" customWidth="1"/>
    <col min="319" max="324" width="10.28515625" bestFit="1" customWidth="1"/>
    <col min="325" max="325" width="11.28515625" bestFit="1" customWidth="1"/>
    <col min="326" max="331" width="10.28515625" bestFit="1" customWidth="1"/>
    <col min="332" max="332" width="11.28515625" bestFit="1" customWidth="1"/>
    <col min="333" max="336" width="10.28515625" bestFit="1" customWidth="1"/>
    <col min="337" max="338" width="9.28515625" bestFit="1" customWidth="1"/>
    <col min="339" max="339" width="11.28515625" bestFit="1" customWidth="1"/>
    <col min="340" max="345" width="9.28515625" bestFit="1" customWidth="1"/>
    <col min="346" max="346" width="11.28515625" bestFit="1" customWidth="1"/>
    <col min="347" max="352" width="10.28515625" bestFit="1" customWidth="1"/>
    <col min="353" max="353" width="11.28515625" bestFit="1" customWidth="1"/>
    <col min="354" max="359" width="10.28515625" bestFit="1" customWidth="1"/>
    <col min="360" max="360" width="11.28515625" bestFit="1" customWidth="1"/>
    <col min="361" max="366" width="10.28515625" bestFit="1" customWidth="1"/>
    <col min="367" max="367" width="11.28515625" bestFit="1" customWidth="1"/>
  </cols>
  <sheetData>
    <row r="2" spans="2:367">
      <c r="B2" s="20"/>
      <c r="C2" s="21">
        <f>EOMONTH(C3,0)</f>
        <v>46053</v>
      </c>
      <c r="D2" s="21">
        <f>EOMONTH(D3,0)</f>
        <v>46053</v>
      </c>
      <c r="E2" s="21">
        <f t="shared" ref="E2:BP2" si="0">EOMONTH(E3,0)</f>
        <v>46053</v>
      </c>
      <c r="F2" s="21">
        <f t="shared" si="0"/>
        <v>46053</v>
      </c>
      <c r="G2" s="21">
        <f t="shared" si="0"/>
        <v>46053</v>
      </c>
      <c r="H2" s="21">
        <f t="shared" si="0"/>
        <v>46053</v>
      </c>
      <c r="I2" s="21">
        <f t="shared" si="0"/>
        <v>46053</v>
      </c>
      <c r="J2" s="21">
        <f t="shared" si="0"/>
        <v>46053</v>
      </c>
      <c r="K2" s="21">
        <f t="shared" si="0"/>
        <v>46053</v>
      </c>
      <c r="L2" s="21">
        <f t="shared" si="0"/>
        <v>46053</v>
      </c>
      <c r="M2" s="21">
        <f t="shared" si="0"/>
        <v>46053</v>
      </c>
      <c r="N2" s="21">
        <f t="shared" si="0"/>
        <v>46053</v>
      </c>
      <c r="O2" s="21">
        <f t="shared" si="0"/>
        <v>46053</v>
      </c>
      <c r="P2" s="21">
        <f t="shared" si="0"/>
        <v>46053</v>
      </c>
      <c r="Q2" s="21">
        <f t="shared" si="0"/>
        <v>46053</v>
      </c>
      <c r="R2" s="21">
        <f t="shared" si="0"/>
        <v>46053</v>
      </c>
      <c r="S2" s="21">
        <f t="shared" si="0"/>
        <v>46053</v>
      </c>
      <c r="T2" s="21">
        <f t="shared" si="0"/>
        <v>46053</v>
      </c>
      <c r="U2" s="21">
        <f t="shared" si="0"/>
        <v>46053</v>
      </c>
      <c r="V2" s="21">
        <f t="shared" si="0"/>
        <v>46053</v>
      </c>
      <c r="W2" s="21">
        <f t="shared" si="0"/>
        <v>46053</v>
      </c>
      <c r="X2" s="21">
        <f t="shared" si="0"/>
        <v>46053</v>
      </c>
      <c r="Y2" s="21">
        <f t="shared" si="0"/>
        <v>46053</v>
      </c>
      <c r="Z2" s="21">
        <f t="shared" si="0"/>
        <v>46053</v>
      </c>
      <c r="AA2" s="21">
        <f t="shared" si="0"/>
        <v>46053</v>
      </c>
      <c r="AB2" s="21">
        <f t="shared" si="0"/>
        <v>46053</v>
      </c>
      <c r="AC2" s="21">
        <f t="shared" si="0"/>
        <v>46053</v>
      </c>
      <c r="AD2" s="21">
        <f t="shared" si="0"/>
        <v>46053</v>
      </c>
      <c r="AE2" s="21">
        <f t="shared" si="0"/>
        <v>46053</v>
      </c>
      <c r="AF2" s="21">
        <f t="shared" si="0"/>
        <v>46053</v>
      </c>
      <c r="AG2" s="21">
        <f t="shared" si="0"/>
        <v>46053</v>
      </c>
      <c r="AH2" s="21">
        <f t="shared" si="0"/>
        <v>46081</v>
      </c>
      <c r="AI2" s="21">
        <f t="shared" si="0"/>
        <v>46081</v>
      </c>
      <c r="AJ2" s="21">
        <f t="shared" si="0"/>
        <v>46081</v>
      </c>
      <c r="AK2" s="21">
        <f t="shared" si="0"/>
        <v>46081</v>
      </c>
      <c r="AL2" s="21">
        <f t="shared" si="0"/>
        <v>46081</v>
      </c>
      <c r="AM2" s="21">
        <f t="shared" si="0"/>
        <v>46081</v>
      </c>
      <c r="AN2" s="21">
        <f t="shared" si="0"/>
        <v>46081</v>
      </c>
      <c r="AO2" s="21">
        <f t="shared" si="0"/>
        <v>46081</v>
      </c>
      <c r="AP2" s="21">
        <f t="shared" si="0"/>
        <v>46081</v>
      </c>
      <c r="AQ2" s="21">
        <f t="shared" si="0"/>
        <v>46081</v>
      </c>
      <c r="AR2" s="21">
        <f t="shared" si="0"/>
        <v>46081</v>
      </c>
      <c r="AS2" s="21">
        <f t="shared" si="0"/>
        <v>46081</v>
      </c>
      <c r="AT2" s="21">
        <f t="shared" si="0"/>
        <v>46081</v>
      </c>
      <c r="AU2" s="21">
        <f t="shared" si="0"/>
        <v>46081</v>
      </c>
      <c r="AV2" s="21">
        <f t="shared" si="0"/>
        <v>46081</v>
      </c>
      <c r="AW2" s="21">
        <f t="shared" si="0"/>
        <v>46081</v>
      </c>
      <c r="AX2" s="21">
        <f t="shared" si="0"/>
        <v>46081</v>
      </c>
      <c r="AY2" s="21">
        <f t="shared" si="0"/>
        <v>46081</v>
      </c>
      <c r="AZ2" s="21">
        <f t="shared" si="0"/>
        <v>46081</v>
      </c>
      <c r="BA2" s="21">
        <f t="shared" si="0"/>
        <v>46081</v>
      </c>
      <c r="BB2" s="21">
        <f t="shared" si="0"/>
        <v>46081</v>
      </c>
      <c r="BC2" s="21">
        <f t="shared" si="0"/>
        <v>46081</v>
      </c>
      <c r="BD2" s="21">
        <f t="shared" si="0"/>
        <v>46081</v>
      </c>
      <c r="BE2" s="21">
        <f t="shared" si="0"/>
        <v>46081</v>
      </c>
      <c r="BF2" s="21">
        <f t="shared" si="0"/>
        <v>46081</v>
      </c>
      <c r="BG2" s="21">
        <f t="shared" si="0"/>
        <v>46081</v>
      </c>
      <c r="BH2" s="21">
        <f t="shared" si="0"/>
        <v>46081</v>
      </c>
      <c r="BI2" s="21">
        <f t="shared" si="0"/>
        <v>46081</v>
      </c>
      <c r="BJ2" s="21">
        <f t="shared" si="0"/>
        <v>46112</v>
      </c>
      <c r="BK2" s="21">
        <f t="shared" si="0"/>
        <v>46112</v>
      </c>
      <c r="BL2" s="21">
        <f t="shared" si="0"/>
        <v>46112</v>
      </c>
      <c r="BM2" s="21">
        <f t="shared" si="0"/>
        <v>46112</v>
      </c>
      <c r="BN2" s="21">
        <f t="shared" si="0"/>
        <v>46112</v>
      </c>
      <c r="BO2" s="21">
        <f t="shared" si="0"/>
        <v>46112</v>
      </c>
      <c r="BP2" s="21">
        <f t="shared" si="0"/>
        <v>46112</v>
      </c>
      <c r="BQ2" s="21">
        <f t="shared" ref="BQ2:EB2" si="1">EOMONTH(BQ3,0)</f>
        <v>46112</v>
      </c>
      <c r="BR2" s="21">
        <f t="shared" si="1"/>
        <v>46112</v>
      </c>
      <c r="BS2" s="21">
        <f t="shared" si="1"/>
        <v>46112</v>
      </c>
      <c r="BT2" s="21">
        <f t="shared" si="1"/>
        <v>46112</v>
      </c>
      <c r="BU2" s="21">
        <f t="shared" si="1"/>
        <v>46112</v>
      </c>
      <c r="BV2" s="21">
        <f t="shared" si="1"/>
        <v>46112</v>
      </c>
      <c r="BW2" s="21">
        <f t="shared" si="1"/>
        <v>46112</v>
      </c>
      <c r="BX2" s="21">
        <f t="shared" si="1"/>
        <v>46112</v>
      </c>
      <c r="BY2" s="21">
        <f t="shared" si="1"/>
        <v>46112</v>
      </c>
      <c r="BZ2" s="21">
        <f t="shared" si="1"/>
        <v>46112</v>
      </c>
      <c r="CA2" s="21">
        <f t="shared" si="1"/>
        <v>46112</v>
      </c>
      <c r="CB2" s="21">
        <f t="shared" si="1"/>
        <v>46112</v>
      </c>
      <c r="CC2" s="21">
        <f t="shared" si="1"/>
        <v>46112</v>
      </c>
      <c r="CD2" s="21">
        <f t="shared" si="1"/>
        <v>46112</v>
      </c>
      <c r="CE2" s="21">
        <f t="shared" si="1"/>
        <v>46112</v>
      </c>
      <c r="CF2" s="21">
        <f t="shared" si="1"/>
        <v>46112</v>
      </c>
      <c r="CG2" s="21">
        <f t="shared" si="1"/>
        <v>46112</v>
      </c>
      <c r="CH2" s="21">
        <f t="shared" si="1"/>
        <v>46112</v>
      </c>
      <c r="CI2" s="21">
        <f t="shared" si="1"/>
        <v>46112</v>
      </c>
      <c r="CJ2" s="21">
        <f t="shared" si="1"/>
        <v>46112</v>
      </c>
      <c r="CK2" s="21">
        <f t="shared" si="1"/>
        <v>46112</v>
      </c>
      <c r="CL2" s="21">
        <f t="shared" si="1"/>
        <v>46112</v>
      </c>
      <c r="CM2" s="21">
        <f t="shared" si="1"/>
        <v>46112</v>
      </c>
      <c r="CN2" s="21">
        <f t="shared" si="1"/>
        <v>46112</v>
      </c>
      <c r="CO2" s="21">
        <f t="shared" si="1"/>
        <v>46142</v>
      </c>
      <c r="CP2" s="21">
        <f t="shared" si="1"/>
        <v>46142</v>
      </c>
      <c r="CQ2" s="21">
        <f t="shared" si="1"/>
        <v>46142</v>
      </c>
      <c r="CR2" s="21">
        <f t="shared" si="1"/>
        <v>46142</v>
      </c>
      <c r="CS2" s="21">
        <f t="shared" si="1"/>
        <v>46142</v>
      </c>
      <c r="CT2" s="21">
        <f t="shared" si="1"/>
        <v>46142</v>
      </c>
      <c r="CU2" s="21">
        <f t="shared" si="1"/>
        <v>46142</v>
      </c>
      <c r="CV2" s="21">
        <f t="shared" si="1"/>
        <v>46142</v>
      </c>
      <c r="CW2" s="21">
        <f t="shared" si="1"/>
        <v>46142</v>
      </c>
      <c r="CX2" s="21">
        <f t="shared" si="1"/>
        <v>46142</v>
      </c>
      <c r="CY2" s="21">
        <f t="shared" si="1"/>
        <v>46142</v>
      </c>
      <c r="CZ2" s="21">
        <f t="shared" si="1"/>
        <v>46142</v>
      </c>
      <c r="DA2" s="21">
        <f t="shared" si="1"/>
        <v>46142</v>
      </c>
      <c r="DB2" s="21">
        <f t="shared" si="1"/>
        <v>46142</v>
      </c>
      <c r="DC2" s="21">
        <f t="shared" si="1"/>
        <v>46142</v>
      </c>
      <c r="DD2" s="21">
        <f t="shared" si="1"/>
        <v>46142</v>
      </c>
      <c r="DE2" s="21">
        <f t="shared" si="1"/>
        <v>46142</v>
      </c>
      <c r="DF2" s="21">
        <f t="shared" si="1"/>
        <v>46142</v>
      </c>
      <c r="DG2" s="21">
        <f t="shared" si="1"/>
        <v>46142</v>
      </c>
      <c r="DH2" s="21">
        <f t="shared" si="1"/>
        <v>46142</v>
      </c>
      <c r="DI2" s="21">
        <f t="shared" si="1"/>
        <v>46142</v>
      </c>
      <c r="DJ2" s="21">
        <f t="shared" si="1"/>
        <v>46142</v>
      </c>
      <c r="DK2" s="21">
        <f t="shared" si="1"/>
        <v>46142</v>
      </c>
      <c r="DL2" s="21">
        <f t="shared" si="1"/>
        <v>46142</v>
      </c>
      <c r="DM2" s="21">
        <f t="shared" si="1"/>
        <v>46142</v>
      </c>
      <c r="DN2" s="21">
        <f t="shared" si="1"/>
        <v>46142</v>
      </c>
      <c r="DO2" s="21">
        <f t="shared" si="1"/>
        <v>46142</v>
      </c>
      <c r="DP2" s="21">
        <f t="shared" si="1"/>
        <v>46142</v>
      </c>
      <c r="DQ2" s="21">
        <f t="shared" si="1"/>
        <v>46142</v>
      </c>
      <c r="DR2" s="21">
        <f t="shared" si="1"/>
        <v>46142</v>
      </c>
      <c r="DS2" s="21">
        <f t="shared" si="1"/>
        <v>46173</v>
      </c>
      <c r="DT2" s="21">
        <f t="shared" si="1"/>
        <v>46173</v>
      </c>
      <c r="DU2" s="21">
        <f t="shared" si="1"/>
        <v>46173</v>
      </c>
      <c r="DV2" s="21">
        <f t="shared" si="1"/>
        <v>46173</v>
      </c>
      <c r="DW2" s="21">
        <f t="shared" si="1"/>
        <v>46173</v>
      </c>
      <c r="DX2" s="21">
        <f t="shared" si="1"/>
        <v>46173</v>
      </c>
      <c r="DY2" s="21">
        <f t="shared" si="1"/>
        <v>46173</v>
      </c>
      <c r="DZ2" s="21">
        <f t="shared" si="1"/>
        <v>46173</v>
      </c>
      <c r="EA2" s="21">
        <f t="shared" si="1"/>
        <v>46173</v>
      </c>
      <c r="EB2" s="21">
        <f t="shared" si="1"/>
        <v>46173</v>
      </c>
      <c r="EC2" s="21">
        <f t="shared" ref="EC2:GN2" si="2">EOMONTH(EC3,0)</f>
        <v>46173</v>
      </c>
      <c r="ED2" s="21">
        <f t="shared" si="2"/>
        <v>46173</v>
      </c>
      <c r="EE2" s="21">
        <f t="shared" si="2"/>
        <v>46173</v>
      </c>
      <c r="EF2" s="21">
        <f t="shared" si="2"/>
        <v>46173</v>
      </c>
      <c r="EG2" s="21">
        <f t="shared" si="2"/>
        <v>46173</v>
      </c>
      <c r="EH2" s="21">
        <f t="shared" si="2"/>
        <v>46173</v>
      </c>
      <c r="EI2" s="21">
        <f t="shared" si="2"/>
        <v>46173</v>
      </c>
      <c r="EJ2" s="21">
        <f t="shared" si="2"/>
        <v>46173</v>
      </c>
      <c r="EK2" s="21">
        <f t="shared" si="2"/>
        <v>46173</v>
      </c>
      <c r="EL2" s="21">
        <f t="shared" si="2"/>
        <v>46173</v>
      </c>
      <c r="EM2" s="21">
        <f t="shared" si="2"/>
        <v>46173</v>
      </c>
      <c r="EN2" s="21">
        <f t="shared" si="2"/>
        <v>46173</v>
      </c>
      <c r="EO2" s="21">
        <f t="shared" si="2"/>
        <v>46173</v>
      </c>
      <c r="EP2" s="21">
        <f t="shared" si="2"/>
        <v>46173</v>
      </c>
      <c r="EQ2" s="21">
        <f t="shared" si="2"/>
        <v>46173</v>
      </c>
      <c r="ER2" s="21">
        <f t="shared" si="2"/>
        <v>46173</v>
      </c>
      <c r="ES2" s="21">
        <f t="shared" si="2"/>
        <v>46173</v>
      </c>
      <c r="ET2" s="21">
        <f t="shared" si="2"/>
        <v>46173</v>
      </c>
      <c r="EU2" s="21">
        <f t="shared" si="2"/>
        <v>46173</v>
      </c>
      <c r="EV2" s="21">
        <f t="shared" si="2"/>
        <v>46173</v>
      </c>
      <c r="EW2" s="21">
        <f t="shared" si="2"/>
        <v>46173</v>
      </c>
      <c r="EX2" s="21">
        <f t="shared" si="2"/>
        <v>46203</v>
      </c>
      <c r="EY2" s="21">
        <f t="shared" si="2"/>
        <v>46203</v>
      </c>
      <c r="EZ2" s="21">
        <f t="shared" si="2"/>
        <v>46203</v>
      </c>
      <c r="FA2" s="21">
        <f t="shared" si="2"/>
        <v>46203</v>
      </c>
      <c r="FB2" s="21">
        <f t="shared" si="2"/>
        <v>46203</v>
      </c>
      <c r="FC2" s="21">
        <f t="shared" si="2"/>
        <v>46203</v>
      </c>
      <c r="FD2" s="21">
        <f t="shared" si="2"/>
        <v>46203</v>
      </c>
      <c r="FE2" s="21">
        <f t="shared" si="2"/>
        <v>46203</v>
      </c>
      <c r="FF2" s="21">
        <f t="shared" si="2"/>
        <v>46203</v>
      </c>
      <c r="FG2" s="21">
        <f t="shared" si="2"/>
        <v>46203</v>
      </c>
      <c r="FH2" s="21">
        <f t="shared" si="2"/>
        <v>46203</v>
      </c>
      <c r="FI2" s="21">
        <f t="shared" si="2"/>
        <v>46203</v>
      </c>
      <c r="FJ2" s="21">
        <f t="shared" si="2"/>
        <v>46203</v>
      </c>
      <c r="FK2" s="21">
        <f t="shared" si="2"/>
        <v>46203</v>
      </c>
      <c r="FL2" s="21">
        <f t="shared" si="2"/>
        <v>46203</v>
      </c>
      <c r="FM2" s="21">
        <f t="shared" si="2"/>
        <v>46203</v>
      </c>
      <c r="FN2" s="21">
        <f t="shared" si="2"/>
        <v>46203</v>
      </c>
      <c r="FO2" s="21">
        <f t="shared" si="2"/>
        <v>46203</v>
      </c>
      <c r="FP2" s="21">
        <f t="shared" si="2"/>
        <v>46203</v>
      </c>
      <c r="FQ2" s="21">
        <f t="shared" si="2"/>
        <v>46203</v>
      </c>
      <c r="FR2" s="21">
        <f t="shared" si="2"/>
        <v>46203</v>
      </c>
      <c r="FS2" s="21">
        <f t="shared" si="2"/>
        <v>46203</v>
      </c>
      <c r="FT2" s="21">
        <f t="shared" si="2"/>
        <v>46203</v>
      </c>
      <c r="FU2" s="21">
        <f t="shared" si="2"/>
        <v>46203</v>
      </c>
      <c r="FV2" s="21">
        <f t="shared" si="2"/>
        <v>46203</v>
      </c>
      <c r="FW2" s="21">
        <f t="shared" si="2"/>
        <v>46203</v>
      </c>
      <c r="FX2" s="21">
        <f t="shared" si="2"/>
        <v>46203</v>
      </c>
      <c r="FY2" s="21">
        <f t="shared" si="2"/>
        <v>46203</v>
      </c>
      <c r="FZ2" s="21">
        <f t="shared" si="2"/>
        <v>46203</v>
      </c>
      <c r="GA2" s="21">
        <f t="shared" si="2"/>
        <v>46203</v>
      </c>
      <c r="GB2" s="21">
        <f t="shared" si="2"/>
        <v>46234</v>
      </c>
      <c r="GC2" s="21">
        <f t="shared" si="2"/>
        <v>46234</v>
      </c>
      <c r="GD2" s="21">
        <f t="shared" si="2"/>
        <v>46234</v>
      </c>
      <c r="GE2" s="21">
        <f t="shared" si="2"/>
        <v>46234</v>
      </c>
      <c r="GF2" s="21">
        <f t="shared" si="2"/>
        <v>46234</v>
      </c>
      <c r="GG2" s="21">
        <f t="shared" si="2"/>
        <v>46234</v>
      </c>
      <c r="GH2" s="21">
        <f t="shared" si="2"/>
        <v>46234</v>
      </c>
      <c r="GI2" s="21">
        <f t="shared" si="2"/>
        <v>46234</v>
      </c>
      <c r="GJ2" s="21">
        <f t="shared" si="2"/>
        <v>46234</v>
      </c>
      <c r="GK2" s="21">
        <f t="shared" si="2"/>
        <v>46234</v>
      </c>
      <c r="GL2" s="21">
        <f t="shared" si="2"/>
        <v>46234</v>
      </c>
      <c r="GM2" s="21">
        <f t="shared" si="2"/>
        <v>46234</v>
      </c>
      <c r="GN2" s="21">
        <f t="shared" si="2"/>
        <v>46234</v>
      </c>
      <c r="GO2" s="21">
        <f t="shared" ref="GO2:IZ2" si="3">EOMONTH(GO3,0)</f>
        <v>46234</v>
      </c>
      <c r="GP2" s="21">
        <f t="shared" si="3"/>
        <v>46234</v>
      </c>
      <c r="GQ2" s="21">
        <f t="shared" si="3"/>
        <v>46234</v>
      </c>
      <c r="GR2" s="21">
        <f t="shared" si="3"/>
        <v>46234</v>
      </c>
      <c r="GS2" s="21">
        <f t="shared" si="3"/>
        <v>46234</v>
      </c>
      <c r="GT2" s="21">
        <f t="shared" si="3"/>
        <v>46234</v>
      </c>
      <c r="GU2" s="21">
        <f t="shared" si="3"/>
        <v>46234</v>
      </c>
      <c r="GV2" s="21">
        <f t="shared" si="3"/>
        <v>46234</v>
      </c>
      <c r="GW2" s="21">
        <f t="shared" si="3"/>
        <v>46234</v>
      </c>
      <c r="GX2" s="21">
        <f t="shared" si="3"/>
        <v>46234</v>
      </c>
      <c r="GY2" s="21">
        <f t="shared" si="3"/>
        <v>46234</v>
      </c>
      <c r="GZ2" s="21">
        <f t="shared" si="3"/>
        <v>46234</v>
      </c>
      <c r="HA2" s="21">
        <f t="shared" si="3"/>
        <v>46234</v>
      </c>
      <c r="HB2" s="21">
        <f t="shared" si="3"/>
        <v>46234</v>
      </c>
      <c r="HC2" s="21">
        <f t="shared" si="3"/>
        <v>46234</v>
      </c>
      <c r="HD2" s="21">
        <f t="shared" si="3"/>
        <v>46234</v>
      </c>
      <c r="HE2" s="21">
        <f t="shared" si="3"/>
        <v>46234</v>
      </c>
      <c r="HF2" s="21">
        <f t="shared" si="3"/>
        <v>46234</v>
      </c>
      <c r="HG2" s="21">
        <f t="shared" si="3"/>
        <v>46265</v>
      </c>
      <c r="HH2" s="21">
        <f t="shared" si="3"/>
        <v>46265</v>
      </c>
      <c r="HI2" s="21">
        <f t="shared" si="3"/>
        <v>46265</v>
      </c>
      <c r="HJ2" s="21">
        <f t="shared" si="3"/>
        <v>46265</v>
      </c>
      <c r="HK2" s="21">
        <f t="shared" si="3"/>
        <v>46265</v>
      </c>
      <c r="HL2" s="21">
        <f t="shared" si="3"/>
        <v>46265</v>
      </c>
      <c r="HM2" s="21">
        <f t="shared" si="3"/>
        <v>46265</v>
      </c>
      <c r="HN2" s="21">
        <f t="shared" si="3"/>
        <v>46265</v>
      </c>
      <c r="HO2" s="21">
        <f t="shared" si="3"/>
        <v>46265</v>
      </c>
      <c r="HP2" s="21">
        <f t="shared" si="3"/>
        <v>46265</v>
      </c>
      <c r="HQ2" s="21">
        <f t="shared" si="3"/>
        <v>46265</v>
      </c>
      <c r="HR2" s="21">
        <f t="shared" si="3"/>
        <v>46265</v>
      </c>
      <c r="HS2" s="21">
        <f t="shared" si="3"/>
        <v>46265</v>
      </c>
      <c r="HT2" s="21">
        <f t="shared" si="3"/>
        <v>46265</v>
      </c>
      <c r="HU2" s="21">
        <f t="shared" si="3"/>
        <v>46265</v>
      </c>
      <c r="HV2" s="21">
        <f t="shared" si="3"/>
        <v>46265</v>
      </c>
      <c r="HW2" s="21">
        <f t="shared" si="3"/>
        <v>46265</v>
      </c>
      <c r="HX2" s="21">
        <f t="shared" si="3"/>
        <v>46265</v>
      </c>
      <c r="HY2" s="21">
        <f t="shared" si="3"/>
        <v>46265</v>
      </c>
      <c r="HZ2" s="21">
        <f t="shared" si="3"/>
        <v>46265</v>
      </c>
      <c r="IA2" s="21">
        <f t="shared" si="3"/>
        <v>46265</v>
      </c>
      <c r="IB2" s="21">
        <f t="shared" si="3"/>
        <v>46265</v>
      </c>
      <c r="IC2" s="21">
        <f t="shared" si="3"/>
        <v>46265</v>
      </c>
      <c r="ID2" s="21">
        <f t="shared" si="3"/>
        <v>46265</v>
      </c>
      <c r="IE2" s="21">
        <f t="shared" si="3"/>
        <v>46265</v>
      </c>
      <c r="IF2" s="21">
        <f t="shared" si="3"/>
        <v>46265</v>
      </c>
      <c r="IG2" s="21">
        <f t="shared" si="3"/>
        <v>46265</v>
      </c>
      <c r="IH2" s="21">
        <f t="shared" si="3"/>
        <v>46265</v>
      </c>
      <c r="II2" s="21">
        <f t="shared" si="3"/>
        <v>46265</v>
      </c>
      <c r="IJ2" s="21">
        <f t="shared" si="3"/>
        <v>46265</v>
      </c>
      <c r="IK2" s="21">
        <f t="shared" si="3"/>
        <v>46265</v>
      </c>
      <c r="IL2" s="21">
        <f t="shared" si="3"/>
        <v>46295</v>
      </c>
      <c r="IM2" s="21">
        <f t="shared" si="3"/>
        <v>46295</v>
      </c>
      <c r="IN2" s="21">
        <f t="shared" si="3"/>
        <v>46295</v>
      </c>
      <c r="IO2" s="21">
        <f t="shared" si="3"/>
        <v>46295</v>
      </c>
      <c r="IP2" s="21">
        <f t="shared" si="3"/>
        <v>46295</v>
      </c>
      <c r="IQ2" s="21">
        <f t="shared" si="3"/>
        <v>46295</v>
      </c>
      <c r="IR2" s="21">
        <f t="shared" si="3"/>
        <v>46295</v>
      </c>
      <c r="IS2" s="21">
        <f t="shared" si="3"/>
        <v>46295</v>
      </c>
      <c r="IT2" s="21">
        <f t="shared" si="3"/>
        <v>46295</v>
      </c>
      <c r="IU2" s="21">
        <f t="shared" si="3"/>
        <v>46295</v>
      </c>
      <c r="IV2" s="21">
        <f t="shared" si="3"/>
        <v>46295</v>
      </c>
      <c r="IW2" s="21">
        <f t="shared" si="3"/>
        <v>46295</v>
      </c>
      <c r="IX2" s="21">
        <f t="shared" si="3"/>
        <v>46295</v>
      </c>
      <c r="IY2" s="21">
        <f t="shared" si="3"/>
        <v>46295</v>
      </c>
      <c r="IZ2" s="21">
        <f t="shared" si="3"/>
        <v>46295</v>
      </c>
      <c r="JA2" s="21">
        <f t="shared" ref="JA2:LL2" si="4">EOMONTH(JA3,0)</f>
        <v>46295</v>
      </c>
      <c r="JB2" s="21">
        <f t="shared" si="4"/>
        <v>46295</v>
      </c>
      <c r="JC2" s="21">
        <f t="shared" si="4"/>
        <v>46295</v>
      </c>
      <c r="JD2" s="21">
        <f t="shared" si="4"/>
        <v>46295</v>
      </c>
      <c r="JE2" s="21">
        <f t="shared" si="4"/>
        <v>46295</v>
      </c>
      <c r="JF2" s="21">
        <f t="shared" si="4"/>
        <v>46295</v>
      </c>
      <c r="JG2" s="21">
        <f t="shared" si="4"/>
        <v>46295</v>
      </c>
      <c r="JH2" s="21">
        <f t="shared" si="4"/>
        <v>46295</v>
      </c>
      <c r="JI2" s="21">
        <f t="shared" si="4"/>
        <v>46295</v>
      </c>
      <c r="JJ2" s="21">
        <f t="shared" si="4"/>
        <v>46295</v>
      </c>
      <c r="JK2" s="21">
        <f t="shared" si="4"/>
        <v>46295</v>
      </c>
      <c r="JL2" s="21">
        <f t="shared" si="4"/>
        <v>46295</v>
      </c>
      <c r="JM2" s="21">
        <f t="shared" si="4"/>
        <v>46295</v>
      </c>
      <c r="JN2" s="21">
        <f t="shared" si="4"/>
        <v>46295</v>
      </c>
      <c r="JO2" s="21">
        <f t="shared" si="4"/>
        <v>46295</v>
      </c>
      <c r="JP2" s="21">
        <f t="shared" si="4"/>
        <v>46326</v>
      </c>
      <c r="JQ2" s="21">
        <f t="shared" si="4"/>
        <v>46326</v>
      </c>
      <c r="JR2" s="21">
        <f t="shared" si="4"/>
        <v>46326</v>
      </c>
      <c r="JS2" s="21">
        <f t="shared" si="4"/>
        <v>46326</v>
      </c>
      <c r="JT2" s="21">
        <f t="shared" si="4"/>
        <v>46326</v>
      </c>
      <c r="JU2" s="21">
        <f t="shared" si="4"/>
        <v>46326</v>
      </c>
      <c r="JV2" s="21">
        <f t="shared" si="4"/>
        <v>46326</v>
      </c>
      <c r="JW2" s="21">
        <f t="shared" si="4"/>
        <v>46326</v>
      </c>
      <c r="JX2" s="21">
        <f t="shared" si="4"/>
        <v>46326</v>
      </c>
      <c r="JY2" s="21">
        <f t="shared" si="4"/>
        <v>46326</v>
      </c>
      <c r="JZ2" s="21">
        <f t="shared" si="4"/>
        <v>46326</v>
      </c>
      <c r="KA2" s="21">
        <f t="shared" si="4"/>
        <v>46326</v>
      </c>
      <c r="KB2" s="21">
        <f t="shared" si="4"/>
        <v>46326</v>
      </c>
      <c r="KC2" s="21">
        <f t="shared" si="4"/>
        <v>46326</v>
      </c>
      <c r="KD2" s="21">
        <f t="shared" si="4"/>
        <v>46326</v>
      </c>
      <c r="KE2" s="21">
        <f t="shared" si="4"/>
        <v>46326</v>
      </c>
      <c r="KF2" s="21">
        <f t="shared" si="4"/>
        <v>46326</v>
      </c>
      <c r="KG2" s="21">
        <f t="shared" si="4"/>
        <v>46326</v>
      </c>
      <c r="KH2" s="21">
        <f t="shared" si="4"/>
        <v>46326</v>
      </c>
      <c r="KI2" s="21">
        <f t="shared" si="4"/>
        <v>46326</v>
      </c>
      <c r="KJ2" s="21">
        <f t="shared" si="4"/>
        <v>46326</v>
      </c>
      <c r="KK2" s="21">
        <f t="shared" si="4"/>
        <v>46326</v>
      </c>
      <c r="KL2" s="21">
        <f t="shared" si="4"/>
        <v>46326</v>
      </c>
      <c r="KM2" s="21">
        <f t="shared" si="4"/>
        <v>46326</v>
      </c>
      <c r="KN2" s="21">
        <f t="shared" si="4"/>
        <v>46326</v>
      </c>
      <c r="KO2" s="21">
        <f t="shared" si="4"/>
        <v>46326</v>
      </c>
      <c r="KP2" s="21">
        <f t="shared" si="4"/>
        <v>46326</v>
      </c>
      <c r="KQ2" s="21">
        <f t="shared" si="4"/>
        <v>46326</v>
      </c>
      <c r="KR2" s="21">
        <f t="shared" si="4"/>
        <v>46326</v>
      </c>
      <c r="KS2" s="21">
        <f t="shared" si="4"/>
        <v>46326</v>
      </c>
      <c r="KT2" s="21">
        <f t="shared" si="4"/>
        <v>46326</v>
      </c>
      <c r="KU2" s="21">
        <f t="shared" si="4"/>
        <v>46356</v>
      </c>
      <c r="KV2" s="21">
        <f t="shared" si="4"/>
        <v>46356</v>
      </c>
      <c r="KW2" s="21">
        <f t="shared" si="4"/>
        <v>46356</v>
      </c>
      <c r="KX2" s="21">
        <f t="shared" si="4"/>
        <v>46356</v>
      </c>
      <c r="KY2" s="21">
        <f t="shared" si="4"/>
        <v>46356</v>
      </c>
      <c r="KZ2" s="21">
        <f t="shared" si="4"/>
        <v>46356</v>
      </c>
      <c r="LA2" s="21">
        <f t="shared" si="4"/>
        <v>46356</v>
      </c>
      <c r="LB2" s="21">
        <f t="shared" si="4"/>
        <v>46356</v>
      </c>
      <c r="LC2" s="21">
        <f t="shared" si="4"/>
        <v>46356</v>
      </c>
      <c r="LD2" s="21">
        <f t="shared" si="4"/>
        <v>46356</v>
      </c>
      <c r="LE2" s="21">
        <f t="shared" si="4"/>
        <v>46356</v>
      </c>
      <c r="LF2" s="21">
        <f t="shared" si="4"/>
        <v>46356</v>
      </c>
      <c r="LG2" s="21">
        <f t="shared" si="4"/>
        <v>46356</v>
      </c>
      <c r="LH2" s="21">
        <f t="shared" si="4"/>
        <v>46356</v>
      </c>
      <c r="LI2" s="21">
        <f t="shared" si="4"/>
        <v>46356</v>
      </c>
      <c r="LJ2" s="21">
        <f t="shared" si="4"/>
        <v>46356</v>
      </c>
      <c r="LK2" s="21">
        <f t="shared" si="4"/>
        <v>46356</v>
      </c>
      <c r="LL2" s="21">
        <f t="shared" si="4"/>
        <v>46356</v>
      </c>
      <c r="LM2" s="21">
        <f t="shared" ref="LM2:NC2" si="5">EOMONTH(LM3,0)</f>
        <v>46356</v>
      </c>
      <c r="LN2" s="21">
        <f t="shared" si="5"/>
        <v>46356</v>
      </c>
      <c r="LO2" s="21">
        <f t="shared" si="5"/>
        <v>46356</v>
      </c>
      <c r="LP2" s="21">
        <f t="shared" si="5"/>
        <v>46356</v>
      </c>
      <c r="LQ2" s="21">
        <f t="shared" si="5"/>
        <v>46356</v>
      </c>
      <c r="LR2" s="21">
        <f t="shared" si="5"/>
        <v>46356</v>
      </c>
      <c r="LS2" s="21">
        <f t="shared" si="5"/>
        <v>46356</v>
      </c>
      <c r="LT2" s="21">
        <f t="shared" si="5"/>
        <v>46356</v>
      </c>
      <c r="LU2" s="21">
        <f t="shared" si="5"/>
        <v>46356</v>
      </c>
      <c r="LV2" s="21">
        <f t="shared" si="5"/>
        <v>46356</v>
      </c>
      <c r="LW2" s="21">
        <f t="shared" si="5"/>
        <v>46356</v>
      </c>
      <c r="LX2" s="21">
        <f t="shared" si="5"/>
        <v>46356</v>
      </c>
      <c r="LY2" s="21">
        <f t="shared" si="5"/>
        <v>46387</v>
      </c>
      <c r="LZ2" s="21">
        <f t="shared" si="5"/>
        <v>46387</v>
      </c>
      <c r="MA2" s="21">
        <f t="shared" si="5"/>
        <v>46387</v>
      </c>
      <c r="MB2" s="21">
        <f t="shared" si="5"/>
        <v>46387</v>
      </c>
      <c r="MC2" s="21">
        <f t="shared" si="5"/>
        <v>46387</v>
      </c>
      <c r="MD2" s="21">
        <f t="shared" si="5"/>
        <v>46387</v>
      </c>
      <c r="ME2" s="21">
        <f t="shared" si="5"/>
        <v>46387</v>
      </c>
      <c r="MF2" s="21">
        <f t="shared" si="5"/>
        <v>46387</v>
      </c>
      <c r="MG2" s="21">
        <f t="shared" si="5"/>
        <v>46387</v>
      </c>
      <c r="MH2" s="21">
        <f t="shared" si="5"/>
        <v>46387</v>
      </c>
      <c r="MI2" s="21">
        <f t="shared" si="5"/>
        <v>46387</v>
      </c>
      <c r="MJ2" s="21">
        <f t="shared" si="5"/>
        <v>46387</v>
      </c>
      <c r="MK2" s="21">
        <f t="shared" si="5"/>
        <v>46387</v>
      </c>
      <c r="ML2" s="21">
        <f t="shared" si="5"/>
        <v>46387</v>
      </c>
      <c r="MM2" s="21">
        <f t="shared" si="5"/>
        <v>46387</v>
      </c>
      <c r="MN2" s="21">
        <f t="shared" si="5"/>
        <v>46387</v>
      </c>
      <c r="MO2" s="21">
        <f t="shared" si="5"/>
        <v>46387</v>
      </c>
      <c r="MP2" s="21">
        <f t="shared" si="5"/>
        <v>46387</v>
      </c>
      <c r="MQ2" s="21">
        <f t="shared" si="5"/>
        <v>46387</v>
      </c>
      <c r="MR2" s="21">
        <f t="shared" si="5"/>
        <v>46387</v>
      </c>
      <c r="MS2" s="21">
        <f t="shared" si="5"/>
        <v>46387</v>
      </c>
      <c r="MT2" s="21">
        <f t="shared" si="5"/>
        <v>46387</v>
      </c>
      <c r="MU2" s="21">
        <f t="shared" si="5"/>
        <v>46387</v>
      </c>
      <c r="MV2" s="21">
        <f t="shared" si="5"/>
        <v>46387</v>
      </c>
      <c r="MW2" s="21">
        <f t="shared" si="5"/>
        <v>46387</v>
      </c>
      <c r="MX2" s="21">
        <f t="shared" si="5"/>
        <v>46387</v>
      </c>
      <c r="MY2" s="21">
        <f t="shared" si="5"/>
        <v>46387</v>
      </c>
      <c r="MZ2" s="21">
        <f t="shared" si="5"/>
        <v>46387</v>
      </c>
      <c r="NA2" s="21">
        <f t="shared" si="5"/>
        <v>46387</v>
      </c>
      <c r="NB2" s="21">
        <f t="shared" si="5"/>
        <v>46387</v>
      </c>
      <c r="NC2" s="21">
        <f t="shared" si="5"/>
        <v>46387</v>
      </c>
    </row>
    <row r="3" spans="2:367" ht="20.45" customHeight="1">
      <c r="B3" s="22" t="s">
        <v>299</v>
      </c>
      <c r="C3" s="23">
        <v>46023</v>
      </c>
      <c r="D3" s="24">
        <f>+C3+1</f>
        <v>46024</v>
      </c>
      <c r="E3" s="24">
        <f t="shared" ref="E3:BP3" si="6">+D3+1</f>
        <v>46025</v>
      </c>
      <c r="F3" s="24">
        <f t="shared" si="6"/>
        <v>46026</v>
      </c>
      <c r="G3" s="24">
        <f t="shared" si="6"/>
        <v>46027</v>
      </c>
      <c r="H3" s="24">
        <f t="shared" si="6"/>
        <v>46028</v>
      </c>
      <c r="I3" s="24">
        <f t="shared" si="6"/>
        <v>46029</v>
      </c>
      <c r="J3" s="24">
        <f t="shared" si="6"/>
        <v>46030</v>
      </c>
      <c r="K3" s="24">
        <f t="shared" si="6"/>
        <v>46031</v>
      </c>
      <c r="L3" s="24">
        <f t="shared" si="6"/>
        <v>46032</v>
      </c>
      <c r="M3" s="24">
        <f t="shared" si="6"/>
        <v>46033</v>
      </c>
      <c r="N3" s="24">
        <f t="shared" si="6"/>
        <v>46034</v>
      </c>
      <c r="O3" s="24">
        <f t="shared" si="6"/>
        <v>46035</v>
      </c>
      <c r="P3" s="24">
        <f t="shared" si="6"/>
        <v>46036</v>
      </c>
      <c r="Q3" s="24">
        <f t="shared" si="6"/>
        <v>46037</v>
      </c>
      <c r="R3" s="24">
        <f t="shared" si="6"/>
        <v>46038</v>
      </c>
      <c r="S3" s="24">
        <f t="shared" si="6"/>
        <v>46039</v>
      </c>
      <c r="T3" s="24">
        <f t="shared" si="6"/>
        <v>46040</v>
      </c>
      <c r="U3" s="24">
        <f t="shared" si="6"/>
        <v>46041</v>
      </c>
      <c r="V3" s="24">
        <f t="shared" si="6"/>
        <v>46042</v>
      </c>
      <c r="W3" s="24">
        <f t="shared" si="6"/>
        <v>46043</v>
      </c>
      <c r="X3" s="24">
        <f t="shared" si="6"/>
        <v>46044</v>
      </c>
      <c r="Y3" s="24">
        <f t="shared" si="6"/>
        <v>46045</v>
      </c>
      <c r="Z3" s="24">
        <f t="shared" si="6"/>
        <v>46046</v>
      </c>
      <c r="AA3" s="24">
        <f t="shared" si="6"/>
        <v>46047</v>
      </c>
      <c r="AB3" s="24">
        <f t="shared" si="6"/>
        <v>46048</v>
      </c>
      <c r="AC3" s="24">
        <f t="shared" si="6"/>
        <v>46049</v>
      </c>
      <c r="AD3" s="24">
        <f t="shared" si="6"/>
        <v>46050</v>
      </c>
      <c r="AE3" s="24">
        <f t="shared" si="6"/>
        <v>46051</v>
      </c>
      <c r="AF3" s="24">
        <f t="shared" si="6"/>
        <v>46052</v>
      </c>
      <c r="AG3" s="24">
        <f t="shared" si="6"/>
        <v>46053</v>
      </c>
      <c r="AH3" s="24">
        <f t="shared" si="6"/>
        <v>46054</v>
      </c>
      <c r="AI3" s="24">
        <f t="shared" si="6"/>
        <v>46055</v>
      </c>
      <c r="AJ3" s="24">
        <f t="shared" si="6"/>
        <v>46056</v>
      </c>
      <c r="AK3" s="24">
        <f t="shared" si="6"/>
        <v>46057</v>
      </c>
      <c r="AL3" s="24">
        <f t="shared" si="6"/>
        <v>46058</v>
      </c>
      <c r="AM3" s="24">
        <f t="shared" si="6"/>
        <v>46059</v>
      </c>
      <c r="AN3" s="24">
        <f t="shared" si="6"/>
        <v>46060</v>
      </c>
      <c r="AO3" s="24">
        <f t="shared" si="6"/>
        <v>46061</v>
      </c>
      <c r="AP3" s="24">
        <f t="shared" si="6"/>
        <v>46062</v>
      </c>
      <c r="AQ3" s="24">
        <f t="shared" si="6"/>
        <v>46063</v>
      </c>
      <c r="AR3" s="24">
        <f t="shared" si="6"/>
        <v>46064</v>
      </c>
      <c r="AS3" s="24">
        <f t="shared" si="6"/>
        <v>46065</v>
      </c>
      <c r="AT3" s="24">
        <f t="shared" si="6"/>
        <v>46066</v>
      </c>
      <c r="AU3" s="24">
        <f t="shared" si="6"/>
        <v>46067</v>
      </c>
      <c r="AV3" s="24">
        <f t="shared" si="6"/>
        <v>46068</v>
      </c>
      <c r="AW3" s="24">
        <f t="shared" si="6"/>
        <v>46069</v>
      </c>
      <c r="AX3" s="24">
        <f t="shared" si="6"/>
        <v>46070</v>
      </c>
      <c r="AY3" s="24">
        <f t="shared" si="6"/>
        <v>46071</v>
      </c>
      <c r="AZ3" s="24">
        <f t="shared" si="6"/>
        <v>46072</v>
      </c>
      <c r="BA3" s="24">
        <f t="shared" si="6"/>
        <v>46073</v>
      </c>
      <c r="BB3" s="24">
        <f t="shared" si="6"/>
        <v>46074</v>
      </c>
      <c r="BC3" s="24">
        <f t="shared" si="6"/>
        <v>46075</v>
      </c>
      <c r="BD3" s="24">
        <f t="shared" si="6"/>
        <v>46076</v>
      </c>
      <c r="BE3" s="24">
        <f t="shared" si="6"/>
        <v>46077</v>
      </c>
      <c r="BF3" s="24">
        <f t="shared" si="6"/>
        <v>46078</v>
      </c>
      <c r="BG3" s="24">
        <f t="shared" si="6"/>
        <v>46079</v>
      </c>
      <c r="BH3" s="24">
        <f t="shared" si="6"/>
        <v>46080</v>
      </c>
      <c r="BI3" s="24">
        <f t="shared" si="6"/>
        <v>46081</v>
      </c>
      <c r="BJ3" s="24">
        <f t="shared" si="6"/>
        <v>46082</v>
      </c>
      <c r="BK3" s="24">
        <f t="shared" si="6"/>
        <v>46083</v>
      </c>
      <c r="BL3" s="24">
        <f t="shared" si="6"/>
        <v>46084</v>
      </c>
      <c r="BM3" s="24">
        <f t="shared" si="6"/>
        <v>46085</v>
      </c>
      <c r="BN3" s="24">
        <f t="shared" si="6"/>
        <v>46086</v>
      </c>
      <c r="BO3" s="24">
        <f t="shared" si="6"/>
        <v>46087</v>
      </c>
      <c r="BP3" s="24">
        <f t="shared" si="6"/>
        <v>46088</v>
      </c>
      <c r="BQ3" s="24">
        <f t="shared" ref="BQ3:EB3" si="7">+BP3+1</f>
        <v>46089</v>
      </c>
      <c r="BR3" s="24">
        <f t="shared" si="7"/>
        <v>46090</v>
      </c>
      <c r="BS3" s="24">
        <f t="shared" si="7"/>
        <v>46091</v>
      </c>
      <c r="BT3" s="24">
        <f t="shared" si="7"/>
        <v>46092</v>
      </c>
      <c r="BU3" s="24">
        <f t="shared" si="7"/>
        <v>46093</v>
      </c>
      <c r="BV3" s="24">
        <f t="shared" si="7"/>
        <v>46094</v>
      </c>
      <c r="BW3" s="24">
        <f t="shared" si="7"/>
        <v>46095</v>
      </c>
      <c r="BX3" s="24">
        <f t="shared" si="7"/>
        <v>46096</v>
      </c>
      <c r="BY3" s="24">
        <f t="shared" si="7"/>
        <v>46097</v>
      </c>
      <c r="BZ3" s="24">
        <f t="shared" si="7"/>
        <v>46098</v>
      </c>
      <c r="CA3" s="24">
        <f t="shared" si="7"/>
        <v>46099</v>
      </c>
      <c r="CB3" s="24">
        <f t="shared" si="7"/>
        <v>46100</v>
      </c>
      <c r="CC3" s="24">
        <f t="shared" si="7"/>
        <v>46101</v>
      </c>
      <c r="CD3" s="24">
        <f t="shared" si="7"/>
        <v>46102</v>
      </c>
      <c r="CE3" s="24">
        <f t="shared" si="7"/>
        <v>46103</v>
      </c>
      <c r="CF3" s="24">
        <f t="shared" si="7"/>
        <v>46104</v>
      </c>
      <c r="CG3" s="24">
        <f t="shared" si="7"/>
        <v>46105</v>
      </c>
      <c r="CH3" s="24">
        <f t="shared" si="7"/>
        <v>46106</v>
      </c>
      <c r="CI3" s="24">
        <f t="shared" si="7"/>
        <v>46107</v>
      </c>
      <c r="CJ3" s="24">
        <f t="shared" si="7"/>
        <v>46108</v>
      </c>
      <c r="CK3" s="24">
        <f t="shared" si="7"/>
        <v>46109</v>
      </c>
      <c r="CL3" s="24">
        <f t="shared" si="7"/>
        <v>46110</v>
      </c>
      <c r="CM3" s="24">
        <f t="shared" si="7"/>
        <v>46111</v>
      </c>
      <c r="CN3" s="24">
        <f t="shared" si="7"/>
        <v>46112</v>
      </c>
      <c r="CO3" s="24">
        <f t="shared" si="7"/>
        <v>46113</v>
      </c>
      <c r="CP3" s="24">
        <f t="shared" si="7"/>
        <v>46114</v>
      </c>
      <c r="CQ3" s="24">
        <f t="shared" si="7"/>
        <v>46115</v>
      </c>
      <c r="CR3" s="24">
        <f t="shared" si="7"/>
        <v>46116</v>
      </c>
      <c r="CS3" s="24">
        <f t="shared" si="7"/>
        <v>46117</v>
      </c>
      <c r="CT3" s="24">
        <f t="shared" si="7"/>
        <v>46118</v>
      </c>
      <c r="CU3" s="24">
        <f t="shared" si="7"/>
        <v>46119</v>
      </c>
      <c r="CV3" s="24">
        <f t="shared" si="7"/>
        <v>46120</v>
      </c>
      <c r="CW3" s="24">
        <f t="shared" si="7"/>
        <v>46121</v>
      </c>
      <c r="CX3" s="24">
        <f t="shared" si="7"/>
        <v>46122</v>
      </c>
      <c r="CY3" s="24">
        <f t="shared" si="7"/>
        <v>46123</v>
      </c>
      <c r="CZ3" s="24">
        <f t="shared" si="7"/>
        <v>46124</v>
      </c>
      <c r="DA3" s="24">
        <f t="shared" si="7"/>
        <v>46125</v>
      </c>
      <c r="DB3" s="24">
        <f t="shared" si="7"/>
        <v>46126</v>
      </c>
      <c r="DC3" s="24">
        <f t="shared" si="7"/>
        <v>46127</v>
      </c>
      <c r="DD3" s="24">
        <f t="shared" si="7"/>
        <v>46128</v>
      </c>
      <c r="DE3" s="24">
        <f t="shared" si="7"/>
        <v>46129</v>
      </c>
      <c r="DF3" s="24">
        <f t="shared" si="7"/>
        <v>46130</v>
      </c>
      <c r="DG3" s="24">
        <f t="shared" si="7"/>
        <v>46131</v>
      </c>
      <c r="DH3" s="24">
        <f t="shared" si="7"/>
        <v>46132</v>
      </c>
      <c r="DI3" s="24">
        <f t="shared" si="7"/>
        <v>46133</v>
      </c>
      <c r="DJ3" s="24">
        <f t="shared" si="7"/>
        <v>46134</v>
      </c>
      <c r="DK3" s="24">
        <f t="shared" si="7"/>
        <v>46135</v>
      </c>
      <c r="DL3" s="24">
        <f t="shared" si="7"/>
        <v>46136</v>
      </c>
      <c r="DM3" s="24">
        <f t="shared" si="7"/>
        <v>46137</v>
      </c>
      <c r="DN3" s="24">
        <f t="shared" si="7"/>
        <v>46138</v>
      </c>
      <c r="DO3" s="24">
        <f t="shared" si="7"/>
        <v>46139</v>
      </c>
      <c r="DP3" s="24">
        <f t="shared" si="7"/>
        <v>46140</v>
      </c>
      <c r="DQ3" s="24">
        <f t="shared" si="7"/>
        <v>46141</v>
      </c>
      <c r="DR3" s="24">
        <f t="shared" si="7"/>
        <v>46142</v>
      </c>
      <c r="DS3" s="24">
        <f t="shared" si="7"/>
        <v>46143</v>
      </c>
      <c r="DT3" s="24">
        <f t="shared" si="7"/>
        <v>46144</v>
      </c>
      <c r="DU3" s="24">
        <f t="shared" si="7"/>
        <v>46145</v>
      </c>
      <c r="DV3" s="24">
        <f t="shared" si="7"/>
        <v>46146</v>
      </c>
      <c r="DW3" s="24">
        <f t="shared" si="7"/>
        <v>46147</v>
      </c>
      <c r="DX3" s="24">
        <f t="shared" si="7"/>
        <v>46148</v>
      </c>
      <c r="DY3" s="24">
        <f t="shared" si="7"/>
        <v>46149</v>
      </c>
      <c r="DZ3" s="24">
        <f t="shared" si="7"/>
        <v>46150</v>
      </c>
      <c r="EA3" s="24">
        <f t="shared" si="7"/>
        <v>46151</v>
      </c>
      <c r="EB3" s="24">
        <f t="shared" si="7"/>
        <v>46152</v>
      </c>
      <c r="EC3" s="24">
        <f t="shared" ref="EC3:GN3" si="8">+EB3+1</f>
        <v>46153</v>
      </c>
      <c r="ED3" s="24">
        <f t="shared" si="8"/>
        <v>46154</v>
      </c>
      <c r="EE3" s="24">
        <f t="shared" si="8"/>
        <v>46155</v>
      </c>
      <c r="EF3" s="24">
        <f t="shared" si="8"/>
        <v>46156</v>
      </c>
      <c r="EG3" s="24">
        <f t="shared" si="8"/>
        <v>46157</v>
      </c>
      <c r="EH3" s="24">
        <f t="shared" si="8"/>
        <v>46158</v>
      </c>
      <c r="EI3" s="24">
        <f t="shared" si="8"/>
        <v>46159</v>
      </c>
      <c r="EJ3" s="24">
        <f t="shared" si="8"/>
        <v>46160</v>
      </c>
      <c r="EK3" s="24">
        <f t="shared" si="8"/>
        <v>46161</v>
      </c>
      <c r="EL3" s="24">
        <f t="shared" si="8"/>
        <v>46162</v>
      </c>
      <c r="EM3" s="24">
        <f t="shared" si="8"/>
        <v>46163</v>
      </c>
      <c r="EN3" s="24">
        <f t="shared" si="8"/>
        <v>46164</v>
      </c>
      <c r="EO3" s="24">
        <f t="shared" si="8"/>
        <v>46165</v>
      </c>
      <c r="EP3" s="24">
        <f t="shared" si="8"/>
        <v>46166</v>
      </c>
      <c r="EQ3" s="24">
        <f t="shared" si="8"/>
        <v>46167</v>
      </c>
      <c r="ER3" s="24">
        <f t="shared" si="8"/>
        <v>46168</v>
      </c>
      <c r="ES3" s="24">
        <f t="shared" si="8"/>
        <v>46169</v>
      </c>
      <c r="ET3" s="24">
        <f t="shared" si="8"/>
        <v>46170</v>
      </c>
      <c r="EU3" s="24">
        <f t="shared" si="8"/>
        <v>46171</v>
      </c>
      <c r="EV3" s="24">
        <f t="shared" si="8"/>
        <v>46172</v>
      </c>
      <c r="EW3" s="24">
        <f t="shared" si="8"/>
        <v>46173</v>
      </c>
      <c r="EX3" s="24">
        <f t="shared" si="8"/>
        <v>46174</v>
      </c>
      <c r="EY3" s="24">
        <f t="shared" si="8"/>
        <v>46175</v>
      </c>
      <c r="EZ3" s="24">
        <f t="shared" si="8"/>
        <v>46176</v>
      </c>
      <c r="FA3" s="24">
        <f t="shared" si="8"/>
        <v>46177</v>
      </c>
      <c r="FB3" s="24">
        <f t="shared" si="8"/>
        <v>46178</v>
      </c>
      <c r="FC3" s="24">
        <f t="shared" si="8"/>
        <v>46179</v>
      </c>
      <c r="FD3" s="24">
        <f t="shared" si="8"/>
        <v>46180</v>
      </c>
      <c r="FE3" s="24">
        <f t="shared" si="8"/>
        <v>46181</v>
      </c>
      <c r="FF3" s="24">
        <f t="shared" si="8"/>
        <v>46182</v>
      </c>
      <c r="FG3" s="24">
        <f t="shared" si="8"/>
        <v>46183</v>
      </c>
      <c r="FH3" s="24">
        <f t="shared" si="8"/>
        <v>46184</v>
      </c>
      <c r="FI3" s="24">
        <f t="shared" si="8"/>
        <v>46185</v>
      </c>
      <c r="FJ3" s="24">
        <f t="shared" si="8"/>
        <v>46186</v>
      </c>
      <c r="FK3" s="24">
        <f t="shared" si="8"/>
        <v>46187</v>
      </c>
      <c r="FL3" s="24">
        <f t="shared" si="8"/>
        <v>46188</v>
      </c>
      <c r="FM3" s="24">
        <f t="shared" si="8"/>
        <v>46189</v>
      </c>
      <c r="FN3" s="24">
        <f t="shared" si="8"/>
        <v>46190</v>
      </c>
      <c r="FO3" s="24">
        <f t="shared" si="8"/>
        <v>46191</v>
      </c>
      <c r="FP3" s="24">
        <f t="shared" si="8"/>
        <v>46192</v>
      </c>
      <c r="FQ3" s="24">
        <f t="shared" si="8"/>
        <v>46193</v>
      </c>
      <c r="FR3" s="24">
        <f t="shared" si="8"/>
        <v>46194</v>
      </c>
      <c r="FS3" s="24">
        <f t="shared" si="8"/>
        <v>46195</v>
      </c>
      <c r="FT3" s="24">
        <f t="shared" si="8"/>
        <v>46196</v>
      </c>
      <c r="FU3" s="24">
        <f t="shared" si="8"/>
        <v>46197</v>
      </c>
      <c r="FV3" s="24">
        <f t="shared" si="8"/>
        <v>46198</v>
      </c>
      <c r="FW3" s="24">
        <f t="shared" si="8"/>
        <v>46199</v>
      </c>
      <c r="FX3" s="24">
        <f t="shared" si="8"/>
        <v>46200</v>
      </c>
      <c r="FY3" s="24">
        <f t="shared" si="8"/>
        <v>46201</v>
      </c>
      <c r="FZ3" s="24">
        <f t="shared" si="8"/>
        <v>46202</v>
      </c>
      <c r="GA3" s="24">
        <f t="shared" si="8"/>
        <v>46203</v>
      </c>
      <c r="GB3" s="24">
        <f t="shared" si="8"/>
        <v>46204</v>
      </c>
      <c r="GC3" s="24">
        <f t="shared" si="8"/>
        <v>46205</v>
      </c>
      <c r="GD3" s="24">
        <f t="shared" si="8"/>
        <v>46206</v>
      </c>
      <c r="GE3" s="24">
        <f t="shared" si="8"/>
        <v>46207</v>
      </c>
      <c r="GF3" s="24">
        <f t="shared" si="8"/>
        <v>46208</v>
      </c>
      <c r="GG3" s="24">
        <f t="shared" si="8"/>
        <v>46209</v>
      </c>
      <c r="GH3" s="24">
        <f t="shared" si="8"/>
        <v>46210</v>
      </c>
      <c r="GI3" s="24">
        <f t="shared" si="8"/>
        <v>46211</v>
      </c>
      <c r="GJ3" s="24">
        <f t="shared" si="8"/>
        <v>46212</v>
      </c>
      <c r="GK3" s="24">
        <f t="shared" si="8"/>
        <v>46213</v>
      </c>
      <c r="GL3" s="24">
        <f t="shared" si="8"/>
        <v>46214</v>
      </c>
      <c r="GM3" s="24">
        <f t="shared" si="8"/>
        <v>46215</v>
      </c>
      <c r="GN3" s="24">
        <f t="shared" si="8"/>
        <v>46216</v>
      </c>
      <c r="GO3" s="24">
        <f t="shared" ref="GO3:IZ3" si="9">+GN3+1</f>
        <v>46217</v>
      </c>
      <c r="GP3" s="24">
        <f t="shared" si="9"/>
        <v>46218</v>
      </c>
      <c r="GQ3" s="24">
        <f t="shared" si="9"/>
        <v>46219</v>
      </c>
      <c r="GR3" s="24">
        <f t="shared" si="9"/>
        <v>46220</v>
      </c>
      <c r="GS3" s="24">
        <f t="shared" si="9"/>
        <v>46221</v>
      </c>
      <c r="GT3" s="24">
        <f t="shared" si="9"/>
        <v>46222</v>
      </c>
      <c r="GU3" s="24">
        <f t="shared" si="9"/>
        <v>46223</v>
      </c>
      <c r="GV3" s="24">
        <f t="shared" si="9"/>
        <v>46224</v>
      </c>
      <c r="GW3" s="24">
        <f t="shared" si="9"/>
        <v>46225</v>
      </c>
      <c r="GX3" s="24">
        <f t="shared" si="9"/>
        <v>46226</v>
      </c>
      <c r="GY3" s="24">
        <f t="shared" si="9"/>
        <v>46227</v>
      </c>
      <c r="GZ3" s="24">
        <f t="shared" si="9"/>
        <v>46228</v>
      </c>
      <c r="HA3" s="24">
        <f t="shared" si="9"/>
        <v>46229</v>
      </c>
      <c r="HB3" s="24">
        <f t="shared" si="9"/>
        <v>46230</v>
      </c>
      <c r="HC3" s="24">
        <f t="shared" si="9"/>
        <v>46231</v>
      </c>
      <c r="HD3" s="24">
        <f t="shared" si="9"/>
        <v>46232</v>
      </c>
      <c r="HE3" s="24">
        <f t="shared" si="9"/>
        <v>46233</v>
      </c>
      <c r="HF3" s="24">
        <f t="shared" si="9"/>
        <v>46234</v>
      </c>
      <c r="HG3" s="24">
        <f t="shared" si="9"/>
        <v>46235</v>
      </c>
      <c r="HH3" s="24">
        <f t="shared" si="9"/>
        <v>46236</v>
      </c>
      <c r="HI3" s="24">
        <f t="shared" si="9"/>
        <v>46237</v>
      </c>
      <c r="HJ3" s="24">
        <f t="shared" si="9"/>
        <v>46238</v>
      </c>
      <c r="HK3" s="24">
        <f t="shared" si="9"/>
        <v>46239</v>
      </c>
      <c r="HL3" s="24">
        <f t="shared" si="9"/>
        <v>46240</v>
      </c>
      <c r="HM3" s="24">
        <f t="shared" si="9"/>
        <v>46241</v>
      </c>
      <c r="HN3" s="24">
        <f t="shared" si="9"/>
        <v>46242</v>
      </c>
      <c r="HO3" s="24">
        <f t="shared" si="9"/>
        <v>46243</v>
      </c>
      <c r="HP3" s="24">
        <f t="shared" si="9"/>
        <v>46244</v>
      </c>
      <c r="HQ3" s="24">
        <f t="shared" si="9"/>
        <v>46245</v>
      </c>
      <c r="HR3" s="24">
        <f t="shared" si="9"/>
        <v>46246</v>
      </c>
      <c r="HS3" s="24">
        <f t="shared" si="9"/>
        <v>46247</v>
      </c>
      <c r="HT3" s="24">
        <f t="shared" si="9"/>
        <v>46248</v>
      </c>
      <c r="HU3" s="24">
        <f t="shared" si="9"/>
        <v>46249</v>
      </c>
      <c r="HV3" s="24">
        <f t="shared" si="9"/>
        <v>46250</v>
      </c>
      <c r="HW3" s="24">
        <f t="shared" si="9"/>
        <v>46251</v>
      </c>
      <c r="HX3" s="24">
        <f t="shared" si="9"/>
        <v>46252</v>
      </c>
      <c r="HY3" s="24">
        <f t="shared" si="9"/>
        <v>46253</v>
      </c>
      <c r="HZ3" s="24">
        <f t="shared" si="9"/>
        <v>46254</v>
      </c>
      <c r="IA3" s="24">
        <f t="shared" si="9"/>
        <v>46255</v>
      </c>
      <c r="IB3" s="24">
        <f t="shared" si="9"/>
        <v>46256</v>
      </c>
      <c r="IC3" s="24">
        <f t="shared" si="9"/>
        <v>46257</v>
      </c>
      <c r="ID3" s="24">
        <f t="shared" si="9"/>
        <v>46258</v>
      </c>
      <c r="IE3" s="24">
        <f t="shared" si="9"/>
        <v>46259</v>
      </c>
      <c r="IF3" s="24">
        <f t="shared" si="9"/>
        <v>46260</v>
      </c>
      <c r="IG3" s="24">
        <f t="shared" si="9"/>
        <v>46261</v>
      </c>
      <c r="IH3" s="24">
        <f t="shared" si="9"/>
        <v>46262</v>
      </c>
      <c r="II3" s="24">
        <f t="shared" si="9"/>
        <v>46263</v>
      </c>
      <c r="IJ3" s="24">
        <f t="shared" si="9"/>
        <v>46264</v>
      </c>
      <c r="IK3" s="24">
        <f t="shared" si="9"/>
        <v>46265</v>
      </c>
      <c r="IL3" s="24">
        <f t="shared" si="9"/>
        <v>46266</v>
      </c>
      <c r="IM3" s="24">
        <f t="shared" si="9"/>
        <v>46267</v>
      </c>
      <c r="IN3" s="24">
        <f t="shared" si="9"/>
        <v>46268</v>
      </c>
      <c r="IO3" s="24">
        <f t="shared" si="9"/>
        <v>46269</v>
      </c>
      <c r="IP3" s="24">
        <f t="shared" si="9"/>
        <v>46270</v>
      </c>
      <c r="IQ3" s="24">
        <f t="shared" si="9"/>
        <v>46271</v>
      </c>
      <c r="IR3" s="24">
        <f t="shared" si="9"/>
        <v>46272</v>
      </c>
      <c r="IS3" s="24">
        <f t="shared" si="9"/>
        <v>46273</v>
      </c>
      <c r="IT3" s="24">
        <f t="shared" si="9"/>
        <v>46274</v>
      </c>
      <c r="IU3" s="24">
        <f t="shared" si="9"/>
        <v>46275</v>
      </c>
      <c r="IV3" s="24">
        <f t="shared" si="9"/>
        <v>46276</v>
      </c>
      <c r="IW3" s="24">
        <f t="shared" si="9"/>
        <v>46277</v>
      </c>
      <c r="IX3" s="24">
        <f t="shared" si="9"/>
        <v>46278</v>
      </c>
      <c r="IY3" s="24">
        <f t="shared" si="9"/>
        <v>46279</v>
      </c>
      <c r="IZ3" s="24">
        <f t="shared" si="9"/>
        <v>46280</v>
      </c>
      <c r="JA3" s="24">
        <f t="shared" ref="JA3:LL3" si="10">+IZ3+1</f>
        <v>46281</v>
      </c>
      <c r="JB3" s="24">
        <f t="shared" si="10"/>
        <v>46282</v>
      </c>
      <c r="JC3" s="24">
        <f t="shared" si="10"/>
        <v>46283</v>
      </c>
      <c r="JD3" s="24">
        <f t="shared" si="10"/>
        <v>46284</v>
      </c>
      <c r="JE3" s="24">
        <f t="shared" si="10"/>
        <v>46285</v>
      </c>
      <c r="JF3" s="24">
        <f t="shared" si="10"/>
        <v>46286</v>
      </c>
      <c r="JG3" s="24">
        <f t="shared" si="10"/>
        <v>46287</v>
      </c>
      <c r="JH3" s="24">
        <f t="shared" si="10"/>
        <v>46288</v>
      </c>
      <c r="JI3" s="24">
        <f t="shared" si="10"/>
        <v>46289</v>
      </c>
      <c r="JJ3" s="24">
        <f t="shared" si="10"/>
        <v>46290</v>
      </c>
      <c r="JK3" s="24">
        <f t="shared" si="10"/>
        <v>46291</v>
      </c>
      <c r="JL3" s="24">
        <f t="shared" si="10"/>
        <v>46292</v>
      </c>
      <c r="JM3" s="24">
        <f t="shared" si="10"/>
        <v>46293</v>
      </c>
      <c r="JN3" s="24">
        <f t="shared" si="10"/>
        <v>46294</v>
      </c>
      <c r="JO3" s="24">
        <f t="shared" si="10"/>
        <v>46295</v>
      </c>
      <c r="JP3" s="24">
        <f t="shared" si="10"/>
        <v>46296</v>
      </c>
      <c r="JQ3" s="24">
        <f t="shared" si="10"/>
        <v>46297</v>
      </c>
      <c r="JR3" s="24">
        <f t="shared" si="10"/>
        <v>46298</v>
      </c>
      <c r="JS3" s="24">
        <f t="shared" si="10"/>
        <v>46299</v>
      </c>
      <c r="JT3" s="24">
        <f t="shared" si="10"/>
        <v>46300</v>
      </c>
      <c r="JU3" s="24">
        <f t="shared" si="10"/>
        <v>46301</v>
      </c>
      <c r="JV3" s="24">
        <f t="shared" si="10"/>
        <v>46302</v>
      </c>
      <c r="JW3" s="24">
        <f t="shared" si="10"/>
        <v>46303</v>
      </c>
      <c r="JX3" s="24">
        <f t="shared" si="10"/>
        <v>46304</v>
      </c>
      <c r="JY3" s="24">
        <f t="shared" si="10"/>
        <v>46305</v>
      </c>
      <c r="JZ3" s="24">
        <f t="shared" si="10"/>
        <v>46306</v>
      </c>
      <c r="KA3" s="24">
        <f t="shared" si="10"/>
        <v>46307</v>
      </c>
      <c r="KB3" s="24">
        <f t="shared" si="10"/>
        <v>46308</v>
      </c>
      <c r="KC3" s="24">
        <f t="shared" si="10"/>
        <v>46309</v>
      </c>
      <c r="KD3" s="24">
        <f t="shared" si="10"/>
        <v>46310</v>
      </c>
      <c r="KE3" s="24">
        <f t="shared" si="10"/>
        <v>46311</v>
      </c>
      <c r="KF3" s="24">
        <f t="shared" si="10"/>
        <v>46312</v>
      </c>
      <c r="KG3" s="24">
        <f t="shared" si="10"/>
        <v>46313</v>
      </c>
      <c r="KH3" s="24">
        <f t="shared" si="10"/>
        <v>46314</v>
      </c>
      <c r="KI3" s="24">
        <f t="shared" si="10"/>
        <v>46315</v>
      </c>
      <c r="KJ3" s="24">
        <f t="shared" si="10"/>
        <v>46316</v>
      </c>
      <c r="KK3" s="24">
        <f t="shared" si="10"/>
        <v>46317</v>
      </c>
      <c r="KL3" s="24">
        <f t="shared" si="10"/>
        <v>46318</v>
      </c>
      <c r="KM3" s="24">
        <f t="shared" si="10"/>
        <v>46319</v>
      </c>
      <c r="KN3" s="24">
        <f t="shared" si="10"/>
        <v>46320</v>
      </c>
      <c r="KO3" s="24">
        <f t="shared" si="10"/>
        <v>46321</v>
      </c>
      <c r="KP3" s="24">
        <f t="shared" si="10"/>
        <v>46322</v>
      </c>
      <c r="KQ3" s="24">
        <f t="shared" si="10"/>
        <v>46323</v>
      </c>
      <c r="KR3" s="24">
        <f t="shared" si="10"/>
        <v>46324</v>
      </c>
      <c r="KS3" s="24">
        <f t="shared" si="10"/>
        <v>46325</v>
      </c>
      <c r="KT3" s="24">
        <f t="shared" si="10"/>
        <v>46326</v>
      </c>
      <c r="KU3" s="24">
        <f t="shared" si="10"/>
        <v>46327</v>
      </c>
      <c r="KV3" s="24">
        <f t="shared" si="10"/>
        <v>46328</v>
      </c>
      <c r="KW3" s="24">
        <f t="shared" si="10"/>
        <v>46329</v>
      </c>
      <c r="KX3" s="24">
        <f t="shared" si="10"/>
        <v>46330</v>
      </c>
      <c r="KY3" s="24">
        <f t="shared" si="10"/>
        <v>46331</v>
      </c>
      <c r="KZ3" s="24">
        <f t="shared" si="10"/>
        <v>46332</v>
      </c>
      <c r="LA3" s="24">
        <f t="shared" si="10"/>
        <v>46333</v>
      </c>
      <c r="LB3" s="24">
        <f t="shared" si="10"/>
        <v>46334</v>
      </c>
      <c r="LC3" s="24">
        <f t="shared" si="10"/>
        <v>46335</v>
      </c>
      <c r="LD3" s="24">
        <f t="shared" si="10"/>
        <v>46336</v>
      </c>
      <c r="LE3" s="24">
        <f t="shared" si="10"/>
        <v>46337</v>
      </c>
      <c r="LF3" s="24">
        <f t="shared" si="10"/>
        <v>46338</v>
      </c>
      <c r="LG3" s="24">
        <f t="shared" si="10"/>
        <v>46339</v>
      </c>
      <c r="LH3" s="24">
        <f t="shared" si="10"/>
        <v>46340</v>
      </c>
      <c r="LI3" s="24">
        <f t="shared" si="10"/>
        <v>46341</v>
      </c>
      <c r="LJ3" s="24">
        <f t="shared" si="10"/>
        <v>46342</v>
      </c>
      <c r="LK3" s="24">
        <f t="shared" si="10"/>
        <v>46343</v>
      </c>
      <c r="LL3" s="24">
        <f t="shared" si="10"/>
        <v>46344</v>
      </c>
      <c r="LM3" s="24">
        <f t="shared" ref="LM3:NC3" si="11">+LL3+1</f>
        <v>46345</v>
      </c>
      <c r="LN3" s="24">
        <f t="shared" si="11"/>
        <v>46346</v>
      </c>
      <c r="LO3" s="24">
        <f t="shared" si="11"/>
        <v>46347</v>
      </c>
      <c r="LP3" s="24">
        <f t="shared" si="11"/>
        <v>46348</v>
      </c>
      <c r="LQ3" s="24">
        <f t="shared" si="11"/>
        <v>46349</v>
      </c>
      <c r="LR3" s="24">
        <f t="shared" si="11"/>
        <v>46350</v>
      </c>
      <c r="LS3" s="24">
        <f t="shared" si="11"/>
        <v>46351</v>
      </c>
      <c r="LT3" s="24">
        <f t="shared" si="11"/>
        <v>46352</v>
      </c>
      <c r="LU3" s="24">
        <f t="shared" si="11"/>
        <v>46353</v>
      </c>
      <c r="LV3" s="24">
        <f t="shared" si="11"/>
        <v>46354</v>
      </c>
      <c r="LW3" s="24">
        <f t="shared" si="11"/>
        <v>46355</v>
      </c>
      <c r="LX3" s="24">
        <f t="shared" si="11"/>
        <v>46356</v>
      </c>
      <c r="LY3" s="24">
        <f t="shared" si="11"/>
        <v>46357</v>
      </c>
      <c r="LZ3" s="24">
        <f t="shared" si="11"/>
        <v>46358</v>
      </c>
      <c r="MA3" s="24">
        <f t="shared" si="11"/>
        <v>46359</v>
      </c>
      <c r="MB3" s="24">
        <f t="shared" si="11"/>
        <v>46360</v>
      </c>
      <c r="MC3" s="24">
        <f t="shared" si="11"/>
        <v>46361</v>
      </c>
      <c r="MD3" s="24">
        <f t="shared" si="11"/>
        <v>46362</v>
      </c>
      <c r="ME3" s="24">
        <f t="shared" si="11"/>
        <v>46363</v>
      </c>
      <c r="MF3" s="24">
        <f t="shared" si="11"/>
        <v>46364</v>
      </c>
      <c r="MG3" s="24">
        <f t="shared" si="11"/>
        <v>46365</v>
      </c>
      <c r="MH3" s="24">
        <f t="shared" si="11"/>
        <v>46366</v>
      </c>
      <c r="MI3" s="24">
        <f t="shared" si="11"/>
        <v>46367</v>
      </c>
      <c r="MJ3" s="24">
        <f t="shared" si="11"/>
        <v>46368</v>
      </c>
      <c r="MK3" s="24">
        <f t="shared" si="11"/>
        <v>46369</v>
      </c>
      <c r="ML3" s="24">
        <f t="shared" si="11"/>
        <v>46370</v>
      </c>
      <c r="MM3" s="24">
        <f t="shared" si="11"/>
        <v>46371</v>
      </c>
      <c r="MN3" s="24">
        <f t="shared" si="11"/>
        <v>46372</v>
      </c>
      <c r="MO3" s="24">
        <f t="shared" si="11"/>
        <v>46373</v>
      </c>
      <c r="MP3" s="24">
        <f t="shared" si="11"/>
        <v>46374</v>
      </c>
      <c r="MQ3" s="24">
        <f t="shared" si="11"/>
        <v>46375</v>
      </c>
      <c r="MR3" s="24">
        <f t="shared" si="11"/>
        <v>46376</v>
      </c>
      <c r="MS3" s="24">
        <f t="shared" si="11"/>
        <v>46377</v>
      </c>
      <c r="MT3" s="24">
        <f t="shared" si="11"/>
        <v>46378</v>
      </c>
      <c r="MU3" s="24">
        <f t="shared" si="11"/>
        <v>46379</v>
      </c>
      <c r="MV3" s="24">
        <f t="shared" si="11"/>
        <v>46380</v>
      </c>
      <c r="MW3" s="24">
        <f t="shared" si="11"/>
        <v>46381</v>
      </c>
      <c r="MX3" s="24">
        <f t="shared" si="11"/>
        <v>46382</v>
      </c>
      <c r="MY3" s="24">
        <f t="shared" si="11"/>
        <v>46383</v>
      </c>
      <c r="MZ3" s="24">
        <f t="shared" si="11"/>
        <v>46384</v>
      </c>
      <c r="NA3" s="24">
        <f t="shared" si="11"/>
        <v>46385</v>
      </c>
      <c r="NB3" s="24">
        <f t="shared" si="11"/>
        <v>46386</v>
      </c>
      <c r="NC3" s="24">
        <f t="shared" si="11"/>
        <v>46387</v>
      </c>
    </row>
    <row r="4" spans="2:367">
      <c r="B4" s="20"/>
      <c r="C4" s="25">
        <f>WEEKDAY(C3,1)</f>
        <v>5</v>
      </c>
      <c r="D4" s="25">
        <f>WEEKDAY(D3,1)</f>
        <v>6</v>
      </c>
      <c r="E4" s="25">
        <f t="shared" ref="E4:BP4" si="12">WEEKDAY(E3,1)</f>
        <v>7</v>
      </c>
      <c r="F4" s="25">
        <f t="shared" si="12"/>
        <v>1</v>
      </c>
      <c r="G4" s="25">
        <f t="shared" si="12"/>
        <v>2</v>
      </c>
      <c r="H4" s="25">
        <f t="shared" si="12"/>
        <v>3</v>
      </c>
      <c r="I4" s="25">
        <f t="shared" si="12"/>
        <v>4</v>
      </c>
      <c r="J4" s="25">
        <f t="shared" si="12"/>
        <v>5</v>
      </c>
      <c r="K4" s="25">
        <f t="shared" si="12"/>
        <v>6</v>
      </c>
      <c r="L4" s="25">
        <f t="shared" si="12"/>
        <v>7</v>
      </c>
      <c r="M4" s="25">
        <f t="shared" si="12"/>
        <v>1</v>
      </c>
      <c r="N4" s="25">
        <f t="shared" si="12"/>
        <v>2</v>
      </c>
      <c r="O4" s="25">
        <f t="shared" si="12"/>
        <v>3</v>
      </c>
      <c r="P4" s="25">
        <f t="shared" si="12"/>
        <v>4</v>
      </c>
      <c r="Q4" s="25">
        <f t="shared" si="12"/>
        <v>5</v>
      </c>
      <c r="R4" s="25">
        <f t="shared" si="12"/>
        <v>6</v>
      </c>
      <c r="S4" s="25">
        <f t="shared" si="12"/>
        <v>7</v>
      </c>
      <c r="T4" s="25">
        <f t="shared" si="12"/>
        <v>1</v>
      </c>
      <c r="U4" s="25">
        <f t="shared" si="12"/>
        <v>2</v>
      </c>
      <c r="V4" s="25">
        <f t="shared" si="12"/>
        <v>3</v>
      </c>
      <c r="W4" s="25">
        <f t="shared" si="12"/>
        <v>4</v>
      </c>
      <c r="X4" s="25">
        <f t="shared" si="12"/>
        <v>5</v>
      </c>
      <c r="Y4" s="25">
        <f t="shared" si="12"/>
        <v>6</v>
      </c>
      <c r="Z4" s="25">
        <f t="shared" si="12"/>
        <v>7</v>
      </c>
      <c r="AA4" s="25">
        <f t="shared" si="12"/>
        <v>1</v>
      </c>
      <c r="AB4" s="25">
        <f t="shared" si="12"/>
        <v>2</v>
      </c>
      <c r="AC4" s="25">
        <f t="shared" si="12"/>
        <v>3</v>
      </c>
      <c r="AD4" s="25">
        <f t="shared" si="12"/>
        <v>4</v>
      </c>
      <c r="AE4" s="25">
        <f t="shared" si="12"/>
        <v>5</v>
      </c>
      <c r="AF4" s="25">
        <f t="shared" si="12"/>
        <v>6</v>
      </c>
      <c r="AG4" s="25">
        <f t="shared" si="12"/>
        <v>7</v>
      </c>
      <c r="AH4" s="25">
        <f t="shared" si="12"/>
        <v>1</v>
      </c>
      <c r="AI4" s="25">
        <f t="shared" si="12"/>
        <v>2</v>
      </c>
      <c r="AJ4" s="25">
        <f t="shared" si="12"/>
        <v>3</v>
      </c>
      <c r="AK4" s="25">
        <f t="shared" si="12"/>
        <v>4</v>
      </c>
      <c r="AL4" s="25">
        <f t="shared" si="12"/>
        <v>5</v>
      </c>
      <c r="AM4" s="25">
        <f t="shared" si="12"/>
        <v>6</v>
      </c>
      <c r="AN4" s="25">
        <f t="shared" si="12"/>
        <v>7</v>
      </c>
      <c r="AO4" s="25">
        <f t="shared" si="12"/>
        <v>1</v>
      </c>
      <c r="AP4" s="25">
        <f t="shared" si="12"/>
        <v>2</v>
      </c>
      <c r="AQ4" s="25">
        <f t="shared" si="12"/>
        <v>3</v>
      </c>
      <c r="AR4" s="25">
        <f t="shared" si="12"/>
        <v>4</v>
      </c>
      <c r="AS4" s="25">
        <f t="shared" si="12"/>
        <v>5</v>
      </c>
      <c r="AT4" s="25">
        <f t="shared" si="12"/>
        <v>6</v>
      </c>
      <c r="AU4" s="25">
        <f t="shared" si="12"/>
        <v>7</v>
      </c>
      <c r="AV4" s="25">
        <f t="shared" si="12"/>
        <v>1</v>
      </c>
      <c r="AW4" s="25">
        <f t="shared" si="12"/>
        <v>2</v>
      </c>
      <c r="AX4" s="25">
        <f t="shared" si="12"/>
        <v>3</v>
      </c>
      <c r="AY4" s="25">
        <f t="shared" si="12"/>
        <v>4</v>
      </c>
      <c r="AZ4" s="25">
        <f t="shared" si="12"/>
        <v>5</v>
      </c>
      <c r="BA4" s="25">
        <f t="shared" si="12"/>
        <v>6</v>
      </c>
      <c r="BB4" s="25">
        <f t="shared" si="12"/>
        <v>7</v>
      </c>
      <c r="BC4" s="25">
        <f t="shared" si="12"/>
        <v>1</v>
      </c>
      <c r="BD4" s="25">
        <f t="shared" si="12"/>
        <v>2</v>
      </c>
      <c r="BE4" s="25">
        <f t="shared" si="12"/>
        <v>3</v>
      </c>
      <c r="BF4" s="25">
        <f t="shared" si="12"/>
        <v>4</v>
      </c>
      <c r="BG4" s="25">
        <f t="shared" si="12"/>
        <v>5</v>
      </c>
      <c r="BH4" s="25">
        <f t="shared" si="12"/>
        <v>6</v>
      </c>
      <c r="BI4" s="25">
        <f t="shared" si="12"/>
        <v>7</v>
      </c>
      <c r="BJ4" s="25">
        <f t="shared" si="12"/>
        <v>1</v>
      </c>
      <c r="BK4" s="25">
        <f t="shared" si="12"/>
        <v>2</v>
      </c>
      <c r="BL4" s="25">
        <f t="shared" si="12"/>
        <v>3</v>
      </c>
      <c r="BM4" s="25">
        <f t="shared" si="12"/>
        <v>4</v>
      </c>
      <c r="BN4" s="25">
        <f t="shared" si="12"/>
        <v>5</v>
      </c>
      <c r="BO4" s="25">
        <f t="shared" si="12"/>
        <v>6</v>
      </c>
      <c r="BP4" s="25">
        <f t="shared" si="12"/>
        <v>7</v>
      </c>
      <c r="BQ4" s="25">
        <f t="shared" ref="BQ4:EB4" si="13">WEEKDAY(BQ3,1)</f>
        <v>1</v>
      </c>
      <c r="BR4" s="25">
        <f t="shared" si="13"/>
        <v>2</v>
      </c>
      <c r="BS4" s="25">
        <f t="shared" si="13"/>
        <v>3</v>
      </c>
      <c r="BT4" s="25">
        <f t="shared" si="13"/>
        <v>4</v>
      </c>
      <c r="BU4" s="25">
        <f t="shared" si="13"/>
        <v>5</v>
      </c>
      <c r="BV4" s="25">
        <f t="shared" si="13"/>
        <v>6</v>
      </c>
      <c r="BW4" s="25">
        <f t="shared" si="13"/>
        <v>7</v>
      </c>
      <c r="BX4" s="25">
        <f t="shared" si="13"/>
        <v>1</v>
      </c>
      <c r="BY4" s="25">
        <f t="shared" si="13"/>
        <v>2</v>
      </c>
      <c r="BZ4" s="25">
        <f t="shared" si="13"/>
        <v>3</v>
      </c>
      <c r="CA4" s="25">
        <f t="shared" si="13"/>
        <v>4</v>
      </c>
      <c r="CB4" s="25">
        <f t="shared" si="13"/>
        <v>5</v>
      </c>
      <c r="CC4" s="25">
        <f t="shared" si="13"/>
        <v>6</v>
      </c>
      <c r="CD4" s="25">
        <f t="shared" si="13"/>
        <v>7</v>
      </c>
      <c r="CE4" s="25">
        <f t="shared" si="13"/>
        <v>1</v>
      </c>
      <c r="CF4" s="25">
        <f t="shared" si="13"/>
        <v>2</v>
      </c>
      <c r="CG4" s="25">
        <f t="shared" si="13"/>
        <v>3</v>
      </c>
      <c r="CH4" s="25">
        <f t="shared" si="13"/>
        <v>4</v>
      </c>
      <c r="CI4" s="25">
        <f t="shared" si="13"/>
        <v>5</v>
      </c>
      <c r="CJ4" s="25">
        <f t="shared" si="13"/>
        <v>6</v>
      </c>
      <c r="CK4" s="25">
        <f t="shared" si="13"/>
        <v>7</v>
      </c>
      <c r="CL4" s="25">
        <f t="shared" si="13"/>
        <v>1</v>
      </c>
      <c r="CM4" s="25">
        <f t="shared" si="13"/>
        <v>2</v>
      </c>
      <c r="CN4" s="25">
        <f t="shared" si="13"/>
        <v>3</v>
      </c>
      <c r="CO4" s="25">
        <f t="shared" si="13"/>
        <v>4</v>
      </c>
      <c r="CP4" s="25">
        <f t="shared" si="13"/>
        <v>5</v>
      </c>
      <c r="CQ4" s="25">
        <f t="shared" si="13"/>
        <v>6</v>
      </c>
      <c r="CR4" s="25">
        <f t="shared" si="13"/>
        <v>7</v>
      </c>
      <c r="CS4" s="25">
        <f t="shared" si="13"/>
        <v>1</v>
      </c>
      <c r="CT4" s="25">
        <f t="shared" si="13"/>
        <v>2</v>
      </c>
      <c r="CU4" s="25">
        <f t="shared" si="13"/>
        <v>3</v>
      </c>
      <c r="CV4" s="25">
        <f t="shared" si="13"/>
        <v>4</v>
      </c>
      <c r="CW4" s="25">
        <f t="shared" si="13"/>
        <v>5</v>
      </c>
      <c r="CX4" s="25">
        <f t="shared" si="13"/>
        <v>6</v>
      </c>
      <c r="CY4" s="25">
        <f t="shared" si="13"/>
        <v>7</v>
      </c>
      <c r="CZ4" s="25">
        <f t="shared" si="13"/>
        <v>1</v>
      </c>
      <c r="DA4" s="25">
        <f t="shared" si="13"/>
        <v>2</v>
      </c>
      <c r="DB4" s="25">
        <f t="shared" si="13"/>
        <v>3</v>
      </c>
      <c r="DC4" s="25">
        <f t="shared" si="13"/>
        <v>4</v>
      </c>
      <c r="DD4" s="25">
        <f t="shared" si="13"/>
        <v>5</v>
      </c>
      <c r="DE4" s="25">
        <f t="shared" si="13"/>
        <v>6</v>
      </c>
      <c r="DF4" s="25">
        <f t="shared" si="13"/>
        <v>7</v>
      </c>
      <c r="DG4" s="25">
        <f t="shared" si="13"/>
        <v>1</v>
      </c>
      <c r="DH4" s="25">
        <f t="shared" si="13"/>
        <v>2</v>
      </c>
      <c r="DI4" s="25">
        <f t="shared" si="13"/>
        <v>3</v>
      </c>
      <c r="DJ4" s="25">
        <f t="shared" si="13"/>
        <v>4</v>
      </c>
      <c r="DK4" s="25">
        <f t="shared" si="13"/>
        <v>5</v>
      </c>
      <c r="DL4" s="25">
        <f t="shared" si="13"/>
        <v>6</v>
      </c>
      <c r="DM4" s="25">
        <f t="shared" si="13"/>
        <v>7</v>
      </c>
      <c r="DN4" s="25">
        <f t="shared" si="13"/>
        <v>1</v>
      </c>
      <c r="DO4" s="25">
        <f t="shared" si="13"/>
        <v>2</v>
      </c>
      <c r="DP4" s="25">
        <f t="shared" si="13"/>
        <v>3</v>
      </c>
      <c r="DQ4" s="25">
        <f t="shared" si="13"/>
        <v>4</v>
      </c>
      <c r="DR4" s="25">
        <f t="shared" si="13"/>
        <v>5</v>
      </c>
      <c r="DS4" s="25">
        <f t="shared" si="13"/>
        <v>6</v>
      </c>
      <c r="DT4" s="25">
        <f t="shared" si="13"/>
        <v>7</v>
      </c>
      <c r="DU4" s="25">
        <f t="shared" si="13"/>
        <v>1</v>
      </c>
      <c r="DV4" s="25">
        <f t="shared" si="13"/>
        <v>2</v>
      </c>
      <c r="DW4" s="25">
        <f t="shared" si="13"/>
        <v>3</v>
      </c>
      <c r="DX4" s="25">
        <f t="shared" si="13"/>
        <v>4</v>
      </c>
      <c r="DY4" s="25">
        <f t="shared" si="13"/>
        <v>5</v>
      </c>
      <c r="DZ4" s="25">
        <f t="shared" si="13"/>
        <v>6</v>
      </c>
      <c r="EA4" s="25">
        <f t="shared" si="13"/>
        <v>7</v>
      </c>
      <c r="EB4" s="25">
        <f t="shared" si="13"/>
        <v>1</v>
      </c>
      <c r="EC4" s="25">
        <f t="shared" ref="EC4:GN4" si="14">WEEKDAY(EC3,1)</f>
        <v>2</v>
      </c>
      <c r="ED4" s="25">
        <f t="shared" si="14"/>
        <v>3</v>
      </c>
      <c r="EE4" s="25">
        <f t="shared" si="14"/>
        <v>4</v>
      </c>
      <c r="EF4" s="25">
        <f t="shared" si="14"/>
        <v>5</v>
      </c>
      <c r="EG4" s="25">
        <f t="shared" si="14"/>
        <v>6</v>
      </c>
      <c r="EH4" s="25">
        <f t="shared" si="14"/>
        <v>7</v>
      </c>
      <c r="EI4" s="25">
        <f t="shared" si="14"/>
        <v>1</v>
      </c>
      <c r="EJ4" s="25">
        <f t="shared" si="14"/>
        <v>2</v>
      </c>
      <c r="EK4" s="25">
        <f t="shared" si="14"/>
        <v>3</v>
      </c>
      <c r="EL4" s="25">
        <f t="shared" si="14"/>
        <v>4</v>
      </c>
      <c r="EM4" s="25">
        <f t="shared" si="14"/>
        <v>5</v>
      </c>
      <c r="EN4" s="25">
        <f t="shared" si="14"/>
        <v>6</v>
      </c>
      <c r="EO4" s="25">
        <f t="shared" si="14"/>
        <v>7</v>
      </c>
      <c r="EP4" s="25">
        <f t="shared" si="14"/>
        <v>1</v>
      </c>
      <c r="EQ4" s="25">
        <f t="shared" si="14"/>
        <v>2</v>
      </c>
      <c r="ER4" s="25">
        <f t="shared" si="14"/>
        <v>3</v>
      </c>
      <c r="ES4" s="25">
        <f t="shared" si="14"/>
        <v>4</v>
      </c>
      <c r="ET4" s="25">
        <f t="shared" si="14"/>
        <v>5</v>
      </c>
      <c r="EU4" s="25">
        <f t="shared" si="14"/>
        <v>6</v>
      </c>
      <c r="EV4" s="25">
        <f t="shared" si="14"/>
        <v>7</v>
      </c>
      <c r="EW4" s="25">
        <f t="shared" si="14"/>
        <v>1</v>
      </c>
      <c r="EX4" s="25">
        <f t="shared" si="14"/>
        <v>2</v>
      </c>
      <c r="EY4" s="25">
        <f t="shared" si="14"/>
        <v>3</v>
      </c>
      <c r="EZ4" s="25">
        <f t="shared" si="14"/>
        <v>4</v>
      </c>
      <c r="FA4" s="25">
        <f t="shared" si="14"/>
        <v>5</v>
      </c>
      <c r="FB4" s="25">
        <f t="shared" si="14"/>
        <v>6</v>
      </c>
      <c r="FC4" s="25">
        <f t="shared" si="14"/>
        <v>7</v>
      </c>
      <c r="FD4" s="25">
        <f t="shared" si="14"/>
        <v>1</v>
      </c>
      <c r="FE4" s="25">
        <f t="shared" si="14"/>
        <v>2</v>
      </c>
      <c r="FF4" s="25">
        <f t="shared" si="14"/>
        <v>3</v>
      </c>
      <c r="FG4" s="25">
        <f t="shared" si="14"/>
        <v>4</v>
      </c>
      <c r="FH4" s="25">
        <f t="shared" si="14"/>
        <v>5</v>
      </c>
      <c r="FI4" s="25">
        <f t="shared" si="14"/>
        <v>6</v>
      </c>
      <c r="FJ4" s="25">
        <f t="shared" si="14"/>
        <v>7</v>
      </c>
      <c r="FK4" s="25">
        <f t="shared" si="14"/>
        <v>1</v>
      </c>
      <c r="FL4" s="25">
        <f t="shared" si="14"/>
        <v>2</v>
      </c>
      <c r="FM4" s="25">
        <f t="shared" si="14"/>
        <v>3</v>
      </c>
      <c r="FN4" s="25">
        <f t="shared" si="14"/>
        <v>4</v>
      </c>
      <c r="FO4" s="25">
        <f t="shared" si="14"/>
        <v>5</v>
      </c>
      <c r="FP4" s="25">
        <f t="shared" si="14"/>
        <v>6</v>
      </c>
      <c r="FQ4" s="25">
        <f t="shared" si="14"/>
        <v>7</v>
      </c>
      <c r="FR4" s="25">
        <f t="shared" si="14"/>
        <v>1</v>
      </c>
      <c r="FS4" s="25">
        <f t="shared" si="14"/>
        <v>2</v>
      </c>
      <c r="FT4" s="25">
        <f t="shared" si="14"/>
        <v>3</v>
      </c>
      <c r="FU4" s="25">
        <f t="shared" si="14"/>
        <v>4</v>
      </c>
      <c r="FV4" s="25">
        <f t="shared" si="14"/>
        <v>5</v>
      </c>
      <c r="FW4" s="25">
        <f t="shared" si="14"/>
        <v>6</v>
      </c>
      <c r="FX4" s="25">
        <f t="shared" si="14"/>
        <v>7</v>
      </c>
      <c r="FY4" s="25">
        <f t="shared" si="14"/>
        <v>1</v>
      </c>
      <c r="FZ4" s="25">
        <f t="shared" si="14"/>
        <v>2</v>
      </c>
      <c r="GA4" s="25">
        <f t="shared" si="14"/>
        <v>3</v>
      </c>
      <c r="GB4" s="25">
        <f t="shared" si="14"/>
        <v>4</v>
      </c>
      <c r="GC4" s="25">
        <f t="shared" si="14"/>
        <v>5</v>
      </c>
      <c r="GD4" s="25">
        <f t="shared" si="14"/>
        <v>6</v>
      </c>
      <c r="GE4" s="25">
        <f t="shared" si="14"/>
        <v>7</v>
      </c>
      <c r="GF4" s="25">
        <f t="shared" si="14"/>
        <v>1</v>
      </c>
      <c r="GG4" s="25">
        <f t="shared" si="14"/>
        <v>2</v>
      </c>
      <c r="GH4" s="25">
        <f t="shared" si="14"/>
        <v>3</v>
      </c>
      <c r="GI4" s="25">
        <f t="shared" si="14"/>
        <v>4</v>
      </c>
      <c r="GJ4" s="25">
        <f t="shared" si="14"/>
        <v>5</v>
      </c>
      <c r="GK4" s="25">
        <f t="shared" si="14"/>
        <v>6</v>
      </c>
      <c r="GL4" s="25">
        <f t="shared" si="14"/>
        <v>7</v>
      </c>
      <c r="GM4" s="25">
        <f t="shared" si="14"/>
        <v>1</v>
      </c>
      <c r="GN4" s="25">
        <f t="shared" si="14"/>
        <v>2</v>
      </c>
      <c r="GO4" s="25">
        <f t="shared" ref="GO4:IZ4" si="15">WEEKDAY(GO3,1)</f>
        <v>3</v>
      </c>
      <c r="GP4" s="25">
        <f t="shared" si="15"/>
        <v>4</v>
      </c>
      <c r="GQ4" s="25">
        <f t="shared" si="15"/>
        <v>5</v>
      </c>
      <c r="GR4" s="25">
        <f t="shared" si="15"/>
        <v>6</v>
      </c>
      <c r="GS4" s="25">
        <f t="shared" si="15"/>
        <v>7</v>
      </c>
      <c r="GT4" s="25">
        <f t="shared" si="15"/>
        <v>1</v>
      </c>
      <c r="GU4" s="25">
        <f t="shared" si="15"/>
        <v>2</v>
      </c>
      <c r="GV4" s="25">
        <f t="shared" si="15"/>
        <v>3</v>
      </c>
      <c r="GW4" s="25">
        <f t="shared" si="15"/>
        <v>4</v>
      </c>
      <c r="GX4" s="25">
        <f t="shared" si="15"/>
        <v>5</v>
      </c>
      <c r="GY4" s="25">
        <f t="shared" si="15"/>
        <v>6</v>
      </c>
      <c r="GZ4" s="25">
        <f t="shared" si="15"/>
        <v>7</v>
      </c>
      <c r="HA4" s="25">
        <f t="shared" si="15"/>
        <v>1</v>
      </c>
      <c r="HB4" s="25">
        <f t="shared" si="15"/>
        <v>2</v>
      </c>
      <c r="HC4" s="25">
        <f t="shared" si="15"/>
        <v>3</v>
      </c>
      <c r="HD4" s="25">
        <f t="shared" si="15"/>
        <v>4</v>
      </c>
      <c r="HE4" s="25">
        <f t="shared" si="15"/>
        <v>5</v>
      </c>
      <c r="HF4" s="25">
        <f t="shared" si="15"/>
        <v>6</v>
      </c>
      <c r="HG4" s="25">
        <f t="shared" si="15"/>
        <v>7</v>
      </c>
      <c r="HH4" s="25">
        <f t="shared" si="15"/>
        <v>1</v>
      </c>
      <c r="HI4" s="25">
        <f t="shared" si="15"/>
        <v>2</v>
      </c>
      <c r="HJ4" s="25">
        <f t="shared" si="15"/>
        <v>3</v>
      </c>
      <c r="HK4" s="25">
        <f t="shared" si="15"/>
        <v>4</v>
      </c>
      <c r="HL4" s="25">
        <f t="shared" si="15"/>
        <v>5</v>
      </c>
      <c r="HM4" s="25">
        <f t="shared" si="15"/>
        <v>6</v>
      </c>
      <c r="HN4" s="25">
        <f t="shared" si="15"/>
        <v>7</v>
      </c>
      <c r="HO4" s="25">
        <f t="shared" si="15"/>
        <v>1</v>
      </c>
      <c r="HP4" s="25">
        <f t="shared" si="15"/>
        <v>2</v>
      </c>
      <c r="HQ4" s="25">
        <f t="shared" si="15"/>
        <v>3</v>
      </c>
      <c r="HR4" s="25">
        <f t="shared" si="15"/>
        <v>4</v>
      </c>
      <c r="HS4" s="25">
        <f t="shared" si="15"/>
        <v>5</v>
      </c>
      <c r="HT4" s="25">
        <f t="shared" si="15"/>
        <v>6</v>
      </c>
      <c r="HU4" s="25">
        <f t="shared" si="15"/>
        <v>7</v>
      </c>
      <c r="HV4" s="25">
        <f t="shared" si="15"/>
        <v>1</v>
      </c>
      <c r="HW4" s="25">
        <f t="shared" si="15"/>
        <v>2</v>
      </c>
      <c r="HX4" s="25">
        <f t="shared" si="15"/>
        <v>3</v>
      </c>
      <c r="HY4" s="25">
        <f t="shared" si="15"/>
        <v>4</v>
      </c>
      <c r="HZ4" s="25">
        <f t="shared" si="15"/>
        <v>5</v>
      </c>
      <c r="IA4" s="25">
        <f t="shared" si="15"/>
        <v>6</v>
      </c>
      <c r="IB4" s="25">
        <f t="shared" si="15"/>
        <v>7</v>
      </c>
      <c r="IC4" s="25">
        <f t="shared" si="15"/>
        <v>1</v>
      </c>
      <c r="ID4" s="25">
        <f t="shared" si="15"/>
        <v>2</v>
      </c>
      <c r="IE4" s="25">
        <f t="shared" si="15"/>
        <v>3</v>
      </c>
      <c r="IF4" s="25">
        <f t="shared" si="15"/>
        <v>4</v>
      </c>
      <c r="IG4" s="25">
        <f t="shared" si="15"/>
        <v>5</v>
      </c>
      <c r="IH4" s="25">
        <f t="shared" si="15"/>
        <v>6</v>
      </c>
      <c r="II4" s="25">
        <f t="shared" si="15"/>
        <v>7</v>
      </c>
      <c r="IJ4" s="25">
        <f t="shared" si="15"/>
        <v>1</v>
      </c>
      <c r="IK4" s="25">
        <f t="shared" si="15"/>
        <v>2</v>
      </c>
      <c r="IL4" s="25">
        <f t="shared" si="15"/>
        <v>3</v>
      </c>
      <c r="IM4" s="25">
        <f t="shared" si="15"/>
        <v>4</v>
      </c>
      <c r="IN4" s="25">
        <f t="shared" si="15"/>
        <v>5</v>
      </c>
      <c r="IO4" s="25">
        <f t="shared" si="15"/>
        <v>6</v>
      </c>
      <c r="IP4" s="25">
        <f t="shared" si="15"/>
        <v>7</v>
      </c>
      <c r="IQ4" s="25">
        <f t="shared" si="15"/>
        <v>1</v>
      </c>
      <c r="IR4" s="25">
        <f t="shared" si="15"/>
        <v>2</v>
      </c>
      <c r="IS4" s="25">
        <f t="shared" si="15"/>
        <v>3</v>
      </c>
      <c r="IT4" s="25">
        <f t="shared" si="15"/>
        <v>4</v>
      </c>
      <c r="IU4" s="25">
        <f t="shared" si="15"/>
        <v>5</v>
      </c>
      <c r="IV4" s="25">
        <f t="shared" si="15"/>
        <v>6</v>
      </c>
      <c r="IW4" s="25">
        <f t="shared" si="15"/>
        <v>7</v>
      </c>
      <c r="IX4" s="25">
        <f t="shared" si="15"/>
        <v>1</v>
      </c>
      <c r="IY4" s="25">
        <f t="shared" si="15"/>
        <v>2</v>
      </c>
      <c r="IZ4" s="25">
        <f t="shared" si="15"/>
        <v>3</v>
      </c>
      <c r="JA4" s="25">
        <f t="shared" ref="JA4:LL4" si="16">WEEKDAY(JA3,1)</f>
        <v>4</v>
      </c>
      <c r="JB4" s="25">
        <f t="shared" si="16"/>
        <v>5</v>
      </c>
      <c r="JC4" s="25">
        <f t="shared" si="16"/>
        <v>6</v>
      </c>
      <c r="JD4" s="25">
        <f t="shared" si="16"/>
        <v>7</v>
      </c>
      <c r="JE4" s="25">
        <f t="shared" si="16"/>
        <v>1</v>
      </c>
      <c r="JF4" s="25">
        <f t="shared" si="16"/>
        <v>2</v>
      </c>
      <c r="JG4" s="25">
        <f t="shared" si="16"/>
        <v>3</v>
      </c>
      <c r="JH4" s="25">
        <f t="shared" si="16"/>
        <v>4</v>
      </c>
      <c r="JI4" s="25">
        <f t="shared" si="16"/>
        <v>5</v>
      </c>
      <c r="JJ4" s="25">
        <f t="shared" si="16"/>
        <v>6</v>
      </c>
      <c r="JK4" s="25">
        <f t="shared" si="16"/>
        <v>7</v>
      </c>
      <c r="JL4" s="25">
        <f t="shared" si="16"/>
        <v>1</v>
      </c>
      <c r="JM4" s="25">
        <f t="shared" si="16"/>
        <v>2</v>
      </c>
      <c r="JN4" s="25">
        <f t="shared" si="16"/>
        <v>3</v>
      </c>
      <c r="JO4" s="25">
        <f t="shared" si="16"/>
        <v>4</v>
      </c>
      <c r="JP4" s="25">
        <f t="shared" si="16"/>
        <v>5</v>
      </c>
      <c r="JQ4" s="25">
        <f t="shared" si="16"/>
        <v>6</v>
      </c>
      <c r="JR4" s="25">
        <f t="shared" si="16"/>
        <v>7</v>
      </c>
      <c r="JS4" s="25">
        <f t="shared" si="16"/>
        <v>1</v>
      </c>
      <c r="JT4" s="25">
        <f t="shared" si="16"/>
        <v>2</v>
      </c>
      <c r="JU4" s="25">
        <f t="shared" si="16"/>
        <v>3</v>
      </c>
      <c r="JV4" s="25">
        <f t="shared" si="16"/>
        <v>4</v>
      </c>
      <c r="JW4" s="25">
        <f t="shared" si="16"/>
        <v>5</v>
      </c>
      <c r="JX4" s="25">
        <f t="shared" si="16"/>
        <v>6</v>
      </c>
      <c r="JY4" s="25">
        <f t="shared" si="16"/>
        <v>7</v>
      </c>
      <c r="JZ4" s="25">
        <f t="shared" si="16"/>
        <v>1</v>
      </c>
      <c r="KA4" s="25">
        <f t="shared" si="16"/>
        <v>2</v>
      </c>
      <c r="KB4" s="25">
        <f t="shared" si="16"/>
        <v>3</v>
      </c>
      <c r="KC4" s="25">
        <f t="shared" si="16"/>
        <v>4</v>
      </c>
      <c r="KD4" s="25">
        <f t="shared" si="16"/>
        <v>5</v>
      </c>
      <c r="KE4" s="25">
        <f t="shared" si="16"/>
        <v>6</v>
      </c>
      <c r="KF4" s="25">
        <f t="shared" si="16"/>
        <v>7</v>
      </c>
      <c r="KG4" s="25">
        <f t="shared" si="16"/>
        <v>1</v>
      </c>
      <c r="KH4" s="25">
        <f t="shared" si="16"/>
        <v>2</v>
      </c>
      <c r="KI4" s="25">
        <f t="shared" si="16"/>
        <v>3</v>
      </c>
      <c r="KJ4" s="25">
        <f t="shared" si="16"/>
        <v>4</v>
      </c>
      <c r="KK4" s="25">
        <f t="shared" si="16"/>
        <v>5</v>
      </c>
      <c r="KL4" s="25">
        <f t="shared" si="16"/>
        <v>6</v>
      </c>
      <c r="KM4" s="25">
        <f t="shared" si="16"/>
        <v>7</v>
      </c>
      <c r="KN4" s="25">
        <f t="shared" si="16"/>
        <v>1</v>
      </c>
      <c r="KO4" s="25">
        <f t="shared" si="16"/>
        <v>2</v>
      </c>
      <c r="KP4" s="25">
        <f t="shared" si="16"/>
        <v>3</v>
      </c>
      <c r="KQ4" s="25">
        <f t="shared" si="16"/>
        <v>4</v>
      </c>
      <c r="KR4" s="25">
        <f t="shared" si="16"/>
        <v>5</v>
      </c>
      <c r="KS4" s="25">
        <f t="shared" si="16"/>
        <v>6</v>
      </c>
      <c r="KT4" s="25">
        <f t="shared" si="16"/>
        <v>7</v>
      </c>
      <c r="KU4" s="25">
        <f t="shared" si="16"/>
        <v>1</v>
      </c>
      <c r="KV4" s="25">
        <f t="shared" si="16"/>
        <v>2</v>
      </c>
      <c r="KW4" s="25">
        <f t="shared" si="16"/>
        <v>3</v>
      </c>
      <c r="KX4" s="25">
        <f t="shared" si="16"/>
        <v>4</v>
      </c>
      <c r="KY4" s="25">
        <f t="shared" si="16"/>
        <v>5</v>
      </c>
      <c r="KZ4" s="25">
        <f t="shared" si="16"/>
        <v>6</v>
      </c>
      <c r="LA4" s="25">
        <f t="shared" si="16"/>
        <v>7</v>
      </c>
      <c r="LB4" s="25">
        <f t="shared" si="16"/>
        <v>1</v>
      </c>
      <c r="LC4" s="25">
        <f t="shared" si="16"/>
        <v>2</v>
      </c>
      <c r="LD4" s="25">
        <f t="shared" si="16"/>
        <v>3</v>
      </c>
      <c r="LE4" s="25">
        <f t="shared" si="16"/>
        <v>4</v>
      </c>
      <c r="LF4" s="25">
        <f t="shared" si="16"/>
        <v>5</v>
      </c>
      <c r="LG4" s="25">
        <f t="shared" si="16"/>
        <v>6</v>
      </c>
      <c r="LH4" s="25">
        <f t="shared" si="16"/>
        <v>7</v>
      </c>
      <c r="LI4" s="25">
        <f t="shared" si="16"/>
        <v>1</v>
      </c>
      <c r="LJ4" s="25">
        <f t="shared" si="16"/>
        <v>2</v>
      </c>
      <c r="LK4" s="25">
        <f t="shared" si="16"/>
        <v>3</v>
      </c>
      <c r="LL4" s="25">
        <f t="shared" si="16"/>
        <v>4</v>
      </c>
      <c r="LM4" s="25">
        <f t="shared" ref="LM4:NC4" si="17">WEEKDAY(LM3,1)</f>
        <v>5</v>
      </c>
      <c r="LN4" s="25">
        <f t="shared" si="17"/>
        <v>6</v>
      </c>
      <c r="LO4" s="25">
        <f t="shared" si="17"/>
        <v>7</v>
      </c>
      <c r="LP4" s="25">
        <f t="shared" si="17"/>
        <v>1</v>
      </c>
      <c r="LQ4" s="25">
        <f t="shared" si="17"/>
        <v>2</v>
      </c>
      <c r="LR4" s="25">
        <f t="shared" si="17"/>
        <v>3</v>
      </c>
      <c r="LS4" s="25">
        <f t="shared" si="17"/>
        <v>4</v>
      </c>
      <c r="LT4" s="25">
        <f t="shared" si="17"/>
        <v>5</v>
      </c>
      <c r="LU4" s="25">
        <f t="shared" si="17"/>
        <v>6</v>
      </c>
      <c r="LV4" s="25">
        <f t="shared" si="17"/>
        <v>7</v>
      </c>
      <c r="LW4" s="25">
        <f t="shared" si="17"/>
        <v>1</v>
      </c>
      <c r="LX4" s="25">
        <f t="shared" si="17"/>
        <v>2</v>
      </c>
      <c r="LY4" s="25">
        <f t="shared" si="17"/>
        <v>3</v>
      </c>
      <c r="LZ4" s="25">
        <f t="shared" si="17"/>
        <v>4</v>
      </c>
      <c r="MA4" s="25">
        <f t="shared" si="17"/>
        <v>5</v>
      </c>
      <c r="MB4" s="25">
        <f t="shared" si="17"/>
        <v>6</v>
      </c>
      <c r="MC4" s="25">
        <f t="shared" si="17"/>
        <v>7</v>
      </c>
      <c r="MD4" s="25">
        <f t="shared" si="17"/>
        <v>1</v>
      </c>
      <c r="ME4" s="25">
        <f t="shared" si="17"/>
        <v>2</v>
      </c>
      <c r="MF4" s="25">
        <f t="shared" si="17"/>
        <v>3</v>
      </c>
      <c r="MG4" s="25">
        <f t="shared" si="17"/>
        <v>4</v>
      </c>
      <c r="MH4" s="25">
        <f t="shared" si="17"/>
        <v>5</v>
      </c>
      <c r="MI4" s="25">
        <f t="shared" si="17"/>
        <v>6</v>
      </c>
      <c r="MJ4" s="25">
        <f t="shared" si="17"/>
        <v>7</v>
      </c>
      <c r="MK4" s="25">
        <f t="shared" si="17"/>
        <v>1</v>
      </c>
      <c r="ML4" s="25">
        <f t="shared" si="17"/>
        <v>2</v>
      </c>
      <c r="MM4" s="25">
        <f t="shared" si="17"/>
        <v>3</v>
      </c>
      <c r="MN4" s="25">
        <f t="shared" si="17"/>
        <v>4</v>
      </c>
      <c r="MO4" s="25">
        <f t="shared" si="17"/>
        <v>5</v>
      </c>
      <c r="MP4" s="25">
        <f t="shared" si="17"/>
        <v>6</v>
      </c>
      <c r="MQ4" s="25">
        <f t="shared" si="17"/>
        <v>7</v>
      </c>
      <c r="MR4" s="25">
        <f t="shared" si="17"/>
        <v>1</v>
      </c>
      <c r="MS4" s="25">
        <f t="shared" si="17"/>
        <v>2</v>
      </c>
      <c r="MT4" s="25">
        <f t="shared" si="17"/>
        <v>3</v>
      </c>
      <c r="MU4" s="25">
        <f t="shared" si="17"/>
        <v>4</v>
      </c>
      <c r="MV4" s="25">
        <f t="shared" si="17"/>
        <v>5</v>
      </c>
      <c r="MW4" s="25">
        <f t="shared" si="17"/>
        <v>6</v>
      </c>
      <c r="MX4" s="25">
        <f t="shared" si="17"/>
        <v>7</v>
      </c>
      <c r="MY4" s="25">
        <f t="shared" si="17"/>
        <v>1</v>
      </c>
      <c r="MZ4" s="25">
        <f t="shared" si="17"/>
        <v>2</v>
      </c>
      <c r="NA4" s="25">
        <f t="shared" si="17"/>
        <v>3</v>
      </c>
      <c r="NB4" s="25">
        <f t="shared" si="17"/>
        <v>4</v>
      </c>
      <c r="NC4" s="25">
        <f t="shared" si="17"/>
        <v>5</v>
      </c>
    </row>
    <row r="5" spans="2:367">
      <c r="B5" s="20"/>
      <c r="C5" s="25" t="str">
        <f t="shared" ref="C5" si="18">TEXT(C4,"DDDD")</f>
        <v>Thursday</v>
      </c>
      <c r="D5" s="25" t="str">
        <f>TEXT(D4,"DDDD")</f>
        <v>Friday</v>
      </c>
      <c r="E5" s="25" t="str">
        <f t="shared" ref="E5:BP5" si="19">TEXT(E4,"DDDD")</f>
        <v>Saturday</v>
      </c>
      <c r="F5" s="25" t="str">
        <f t="shared" si="19"/>
        <v>Sunday</v>
      </c>
      <c r="G5" s="25" t="str">
        <f t="shared" si="19"/>
        <v>Monday</v>
      </c>
      <c r="H5" s="25" t="str">
        <f t="shared" si="19"/>
        <v>Tuesday</v>
      </c>
      <c r="I5" s="25" t="str">
        <f t="shared" si="19"/>
        <v>Wednesday</v>
      </c>
      <c r="J5" s="25" t="str">
        <f t="shared" si="19"/>
        <v>Thursday</v>
      </c>
      <c r="K5" s="25" t="str">
        <f t="shared" si="19"/>
        <v>Friday</v>
      </c>
      <c r="L5" s="25" t="str">
        <f t="shared" si="19"/>
        <v>Saturday</v>
      </c>
      <c r="M5" s="25" t="str">
        <f t="shared" si="19"/>
        <v>Sunday</v>
      </c>
      <c r="N5" s="25" t="str">
        <f t="shared" si="19"/>
        <v>Monday</v>
      </c>
      <c r="O5" s="25" t="str">
        <f t="shared" si="19"/>
        <v>Tuesday</v>
      </c>
      <c r="P5" s="25" t="str">
        <f t="shared" si="19"/>
        <v>Wednesday</v>
      </c>
      <c r="Q5" s="25" t="str">
        <f t="shared" si="19"/>
        <v>Thursday</v>
      </c>
      <c r="R5" s="25" t="str">
        <f t="shared" si="19"/>
        <v>Friday</v>
      </c>
      <c r="S5" s="25" t="str">
        <f t="shared" si="19"/>
        <v>Saturday</v>
      </c>
      <c r="T5" s="25" t="str">
        <f t="shared" si="19"/>
        <v>Sunday</v>
      </c>
      <c r="U5" s="25" t="str">
        <f t="shared" si="19"/>
        <v>Monday</v>
      </c>
      <c r="V5" s="25" t="str">
        <f t="shared" si="19"/>
        <v>Tuesday</v>
      </c>
      <c r="W5" s="25" t="str">
        <f t="shared" si="19"/>
        <v>Wednesday</v>
      </c>
      <c r="X5" s="25" t="str">
        <f t="shared" si="19"/>
        <v>Thursday</v>
      </c>
      <c r="Y5" s="25" t="str">
        <f t="shared" si="19"/>
        <v>Friday</v>
      </c>
      <c r="Z5" s="25" t="str">
        <f t="shared" si="19"/>
        <v>Saturday</v>
      </c>
      <c r="AA5" s="25" t="str">
        <f t="shared" si="19"/>
        <v>Sunday</v>
      </c>
      <c r="AB5" s="25" t="str">
        <f t="shared" si="19"/>
        <v>Monday</v>
      </c>
      <c r="AC5" s="25" t="str">
        <f t="shared" si="19"/>
        <v>Tuesday</v>
      </c>
      <c r="AD5" s="25" t="str">
        <f t="shared" si="19"/>
        <v>Wednesday</v>
      </c>
      <c r="AE5" s="25" t="str">
        <f t="shared" si="19"/>
        <v>Thursday</v>
      </c>
      <c r="AF5" s="25" t="str">
        <f t="shared" si="19"/>
        <v>Friday</v>
      </c>
      <c r="AG5" s="25" t="str">
        <f t="shared" si="19"/>
        <v>Saturday</v>
      </c>
      <c r="AH5" s="25" t="str">
        <f t="shared" si="19"/>
        <v>Sunday</v>
      </c>
      <c r="AI5" s="25" t="str">
        <f t="shared" si="19"/>
        <v>Monday</v>
      </c>
      <c r="AJ5" s="25" t="str">
        <f t="shared" si="19"/>
        <v>Tuesday</v>
      </c>
      <c r="AK5" s="25" t="str">
        <f t="shared" si="19"/>
        <v>Wednesday</v>
      </c>
      <c r="AL5" s="25" t="str">
        <f t="shared" si="19"/>
        <v>Thursday</v>
      </c>
      <c r="AM5" s="25" t="str">
        <f t="shared" si="19"/>
        <v>Friday</v>
      </c>
      <c r="AN5" s="25" t="str">
        <f t="shared" si="19"/>
        <v>Saturday</v>
      </c>
      <c r="AO5" s="25" t="str">
        <f t="shared" si="19"/>
        <v>Sunday</v>
      </c>
      <c r="AP5" s="25" t="str">
        <f t="shared" si="19"/>
        <v>Monday</v>
      </c>
      <c r="AQ5" s="25" t="str">
        <f t="shared" si="19"/>
        <v>Tuesday</v>
      </c>
      <c r="AR5" s="25" t="str">
        <f t="shared" si="19"/>
        <v>Wednesday</v>
      </c>
      <c r="AS5" s="25" t="str">
        <f t="shared" si="19"/>
        <v>Thursday</v>
      </c>
      <c r="AT5" s="25" t="str">
        <f t="shared" si="19"/>
        <v>Friday</v>
      </c>
      <c r="AU5" s="25" t="str">
        <f t="shared" si="19"/>
        <v>Saturday</v>
      </c>
      <c r="AV5" s="25" t="str">
        <f t="shared" si="19"/>
        <v>Sunday</v>
      </c>
      <c r="AW5" s="25" t="str">
        <f t="shared" si="19"/>
        <v>Monday</v>
      </c>
      <c r="AX5" s="25" t="str">
        <f t="shared" si="19"/>
        <v>Tuesday</v>
      </c>
      <c r="AY5" s="25" t="str">
        <f t="shared" si="19"/>
        <v>Wednesday</v>
      </c>
      <c r="AZ5" s="25" t="str">
        <f t="shared" si="19"/>
        <v>Thursday</v>
      </c>
      <c r="BA5" s="25" t="str">
        <f t="shared" si="19"/>
        <v>Friday</v>
      </c>
      <c r="BB5" s="25" t="str">
        <f t="shared" si="19"/>
        <v>Saturday</v>
      </c>
      <c r="BC5" s="25" t="str">
        <f t="shared" si="19"/>
        <v>Sunday</v>
      </c>
      <c r="BD5" s="25" t="str">
        <f t="shared" si="19"/>
        <v>Monday</v>
      </c>
      <c r="BE5" s="25" t="str">
        <f t="shared" si="19"/>
        <v>Tuesday</v>
      </c>
      <c r="BF5" s="25" t="str">
        <f t="shared" si="19"/>
        <v>Wednesday</v>
      </c>
      <c r="BG5" s="25" t="str">
        <f t="shared" si="19"/>
        <v>Thursday</v>
      </c>
      <c r="BH5" s="25" t="str">
        <f t="shared" si="19"/>
        <v>Friday</v>
      </c>
      <c r="BI5" s="25" t="str">
        <f t="shared" si="19"/>
        <v>Saturday</v>
      </c>
      <c r="BJ5" s="25" t="str">
        <f t="shared" si="19"/>
        <v>Sunday</v>
      </c>
      <c r="BK5" s="25" t="str">
        <f t="shared" si="19"/>
        <v>Monday</v>
      </c>
      <c r="BL5" s="25" t="str">
        <f t="shared" si="19"/>
        <v>Tuesday</v>
      </c>
      <c r="BM5" s="25" t="str">
        <f t="shared" si="19"/>
        <v>Wednesday</v>
      </c>
      <c r="BN5" s="25" t="str">
        <f t="shared" si="19"/>
        <v>Thursday</v>
      </c>
      <c r="BO5" s="25" t="str">
        <f t="shared" si="19"/>
        <v>Friday</v>
      </c>
      <c r="BP5" s="25" t="str">
        <f t="shared" si="19"/>
        <v>Saturday</v>
      </c>
      <c r="BQ5" s="25" t="str">
        <f t="shared" ref="BQ5:EB5" si="20">TEXT(BQ4,"DDDD")</f>
        <v>Sunday</v>
      </c>
      <c r="BR5" s="25" t="str">
        <f t="shared" si="20"/>
        <v>Monday</v>
      </c>
      <c r="BS5" s="25" t="str">
        <f t="shared" si="20"/>
        <v>Tuesday</v>
      </c>
      <c r="BT5" s="25" t="str">
        <f t="shared" si="20"/>
        <v>Wednesday</v>
      </c>
      <c r="BU5" s="25" t="str">
        <f t="shared" si="20"/>
        <v>Thursday</v>
      </c>
      <c r="BV5" s="25" t="str">
        <f t="shared" si="20"/>
        <v>Friday</v>
      </c>
      <c r="BW5" s="25" t="str">
        <f t="shared" si="20"/>
        <v>Saturday</v>
      </c>
      <c r="BX5" s="25" t="str">
        <f t="shared" si="20"/>
        <v>Sunday</v>
      </c>
      <c r="BY5" s="25" t="str">
        <f t="shared" si="20"/>
        <v>Monday</v>
      </c>
      <c r="BZ5" s="25" t="str">
        <f t="shared" si="20"/>
        <v>Tuesday</v>
      </c>
      <c r="CA5" s="25" t="str">
        <f t="shared" si="20"/>
        <v>Wednesday</v>
      </c>
      <c r="CB5" s="25" t="str">
        <f t="shared" si="20"/>
        <v>Thursday</v>
      </c>
      <c r="CC5" s="25" t="str">
        <f t="shared" si="20"/>
        <v>Friday</v>
      </c>
      <c r="CD5" s="25" t="str">
        <f t="shared" si="20"/>
        <v>Saturday</v>
      </c>
      <c r="CE5" s="25" t="str">
        <f t="shared" si="20"/>
        <v>Sunday</v>
      </c>
      <c r="CF5" s="25" t="str">
        <f t="shared" si="20"/>
        <v>Monday</v>
      </c>
      <c r="CG5" s="25" t="str">
        <f t="shared" si="20"/>
        <v>Tuesday</v>
      </c>
      <c r="CH5" s="25" t="str">
        <f t="shared" si="20"/>
        <v>Wednesday</v>
      </c>
      <c r="CI5" s="25" t="str">
        <f t="shared" si="20"/>
        <v>Thursday</v>
      </c>
      <c r="CJ5" s="25" t="str">
        <f t="shared" si="20"/>
        <v>Friday</v>
      </c>
      <c r="CK5" s="25" t="str">
        <f t="shared" si="20"/>
        <v>Saturday</v>
      </c>
      <c r="CL5" s="25" t="str">
        <f t="shared" si="20"/>
        <v>Sunday</v>
      </c>
      <c r="CM5" s="25" t="str">
        <f t="shared" si="20"/>
        <v>Monday</v>
      </c>
      <c r="CN5" s="25" t="str">
        <f t="shared" si="20"/>
        <v>Tuesday</v>
      </c>
      <c r="CO5" s="25" t="str">
        <f t="shared" si="20"/>
        <v>Wednesday</v>
      </c>
      <c r="CP5" s="25" t="str">
        <f t="shared" si="20"/>
        <v>Thursday</v>
      </c>
      <c r="CQ5" s="25" t="str">
        <f t="shared" si="20"/>
        <v>Friday</v>
      </c>
      <c r="CR5" s="25" t="str">
        <f t="shared" si="20"/>
        <v>Saturday</v>
      </c>
      <c r="CS5" s="25" t="str">
        <f t="shared" si="20"/>
        <v>Sunday</v>
      </c>
      <c r="CT5" s="25" t="str">
        <f t="shared" si="20"/>
        <v>Monday</v>
      </c>
      <c r="CU5" s="25" t="str">
        <f t="shared" si="20"/>
        <v>Tuesday</v>
      </c>
      <c r="CV5" s="25" t="str">
        <f t="shared" si="20"/>
        <v>Wednesday</v>
      </c>
      <c r="CW5" s="25" t="str">
        <f t="shared" si="20"/>
        <v>Thursday</v>
      </c>
      <c r="CX5" s="25" t="str">
        <f t="shared" si="20"/>
        <v>Friday</v>
      </c>
      <c r="CY5" s="25" t="str">
        <f t="shared" si="20"/>
        <v>Saturday</v>
      </c>
      <c r="CZ5" s="25" t="str">
        <f t="shared" si="20"/>
        <v>Sunday</v>
      </c>
      <c r="DA5" s="25" t="str">
        <f t="shared" si="20"/>
        <v>Monday</v>
      </c>
      <c r="DB5" s="25" t="str">
        <f t="shared" si="20"/>
        <v>Tuesday</v>
      </c>
      <c r="DC5" s="25" t="str">
        <f t="shared" si="20"/>
        <v>Wednesday</v>
      </c>
      <c r="DD5" s="25" t="str">
        <f t="shared" si="20"/>
        <v>Thursday</v>
      </c>
      <c r="DE5" s="25" t="str">
        <f t="shared" si="20"/>
        <v>Friday</v>
      </c>
      <c r="DF5" s="25" t="str">
        <f t="shared" si="20"/>
        <v>Saturday</v>
      </c>
      <c r="DG5" s="25" t="str">
        <f t="shared" si="20"/>
        <v>Sunday</v>
      </c>
      <c r="DH5" s="25" t="str">
        <f t="shared" si="20"/>
        <v>Monday</v>
      </c>
      <c r="DI5" s="25" t="str">
        <f t="shared" si="20"/>
        <v>Tuesday</v>
      </c>
      <c r="DJ5" s="25" t="str">
        <f t="shared" si="20"/>
        <v>Wednesday</v>
      </c>
      <c r="DK5" s="25" t="str">
        <f t="shared" si="20"/>
        <v>Thursday</v>
      </c>
      <c r="DL5" s="25" t="str">
        <f t="shared" si="20"/>
        <v>Friday</v>
      </c>
      <c r="DM5" s="25" t="str">
        <f t="shared" si="20"/>
        <v>Saturday</v>
      </c>
      <c r="DN5" s="25" t="str">
        <f t="shared" si="20"/>
        <v>Sunday</v>
      </c>
      <c r="DO5" s="25" t="str">
        <f t="shared" si="20"/>
        <v>Monday</v>
      </c>
      <c r="DP5" s="25" t="str">
        <f t="shared" si="20"/>
        <v>Tuesday</v>
      </c>
      <c r="DQ5" s="25" t="str">
        <f t="shared" si="20"/>
        <v>Wednesday</v>
      </c>
      <c r="DR5" s="25" t="str">
        <f t="shared" si="20"/>
        <v>Thursday</v>
      </c>
      <c r="DS5" s="25" t="str">
        <f t="shared" si="20"/>
        <v>Friday</v>
      </c>
      <c r="DT5" s="25" t="str">
        <f t="shared" si="20"/>
        <v>Saturday</v>
      </c>
      <c r="DU5" s="25" t="str">
        <f t="shared" si="20"/>
        <v>Sunday</v>
      </c>
      <c r="DV5" s="25" t="str">
        <f t="shared" si="20"/>
        <v>Monday</v>
      </c>
      <c r="DW5" s="25" t="str">
        <f t="shared" si="20"/>
        <v>Tuesday</v>
      </c>
      <c r="DX5" s="25" t="str">
        <f t="shared" si="20"/>
        <v>Wednesday</v>
      </c>
      <c r="DY5" s="25" t="str">
        <f t="shared" si="20"/>
        <v>Thursday</v>
      </c>
      <c r="DZ5" s="25" t="str">
        <f t="shared" si="20"/>
        <v>Friday</v>
      </c>
      <c r="EA5" s="25" t="str">
        <f t="shared" si="20"/>
        <v>Saturday</v>
      </c>
      <c r="EB5" s="25" t="str">
        <f t="shared" si="20"/>
        <v>Sunday</v>
      </c>
      <c r="EC5" s="25" t="str">
        <f t="shared" ref="EC5:GN5" si="21">TEXT(EC4,"DDDD")</f>
        <v>Monday</v>
      </c>
      <c r="ED5" s="25" t="str">
        <f t="shared" si="21"/>
        <v>Tuesday</v>
      </c>
      <c r="EE5" s="25" t="str">
        <f t="shared" si="21"/>
        <v>Wednesday</v>
      </c>
      <c r="EF5" s="25" t="str">
        <f t="shared" si="21"/>
        <v>Thursday</v>
      </c>
      <c r="EG5" s="25" t="str">
        <f t="shared" si="21"/>
        <v>Friday</v>
      </c>
      <c r="EH5" s="25" t="str">
        <f t="shared" si="21"/>
        <v>Saturday</v>
      </c>
      <c r="EI5" s="25" t="str">
        <f t="shared" si="21"/>
        <v>Sunday</v>
      </c>
      <c r="EJ5" s="25" t="str">
        <f t="shared" si="21"/>
        <v>Monday</v>
      </c>
      <c r="EK5" s="25" t="str">
        <f t="shared" si="21"/>
        <v>Tuesday</v>
      </c>
      <c r="EL5" s="25" t="str">
        <f t="shared" si="21"/>
        <v>Wednesday</v>
      </c>
      <c r="EM5" s="25" t="str">
        <f t="shared" si="21"/>
        <v>Thursday</v>
      </c>
      <c r="EN5" s="25" t="str">
        <f t="shared" si="21"/>
        <v>Friday</v>
      </c>
      <c r="EO5" s="25" t="str">
        <f t="shared" si="21"/>
        <v>Saturday</v>
      </c>
      <c r="EP5" s="25" t="str">
        <f t="shared" si="21"/>
        <v>Sunday</v>
      </c>
      <c r="EQ5" s="25" t="str">
        <f t="shared" si="21"/>
        <v>Monday</v>
      </c>
      <c r="ER5" s="25" t="str">
        <f t="shared" si="21"/>
        <v>Tuesday</v>
      </c>
      <c r="ES5" s="25" t="str">
        <f t="shared" si="21"/>
        <v>Wednesday</v>
      </c>
      <c r="ET5" s="25" t="str">
        <f t="shared" si="21"/>
        <v>Thursday</v>
      </c>
      <c r="EU5" s="25" t="str">
        <f t="shared" si="21"/>
        <v>Friday</v>
      </c>
      <c r="EV5" s="25" t="str">
        <f t="shared" si="21"/>
        <v>Saturday</v>
      </c>
      <c r="EW5" s="25" t="str">
        <f t="shared" si="21"/>
        <v>Sunday</v>
      </c>
      <c r="EX5" s="25" t="str">
        <f t="shared" si="21"/>
        <v>Monday</v>
      </c>
      <c r="EY5" s="25" t="str">
        <f t="shared" si="21"/>
        <v>Tuesday</v>
      </c>
      <c r="EZ5" s="25" t="str">
        <f t="shared" si="21"/>
        <v>Wednesday</v>
      </c>
      <c r="FA5" s="25" t="str">
        <f t="shared" si="21"/>
        <v>Thursday</v>
      </c>
      <c r="FB5" s="25" t="str">
        <f t="shared" si="21"/>
        <v>Friday</v>
      </c>
      <c r="FC5" s="25" t="str">
        <f t="shared" si="21"/>
        <v>Saturday</v>
      </c>
      <c r="FD5" s="25" t="str">
        <f t="shared" si="21"/>
        <v>Sunday</v>
      </c>
      <c r="FE5" s="25" t="str">
        <f t="shared" si="21"/>
        <v>Monday</v>
      </c>
      <c r="FF5" s="25" t="str">
        <f t="shared" si="21"/>
        <v>Tuesday</v>
      </c>
      <c r="FG5" s="25" t="str">
        <f t="shared" si="21"/>
        <v>Wednesday</v>
      </c>
      <c r="FH5" s="25" t="str">
        <f t="shared" si="21"/>
        <v>Thursday</v>
      </c>
      <c r="FI5" s="25" t="str">
        <f t="shared" si="21"/>
        <v>Friday</v>
      </c>
      <c r="FJ5" s="25" t="str">
        <f t="shared" si="21"/>
        <v>Saturday</v>
      </c>
      <c r="FK5" s="25" t="str">
        <f t="shared" si="21"/>
        <v>Sunday</v>
      </c>
      <c r="FL5" s="25" t="str">
        <f t="shared" si="21"/>
        <v>Monday</v>
      </c>
      <c r="FM5" s="25" t="str">
        <f t="shared" si="21"/>
        <v>Tuesday</v>
      </c>
      <c r="FN5" s="25" t="str">
        <f t="shared" si="21"/>
        <v>Wednesday</v>
      </c>
      <c r="FO5" s="25" t="str">
        <f t="shared" si="21"/>
        <v>Thursday</v>
      </c>
      <c r="FP5" s="25" t="str">
        <f t="shared" si="21"/>
        <v>Friday</v>
      </c>
      <c r="FQ5" s="25" t="str">
        <f t="shared" si="21"/>
        <v>Saturday</v>
      </c>
      <c r="FR5" s="25" t="str">
        <f t="shared" si="21"/>
        <v>Sunday</v>
      </c>
      <c r="FS5" s="25" t="str">
        <f t="shared" si="21"/>
        <v>Monday</v>
      </c>
      <c r="FT5" s="25" t="str">
        <f t="shared" si="21"/>
        <v>Tuesday</v>
      </c>
      <c r="FU5" s="25" t="str">
        <f t="shared" si="21"/>
        <v>Wednesday</v>
      </c>
      <c r="FV5" s="25" t="str">
        <f t="shared" si="21"/>
        <v>Thursday</v>
      </c>
      <c r="FW5" s="25" t="str">
        <f t="shared" si="21"/>
        <v>Friday</v>
      </c>
      <c r="FX5" s="25" t="str">
        <f t="shared" si="21"/>
        <v>Saturday</v>
      </c>
      <c r="FY5" s="25" t="str">
        <f t="shared" si="21"/>
        <v>Sunday</v>
      </c>
      <c r="FZ5" s="25" t="str">
        <f t="shared" si="21"/>
        <v>Monday</v>
      </c>
      <c r="GA5" s="25" t="str">
        <f t="shared" si="21"/>
        <v>Tuesday</v>
      </c>
      <c r="GB5" s="25" t="str">
        <f t="shared" si="21"/>
        <v>Wednesday</v>
      </c>
      <c r="GC5" s="25" t="str">
        <f t="shared" si="21"/>
        <v>Thursday</v>
      </c>
      <c r="GD5" s="25" t="str">
        <f t="shared" si="21"/>
        <v>Friday</v>
      </c>
      <c r="GE5" s="25" t="str">
        <f t="shared" si="21"/>
        <v>Saturday</v>
      </c>
      <c r="GF5" s="25" t="str">
        <f t="shared" si="21"/>
        <v>Sunday</v>
      </c>
      <c r="GG5" s="25" t="str">
        <f t="shared" si="21"/>
        <v>Monday</v>
      </c>
      <c r="GH5" s="25" t="str">
        <f t="shared" si="21"/>
        <v>Tuesday</v>
      </c>
      <c r="GI5" s="25" t="str">
        <f t="shared" si="21"/>
        <v>Wednesday</v>
      </c>
      <c r="GJ5" s="25" t="str">
        <f t="shared" si="21"/>
        <v>Thursday</v>
      </c>
      <c r="GK5" s="25" t="str">
        <f t="shared" si="21"/>
        <v>Friday</v>
      </c>
      <c r="GL5" s="25" t="str">
        <f t="shared" si="21"/>
        <v>Saturday</v>
      </c>
      <c r="GM5" s="25" t="str">
        <f t="shared" si="21"/>
        <v>Sunday</v>
      </c>
      <c r="GN5" s="25" t="str">
        <f t="shared" si="21"/>
        <v>Monday</v>
      </c>
      <c r="GO5" s="25" t="str">
        <f t="shared" ref="GO5:IZ5" si="22">TEXT(GO4,"DDDD")</f>
        <v>Tuesday</v>
      </c>
      <c r="GP5" s="25" t="str">
        <f t="shared" si="22"/>
        <v>Wednesday</v>
      </c>
      <c r="GQ5" s="25" t="str">
        <f t="shared" si="22"/>
        <v>Thursday</v>
      </c>
      <c r="GR5" s="25" t="str">
        <f t="shared" si="22"/>
        <v>Friday</v>
      </c>
      <c r="GS5" s="25" t="str">
        <f t="shared" si="22"/>
        <v>Saturday</v>
      </c>
      <c r="GT5" s="25" t="str">
        <f t="shared" si="22"/>
        <v>Sunday</v>
      </c>
      <c r="GU5" s="25" t="str">
        <f t="shared" si="22"/>
        <v>Monday</v>
      </c>
      <c r="GV5" s="25" t="str">
        <f t="shared" si="22"/>
        <v>Tuesday</v>
      </c>
      <c r="GW5" s="25" t="str">
        <f t="shared" si="22"/>
        <v>Wednesday</v>
      </c>
      <c r="GX5" s="25" t="str">
        <f t="shared" si="22"/>
        <v>Thursday</v>
      </c>
      <c r="GY5" s="25" t="str">
        <f t="shared" si="22"/>
        <v>Friday</v>
      </c>
      <c r="GZ5" s="25" t="str">
        <f t="shared" si="22"/>
        <v>Saturday</v>
      </c>
      <c r="HA5" s="25" t="str">
        <f t="shared" si="22"/>
        <v>Sunday</v>
      </c>
      <c r="HB5" s="25" t="str">
        <f t="shared" si="22"/>
        <v>Monday</v>
      </c>
      <c r="HC5" s="25" t="str">
        <f t="shared" si="22"/>
        <v>Tuesday</v>
      </c>
      <c r="HD5" s="25" t="str">
        <f t="shared" si="22"/>
        <v>Wednesday</v>
      </c>
      <c r="HE5" s="25" t="str">
        <f t="shared" si="22"/>
        <v>Thursday</v>
      </c>
      <c r="HF5" s="25" t="str">
        <f t="shared" si="22"/>
        <v>Friday</v>
      </c>
      <c r="HG5" s="25" t="str">
        <f t="shared" si="22"/>
        <v>Saturday</v>
      </c>
      <c r="HH5" s="25" t="str">
        <f t="shared" si="22"/>
        <v>Sunday</v>
      </c>
      <c r="HI5" s="25" t="str">
        <f t="shared" si="22"/>
        <v>Monday</v>
      </c>
      <c r="HJ5" s="25" t="str">
        <f t="shared" si="22"/>
        <v>Tuesday</v>
      </c>
      <c r="HK5" s="25" t="str">
        <f t="shared" si="22"/>
        <v>Wednesday</v>
      </c>
      <c r="HL5" s="25" t="str">
        <f t="shared" si="22"/>
        <v>Thursday</v>
      </c>
      <c r="HM5" s="25" t="str">
        <f t="shared" si="22"/>
        <v>Friday</v>
      </c>
      <c r="HN5" s="25" t="str">
        <f t="shared" si="22"/>
        <v>Saturday</v>
      </c>
      <c r="HO5" s="25" t="str">
        <f t="shared" si="22"/>
        <v>Sunday</v>
      </c>
      <c r="HP5" s="25" t="str">
        <f t="shared" si="22"/>
        <v>Monday</v>
      </c>
      <c r="HQ5" s="25" t="str">
        <f t="shared" si="22"/>
        <v>Tuesday</v>
      </c>
      <c r="HR5" s="25" t="str">
        <f t="shared" si="22"/>
        <v>Wednesday</v>
      </c>
      <c r="HS5" s="25" t="str">
        <f t="shared" si="22"/>
        <v>Thursday</v>
      </c>
      <c r="HT5" s="25" t="str">
        <f t="shared" si="22"/>
        <v>Friday</v>
      </c>
      <c r="HU5" s="25" t="str">
        <f t="shared" si="22"/>
        <v>Saturday</v>
      </c>
      <c r="HV5" s="25" t="str">
        <f t="shared" si="22"/>
        <v>Sunday</v>
      </c>
      <c r="HW5" s="25" t="str">
        <f t="shared" si="22"/>
        <v>Monday</v>
      </c>
      <c r="HX5" s="25" t="str">
        <f t="shared" si="22"/>
        <v>Tuesday</v>
      </c>
      <c r="HY5" s="25" t="str">
        <f t="shared" si="22"/>
        <v>Wednesday</v>
      </c>
      <c r="HZ5" s="25" t="str">
        <f t="shared" si="22"/>
        <v>Thursday</v>
      </c>
      <c r="IA5" s="25" t="str">
        <f t="shared" si="22"/>
        <v>Friday</v>
      </c>
      <c r="IB5" s="25" t="str">
        <f t="shared" si="22"/>
        <v>Saturday</v>
      </c>
      <c r="IC5" s="25" t="str">
        <f t="shared" si="22"/>
        <v>Sunday</v>
      </c>
      <c r="ID5" s="25" t="str">
        <f t="shared" si="22"/>
        <v>Monday</v>
      </c>
      <c r="IE5" s="25" t="str">
        <f t="shared" si="22"/>
        <v>Tuesday</v>
      </c>
      <c r="IF5" s="25" t="str">
        <f t="shared" si="22"/>
        <v>Wednesday</v>
      </c>
      <c r="IG5" s="25" t="str">
        <f t="shared" si="22"/>
        <v>Thursday</v>
      </c>
      <c r="IH5" s="25" t="str">
        <f t="shared" si="22"/>
        <v>Friday</v>
      </c>
      <c r="II5" s="25" t="str">
        <f t="shared" si="22"/>
        <v>Saturday</v>
      </c>
      <c r="IJ5" s="25" t="str">
        <f t="shared" si="22"/>
        <v>Sunday</v>
      </c>
      <c r="IK5" s="25" t="str">
        <f t="shared" si="22"/>
        <v>Monday</v>
      </c>
      <c r="IL5" s="25" t="str">
        <f t="shared" si="22"/>
        <v>Tuesday</v>
      </c>
      <c r="IM5" s="25" t="str">
        <f t="shared" si="22"/>
        <v>Wednesday</v>
      </c>
      <c r="IN5" s="25" t="str">
        <f t="shared" si="22"/>
        <v>Thursday</v>
      </c>
      <c r="IO5" s="25" t="str">
        <f t="shared" si="22"/>
        <v>Friday</v>
      </c>
      <c r="IP5" s="25" t="str">
        <f t="shared" si="22"/>
        <v>Saturday</v>
      </c>
      <c r="IQ5" s="25" t="str">
        <f t="shared" si="22"/>
        <v>Sunday</v>
      </c>
      <c r="IR5" s="25" t="str">
        <f t="shared" si="22"/>
        <v>Monday</v>
      </c>
      <c r="IS5" s="25" t="str">
        <f t="shared" si="22"/>
        <v>Tuesday</v>
      </c>
      <c r="IT5" s="25" t="str">
        <f t="shared" si="22"/>
        <v>Wednesday</v>
      </c>
      <c r="IU5" s="25" t="str">
        <f t="shared" si="22"/>
        <v>Thursday</v>
      </c>
      <c r="IV5" s="25" t="str">
        <f t="shared" si="22"/>
        <v>Friday</v>
      </c>
      <c r="IW5" s="25" t="str">
        <f t="shared" si="22"/>
        <v>Saturday</v>
      </c>
      <c r="IX5" s="25" t="str">
        <f t="shared" si="22"/>
        <v>Sunday</v>
      </c>
      <c r="IY5" s="25" t="str">
        <f t="shared" si="22"/>
        <v>Monday</v>
      </c>
      <c r="IZ5" s="25" t="str">
        <f t="shared" si="22"/>
        <v>Tuesday</v>
      </c>
      <c r="JA5" s="25" t="str">
        <f t="shared" ref="JA5:LL5" si="23">TEXT(JA4,"DDDD")</f>
        <v>Wednesday</v>
      </c>
      <c r="JB5" s="25" t="str">
        <f t="shared" si="23"/>
        <v>Thursday</v>
      </c>
      <c r="JC5" s="25" t="str">
        <f t="shared" si="23"/>
        <v>Friday</v>
      </c>
      <c r="JD5" s="25" t="str">
        <f t="shared" si="23"/>
        <v>Saturday</v>
      </c>
      <c r="JE5" s="25" t="str">
        <f t="shared" si="23"/>
        <v>Sunday</v>
      </c>
      <c r="JF5" s="25" t="str">
        <f t="shared" si="23"/>
        <v>Monday</v>
      </c>
      <c r="JG5" s="25" t="str">
        <f t="shared" si="23"/>
        <v>Tuesday</v>
      </c>
      <c r="JH5" s="25" t="str">
        <f t="shared" si="23"/>
        <v>Wednesday</v>
      </c>
      <c r="JI5" s="25" t="str">
        <f t="shared" si="23"/>
        <v>Thursday</v>
      </c>
      <c r="JJ5" s="25" t="str">
        <f t="shared" si="23"/>
        <v>Friday</v>
      </c>
      <c r="JK5" s="25" t="str">
        <f t="shared" si="23"/>
        <v>Saturday</v>
      </c>
      <c r="JL5" s="25" t="str">
        <f t="shared" si="23"/>
        <v>Sunday</v>
      </c>
      <c r="JM5" s="25" t="str">
        <f t="shared" si="23"/>
        <v>Monday</v>
      </c>
      <c r="JN5" s="25" t="str">
        <f t="shared" si="23"/>
        <v>Tuesday</v>
      </c>
      <c r="JO5" s="25" t="str">
        <f t="shared" si="23"/>
        <v>Wednesday</v>
      </c>
      <c r="JP5" s="25" t="str">
        <f t="shared" si="23"/>
        <v>Thursday</v>
      </c>
      <c r="JQ5" s="25" t="str">
        <f t="shared" si="23"/>
        <v>Friday</v>
      </c>
      <c r="JR5" s="25" t="str">
        <f t="shared" si="23"/>
        <v>Saturday</v>
      </c>
      <c r="JS5" s="25" t="str">
        <f t="shared" si="23"/>
        <v>Sunday</v>
      </c>
      <c r="JT5" s="25" t="str">
        <f t="shared" si="23"/>
        <v>Monday</v>
      </c>
      <c r="JU5" s="25" t="str">
        <f t="shared" si="23"/>
        <v>Tuesday</v>
      </c>
      <c r="JV5" s="25" t="str">
        <f t="shared" si="23"/>
        <v>Wednesday</v>
      </c>
      <c r="JW5" s="25" t="str">
        <f t="shared" si="23"/>
        <v>Thursday</v>
      </c>
      <c r="JX5" s="25" t="str">
        <f t="shared" si="23"/>
        <v>Friday</v>
      </c>
      <c r="JY5" s="25" t="str">
        <f t="shared" si="23"/>
        <v>Saturday</v>
      </c>
      <c r="JZ5" s="25" t="str">
        <f t="shared" si="23"/>
        <v>Sunday</v>
      </c>
      <c r="KA5" s="25" t="str">
        <f t="shared" si="23"/>
        <v>Monday</v>
      </c>
      <c r="KB5" s="25" t="str">
        <f t="shared" si="23"/>
        <v>Tuesday</v>
      </c>
      <c r="KC5" s="25" t="str">
        <f t="shared" si="23"/>
        <v>Wednesday</v>
      </c>
      <c r="KD5" s="25" t="str">
        <f t="shared" si="23"/>
        <v>Thursday</v>
      </c>
      <c r="KE5" s="25" t="str">
        <f t="shared" si="23"/>
        <v>Friday</v>
      </c>
      <c r="KF5" s="25" t="str">
        <f t="shared" si="23"/>
        <v>Saturday</v>
      </c>
      <c r="KG5" s="25" t="str">
        <f t="shared" si="23"/>
        <v>Sunday</v>
      </c>
      <c r="KH5" s="25" t="str">
        <f t="shared" si="23"/>
        <v>Monday</v>
      </c>
      <c r="KI5" s="25" t="str">
        <f t="shared" si="23"/>
        <v>Tuesday</v>
      </c>
      <c r="KJ5" s="25" t="str">
        <f t="shared" si="23"/>
        <v>Wednesday</v>
      </c>
      <c r="KK5" s="25" t="str">
        <f t="shared" si="23"/>
        <v>Thursday</v>
      </c>
      <c r="KL5" s="25" t="str">
        <f t="shared" si="23"/>
        <v>Friday</v>
      </c>
      <c r="KM5" s="25" t="str">
        <f t="shared" si="23"/>
        <v>Saturday</v>
      </c>
      <c r="KN5" s="25" t="str">
        <f t="shared" si="23"/>
        <v>Sunday</v>
      </c>
      <c r="KO5" s="25" t="str">
        <f t="shared" si="23"/>
        <v>Monday</v>
      </c>
      <c r="KP5" s="25" t="str">
        <f t="shared" si="23"/>
        <v>Tuesday</v>
      </c>
      <c r="KQ5" s="25" t="str">
        <f t="shared" si="23"/>
        <v>Wednesday</v>
      </c>
      <c r="KR5" s="25" t="str">
        <f t="shared" si="23"/>
        <v>Thursday</v>
      </c>
      <c r="KS5" s="25" t="str">
        <f t="shared" si="23"/>
        <v>Friday</v>
      </c>
      <c r="KT5" s="25" t="str">
        <f t="shared" si="23"/>
        <v>Saturday</v>
      </c>
      <c r="KU5" s="25" t="str">
        <f t="shared" si="23"/>
        <v>Sunday</v>
      </c>
      <c r="KV5" s="25" t="str">
        <f t="shared" si="23"/>
        <v>Monday</v>
      </c>
      <c r="KW5" s="25" t="str">
        <f t="shared" si="23"/>
        <v>Tuesday</v>
      </c>
      <c r="KX5" s="25" t="str">
        <f t="shared" si="23"/>
        <v>Wednesday</v>
      </c>
      <c r="KY5" s="25" t="str">
        <f t="shared" si="23"/>
        <v>Thursday</v>
      </c>
      <c r="KZ5" s="25" t="str">
        <f t="shared" si="23"/>
        <v>Friday</v>
      </c>
      <c r="LA5" s="25" t="str">
        <f t="shared" si="23"/>
        <v>Saturday</v>
      </c>
      <c r="LB5" s="25" t="str">
        <f t="shared" si="23"/>
        <v>Sunday</v>
      </c>
      <c r="LC5" s="25" t="str">
        <f t="shared" si="23"/>
        <v>Monday</v>
      </c>
      <c r="LD5" s="25" t="str">
        <f t="shared" si="23"/>
        <v>Tuesday</v>
      </c>
      <c r="LE5" s="25" t="str">
        <f t="shared" si="23"/>
        <v>Wednesday</v>
      </c>
      <c r="LF5" s="25" t="str">
        <f t="shared" si="23"/>
        <v>Thursday</v>
      </c>
      <c r="LG5" s="25" t="str">
        <f t="shared" si="23"/>
        <v>Friday</v>
      </c>
      <c r="LH5" s="25" t="str">
        <f t="shared" si="23"/>
        <v>Saturday</v>
      </c>
      <c r="LI5" s="25" t="str">
        <f t="shared" si="23"/>
        <v>Sunday</v>
      </c>
      <c r="LJ5" s="25" t="str">
        <f t="shared" si="23"/>
        <v>Monday</v>
      </c>
      <c r="LK5" s="25" t="str">
        <f t="shared" si="23"/>
        <v>Tuesday</v>
      </c>
      <c r="LL5" s="25" t="str">
        <f t="shared" si="23"/>
        <v>Wednesday</v>
      </c>
      <c r="LM5" s="25" t="str">
        <f t="shared" ref="LM5:NC5" si="24">TEXT(LM4,"DDDD")</f>
        <v>Thursday</v>
      </c>
      <c r="LN5" s="25" t="str">
        <f t="shared" si="24"/>
        <v>Friday</v>
      </c>
      <c r="LO5" s="25" t="str">
        <f t="shared" si="24"/>
        <v>Saturday</v>
      </c>
      <c r="LP5" s="25" t="str">
        <f t="shared" si="24"/>
        <v>Sunday</v>
      </c>
      <c r="LQ5" s="25" t="str">
        <f t="shared" si="24"/>
        <v>Monday</v>
      </c>
      <c r="LR5" s="25" t="str">
        <f t="shared" si="24"/>
        <v>Tuesday</v>
      </c>
      <c r="LS5" s="25" t="str">
        <f t="shared" si="24"/>
        <v>Wednesday</v>
      </c>
      <c r="LT5" s="25" t="str">
        <f t="shared" si="24"/>
        <v>Thursday</v>
      </c>
      <c r="LU5" s="25" t="str">
        <f t="shared" si="24"/>
        <v>Friday</v>
      </c>
      <c r="LV5" s="25" t="str">
        <f t="shared" si="24"/>
        <v>Saturday</v>
      </c>
      <c r="LW5" s="25" t="str">
        <f t="shared" si="24"/>
        <v>Sunday</v>
      </c>
      <c r="LX5" s="25" t="str">
        <f t="shared" si="24"/>
        <v>Monday</v>
      </c>
      <c r="LY5" s="25" t="str">
        <f t="shared" si="24"/>
        <v>Tuesday</v>
      </c>
      <c r="LZ5" s="25" t="str">
        <f t="shared" si="24"/>
        <v>Wednesday</v>
      </c>
      <c r="MA5" s="25" t="str">
        <f t="shared" si="24"/>
        <v>Thursday</v>
      </c>
      <c r="MB5" s="25" t="str">
        <f t="shared" si="24"/>
        <v>Friday</v>
      </c>
      <c r="MC5" s="25" t="str">
        <f t="shared" si="24"/>
        <v>Saturday</v>
      </c>
      <c r="MD5" s="25" t="str">
        <f t="shared" si="24"/>
        <v>Sunday</v>
      </c>
      <c r="ME5" s="25" t="str">
        <f t="shared" si="24"/>
        <v>Monday</v>
      </c>
      <c r="MF5" s="25" t="str">
        <f t="shared" si="24"/>
        <v>Tuesday</v>
      </c>
      <c r="MG5" s="25" t="str">
        <f t="shared" si="24"/>
        <v>Wednesday</v>
      </c>
      <c r="MH5" s="25" t="str">
        <f t="shared" si="24"/>
        <v>Thursday</v>
      </c>
      <c r="MI5" s="25" t="str">
        <f t="shared" si="24"/>
        <v>Friday</v>
      </c>
      <c r="MJ5" s="25" t="str">
        <f t="shared" si="24"/>
        <v>Saturday</v>
      </c>
      <c r="MK5" s="25" t="str">
        <f t="shared" si="24"/>
        <v>Sunday</v>
      </c>
      <c r="ML5" s="25" t="str">
        <f t="shared" si="24"/>
        <v>Monday</v>
      </c>
      <c r="MM5" s="25" t="str">
        <f t="shared" si="24"/>
        <v>Tuesday</v>
      </c>
      <c r="MN5" s="25" t="str">
        <f t="shared" si="24"/>
        <v>Wednesday</v>
      </c>
      <c r="MO5" s="25" t="str">
        <f t="shared" si="24"/>
        <v>Thursday</v>
      </c>
      <c r="MP5" s="25" t="str">
        <f t="shared" si="24"/>
        <v>Friday</v>
      </c>
      <c r="MQ5" s="25" t="str">
        <f t="shared" si="24"/>
        <v>Saturday</v>
      </c>
      <c r="MR5" s="25" t="str">
        <f t="shared" si="24"/>
        <v>Sunday</v>
      </c>
      <c r="MS5" s="25" t="str">
        <f t="shared" si="24"/>
        <v>Monday</v>
      </c>
      <c r="MT5" s="25" t="str">
        <f t="shared" si="24"/>
        <v>Tuesday</v>
      </c>
      <c r="MU5" s="25" t="str">
        <f t="shared" si="24"/>
        <v>Wednesday</v>
      </c>
      <c r="MV5" s="25" t="str">
        <f t="shared" si="24"/>
        <v>Thursday</v>
      </c>
      <c r="MW5" s="25" t="str">
        <f t="shared" si="24"/>
        <v>Friday</v>
      </c>
      <c r="MX5" s="25" t="str">
        <f t="shared" si="24"/>
        <v>Saturday</v>
      </c>
      <c r="MY5" s="25" t="str">
        <f t="shared" si="24"/>
        <v>Sunday</v>
      </c>
      <c r="MZ5" s="25" t="str">
        <f t="shared" si="24"/>
        <v>Monday</v>
      </c>
      <c r="NA5" s="25" t="str">
        <f t="shared" si="24"/>
        <v>Tuesday</v>
      </c>
      <c r="NB5" s="25" t="str">
        <f t="shared" si="24"/>
        <v>Wednesday</v>
      </c>
      <c r="NC5" s="25" t="str">
        <f t="shared" si="24"/>
        <v>Thursday</v>
      </c>
    </row>
    <row r="6" spans="2:367">
      <c r="B6" s="20" t="s">
        <v>300</v>
      </c>
      <c r="C6" s="6">
        <v>0</v>
      </c>
      <c r="D6" s="6">
        <f>IF(SUMIFS('Locations Data'!$C:$C,'Locations Data'!$G:$G,$B6,'Locations Data'!$B:$B,D$5)&gt;0,1,0)</f>
        <v>1</v>
      </c>
      <c r="E6" s="6">
        <f>IF(SUMIFS('Locations Data'!$C:$C,'Locations Data'!$G:$G,$B6,'Locations Data'!$B:$B,E$5)&gt;0,1,0)</f>
        <v>1</v>
      </c>
      <c r="F6" s="6">
        <f>IF(SUMIFS('Locations Data'!$C:$C,'Locations Data'!$G:$G,$B6,'Locations Data'!$B:$B,F$5)&gt;0,1,0)</f>
        <v>0</v>
      </c>
      <c r="G6" s="6">
        <f>IF(SUMIFS('Locations Data'!$C:$C,'Locations Data'!$G:$G,$B6,'Locations Data'!$B:$B,G$5)&gt;0,1,0)</f>
        <v>1</v>
      </c>
      <c r="H6" s="6">
        <f>IF(SUMIFS('Locations Data'!$C:$C,'Locations Data'!$G:$G,$B6,'Locations Data'!$B:$B,H$5)&gt;0,1,0)</f>
        <v>1</v>
      </c>
      <c r="I6" s="6">
        <f>IF(SUMIFS('Locations Data'!$C:$C,'Locations Data'!$G:$G,$B6,'Locations Data'!$B:$B,I$5)&gt;0,1,0)</f>
        <v>1</v>
      </c>
      <c r="J6" s="6">
        <f>IF(SUMIFS('Locations Data'!$C:$C,'Locations Data'!$G:$G,$B6,'Locations Data'!$B:$B,J$5)&gt;0,1,0)</f>
        <v>1</v>
      </c>
      <c r="K6" s="6">
        <f>IF(SUMIFS('Locations Data'!$C:$C,'Locations Data'!$G:$G,$B6,'Locations Data'!$B:$B,K$5)&gt;0,1,0)</f>
        <v>1</v>
      </c>
      <c r="L6" s="6">
        <f>IF(SUMIFS('Locations Data'!$C:$C,'Locations Data'!$G:$G,$B6,'Locations Data'!$B:$B,L$5)&gt;0,1,0)</f>
        <v>1</v>
      </c>
      <c r="M6" s="6">
        <f>IF(SUMIFS('Locations Data'!$C:$C,'Locations Data'!$G:$G,$B6,'Locations Data'!$B:$B,M$5)&gt;0,1,0)</f>
        <v>0</v>
      </c>
      <c r="N6" s="6">
        <f>IF(SUMIFS('Locations Data'!$C:$C,'Locations Data'!$G:$G,$B6,'Locations Data'!$B:$B,N$5)&gt;0,1,0)</f>
        <v>1</v>
      </c>
      <c r="O6" s="6">
        <f>IF(SUMIFS('Locations Data'!$C:$C,'Locations Data'!$G:$G,$B6,'Locations Data'!$B:$B,O$5)&gt;0,1,0)</f>
        <v>1</v>
      </c>
      <c r="P6" s="6">
        <f>IF(SUMIFS('Locations Data'!$C:$C,'Locations Data'!$G:$G,$B6,'Locations Data'!$B:$B,P$5)&gt;0,1,0)</f>
        <v>1</v>
      </c>
      <c r="Q6" s="6">
        <f>IF(SUMIFS('Locations Data'!$C:$C,'Locations Data'!$G:$G,$B6,'Locations Data'!$B:$B,Q$5)&gt;0,1,0)</f>
        <v>1</v>
      </c>
      <c r="R6" s="6">
        <f>IF(SUMIFS('Locations Data'!$C:$C,'Locations Data'!$G:$G,$B6,'Locations Data'!$B:$B,R$5)&gt;0,1,0)</f>
        <v>1</v>
      </c>
      <c r="S6" s="6">
        <f>IF(SUMIFS('Locations Data'!$C:$C,'Locations Data'!$G:$G,$B6,'Locations Data'!$B:$B,S$5)&gt;0,1,0)</f>
        <v>1</v>
      </c>
      <c r="T6" s="6">
        <f>IF(SUMIFS('Locations Data'!$C:$C,'Locations Data'!$G:$G,$B6,'Locations Data'!$B:$B,T$5)&gt;0,1,0)</f>
        <v>0</v>
      </c>
      <c r="U6" s="6">
        <f>IF(SUMIFS('Locations Data'!$C:$C,'Locations Data'!$G:$G,$B6,'Locations Data'!$B:$B,U$5)&gt;0,1,0)</f>
        <v>1</v>
      </c>
      <c r="V6" s="6">
        <f>IF(SUMIFS('Locations Data'!$C:$C,'Locations Data'!$G:$G,$B6,'Locations Data'!$B:$B,V$5)&gt;0,1,0)</f>
        <v>1</v>
      </c>
      <c r="W6" s="6">
        <f>IF(SUMIFS('Locations Data'!$C:$C,'Locations Data'!$G:$G,$B6,'Locations Data'!$B:$B,W$5)&gt;0,1,0)</f>
        <v>1</v>
      </c>
      <c r="X6" s="6">
        <f>IF(SUMIFS('Locations Data'!$C:$C,'Locations Data'!$G:$G,$B6,'Locations Data'!$B:$B,X$5)&gt;0,1,0)</f>
        <v>1</v>
      </c>
      <c r="Y6" s="6">
        <f>IF(SUMIFS('Locations Data'!$C:$C,'Locations Data'!$G:$G,$B6,'Locations Data'!$B:$B,Y$5)&gt;0,1,0)</f>
        <v>1</v>
      </c>
      <c r="Z6" s="6">
        <f>IF(SUMIFS('Locations Data'!$C:$C,'Locations Data'!$G:$G,$B6,'Locations Data'!$B:$B,Z$5)&gt;0,1,0)</f>
        <v>1</v>
      </c>
      <c r="AA6" s="6">
        <f>IF(SUMIFS('Locations Data'!$C:$C,'Locations Data'!$G:$G,$B6,'Locations Data'!$B:$B,AA$5)&gt;0,1,0)</f>
        <v>0</v>
      </c>
      <c r="AB6" s="6">
        <f>IF(SUMIFS('Locations Data'!$C:$C,'Locations Data'!$G:$G,$B6,'Locations Data'!$B:$B,AB$5)&gt;0,1,0)</f>
        <v>1</v>
      </c>
      <c r="AC6" s="6">
        <f>IF(SUMIFS('Locations Data'!$C:$C,'Locations Data'!$G:$G,$B6,'Locations Data'!$B:$B,AC$5)&gt;0,1,0)</f>
        <v>1</v>
      </c>
      <c r="AD6" s="6">
        <f>IF(SUMIFS('Locations Data'!$C:$C,'Locations Data'!$G:$G,$B6,'Locations Data'!$B:$B,AD$5)&gt;0,1,0)</f>
        <v>1</v>
      </c>
      <c r="AE6" s="6">
        <f>IF(SUMIFS('Locations Data'!$C:$C,'Locations Data'!$G:$G,$B6,'Locations Data'!$B:$B,AE$5)&gt;0,1,0)</f>
        <v>1</v>
      </c>
      <c r="AF6" s="6">
        <f>IF(SUMIFS('Locations Data'!$C:$C,'Locations Data'!$G:$G,$B6,'Locations Data'!$B:$B,AF$5)&gt;0,1,0)</f>
        <v>1</v>
      </c>
      <c r="AG6" s="6">
        <f>IF(SUMIFS('Locations Data'!$C:$C,'Locations Data'!$G:$G,$B6,'Locations Data'!$B:$B,AG$5)&gt;0,1,0)</f>
        <v>1</v>
      </c>
      <c r="AH6" s="6">
        <f>IF(SUMIFS('Locations Data'!$C:$C,'Locations Data'!$G:$G,$B6,'Locations Data'!$B:$B,AH$5)&gt;0,1,0)</f>
        <v>0</v>
      </c>
      <c r="AI6" s="6">
        <f>IF(SUMIFS('Locations Data'!$C:$C,'Locations Data'!$G:$G,$B6,'Locations Data'!$B:$B,AI$5)&gt;0,1,0)</f>
        <v>1</v>
      </c>
      <c r="AJ6" s="6">
        <f>IF(SUMIFS('Locations Data'!$C:$C,'Locations Data'!$G:$G,$B6,'Locations Data'!$B:$B,AJ$5)&gt;0,1,0)</f>
        <v>1</v>
      </c>
      <c r="AK6" s="6">
        <f>IF(SUMIFS('Locations Data'!$C:$C,'Locations Data'!$G:$G,$B6,'Locations Data'!$B:$B,AK$5)&gt;0,1,0)</f>
        <v>1</v>
      </c>
      <c r="AL6" s="6">
        <f>IF(SUMIFS('Locations Data'!$C:$C,'Locations Data'!$G:$G,$B6,'Locations Data'!$B:$B,AL$5)&gt;0,1,0)</f>
        <v>1</v>
      </c>
      <c r="AM6" s="6">
        <f>IF(SUMIFS('Locations Data'!$C:$C,'Locations Data'!$G:$G,$B6,'Locations Data'!$B:$B,AM$5)&gt;0,1,0)</f>
        <v>1</v>
      </c>
      <c r="AN6" s="6">
        <f>IF(SUMIFS('Locations Data'!$C:$C,'Locations Data'!$G:$G,$B6,'Locations Data'!$B:$B,AN$5)&gt;0,1,0)</f>
        <v>1</v>
      </c>
      <c r="AO6" s="6">
        <f>IF(SUMIFS('Locations Data'!$C:$C,'Locations Data'!$G:$G,$B6,'Locations Data'!$B:$B,AO$5)&gt;0,1,0)</f>
        <v>0</v>
      </c>
      <c r="AP6" s="6">
        <f>IF(SUMIFS('Locations Data'!$C:$C,'Locations Data'!$G:$G,$B6,'Locations Data'!$B:$B,AP$5)&gt;0,1,0)</f>
        <v>1</v>
      </c>
      <c r="AQ6" s="6">
        <f>IF(SUMIFS('Locations Data'!$C:$C,'Locations Data'!$G:$G,$B6,'Locations Data'!$B:$B,AQ$5)&gt;0,1,0)</f>
        <v>1</v>
      </c>
      <c r="AR6" s="6">
        <f>IF(SUMIFS('Locations Data'!$C:$C,'Locations Data'!$G:$G,$B6,'Locations Data'!$B:$B,AR$5)&gt;0,1,0)</f>
        <v>1</v>
      </c>
      <c r="AS6" s="6">
        <f>IF(SUMIFS('Locations Data'!$C:$C,'Locations Data'!$G:$G,$B6,'Locations Data'!$B:$B,AS$5)&gt;0,1,0)</f>
        <v>1</v>
      </c>
      <c r="AT6" s="6">
        <f>IF(SUMIFS('Locations Data'!$C:$C,'Locations Data'!$G:$G,$B6,'Locations Data'!$B:$B,AT$5)&gt;0,1,0)</f>
        <v>1</v>
      </c>
      <c r="AU6" s="6">
        <f>IF(SUMIFS('Locations Data'!$C:$C,'Locations Data'!$G:$G,$B6,'Locations Data'!$B:$B,AU$5)&gt;0,1,0)</f>
        <v>1</v>
      </c>
      <c r="AV6" s="6">
        <f>IF(SUMIFS('Locations Data'!$C:$C,'Locations Data'!$G:$G,$B6,'Locations Data'!$B:$B,AV$5)&gt;0,1,0)</f>
        <v>0</v>
      </c>
      <c r="AW6" s="6">
        <f>IF(SUMIFS('Locations Data'!$C:$C,'Locations Data'!$G:$G,$B6,'Locations Data'!$B:$B,AW$5)&gt;0,1,0)</f>
        <v>1</v>
      </c>
      <c r="AX6" s="6">
        <f>IF(SUMIFS('Locations Data'!$C:$C,'Locations Data'!$G:$G,$B6,'Locations Data'!$B:$B,AX$5)&gt;0,1,0)</f>
        <v>1</v>
      </c>
      <c r="AY6" s="6">
        <f>IF(SUMIFS('Locations Data'!$C:$C,'Locations Data'!$G:$G,$B6,'Locations Data'!$B:$B,AY$5)&gt;0,1,0)</f>
        <v>1</v>
      </c>
      <c r="AZ6" s="6">
        <f>IF(SUMIFS('Locations Data'!$C:$C,'Locations Data'!$G:$G,$B6,'Locations Data'!$B:$B,AZ$5)&gt;0,1,0)</f>
        <v>1</v>
      </c>
      <c r="BA6" s="6">
        <f>IF(SUMIFS('Locations Data'!$C:$C,'Locations Data'!$G:$G,$B6,'Locations Data'!$B:$B,BA$5)&gt;0,1,0)</f>
        <v>1</v>
      </c>
      <c r="BB6" s="6">
        <f>IF(SUMIFS('Locations Data'!$C:$C,'Locations Data'!$G:$G,$B6,'Locations Data'!$B:$B,BB$5)&gt;0,1,0)</f>
        <v>1</v>
      </c>
      <c r="BC6" s="6">
        <f>IF(SUMIFS('Locations Data'!$C:$C,'Locations Data'!$G:$G,$B6,'Locations Data'!$B:$B,BC$5)&gt;0,1,0)</f>
        <v>0</v>
      </c>
      <c r="BD6" s="6">
        <f>IF(SUMIFS('Locations Data'!$C:$C,'Locations Data'!$G:$G,$B6,'Locations Data'!$B:$B,BD$5)&gt;0,1,0)</f>
        <v>1</v>
      </c>
      <c r="BE6" s="6">
        <f>IF(SUMIFS('Locations Data'!$C:$C,'Locations Data'!$G:$G,$B6,'Locations Data'!$B:$B,BE$5)&gt;0,1,0)</f>
        <v>1</v>
      </c>
      <c r="BF6" s="6">
        <f>IF(SUMIFS('Locations Data'!$C:$C,'Locations Data'!$G:$G,$B6,'Locations Data'!$B:$B,BF$5)&gt;0,1,0)</f>
        <v>1</v>
      </c>
      <c r="BG6" s="6">
        <f>IF(SUMIFS('Locations Data'!$C:$C,'Locations Data'!$G:$G,$B6,'Locations Data'!$B:$B,BG$5)&gt;0,1,0)</f>
        <v>1</v>
      </c>
      <c r="BH6" s="6">
        <f>IF(SUMIFS('Locations Data'!$C:$C,'Locations Data'!$G:$G,$B6,'Locations Data'!$B:$B,BH$5)&gt;0,1,0)</f>
        <v>1</v>
      </c>
      <c r="BI6" s="6">
        <f>IF(SUMIFS('Locations Data'!$C:$C,'Locations Data'!$G:$G,$B6,'Locations Data'!$B:$B,BI$5)&gt;0,1,0)</f>
        <v>1</v>
      </c>
      <c r="BJ6" s="6">
        <f>IF(SUMIFS('Locations Data'!$C:$C,'Locations Data'!$G:$G,$B6,'Locations Data'!$B:$B,BJ$5)&gt;0,1,0)</f>
        <v>0</v>
      </c>
      <c r="BK6" s="6">
        <f>IF(SUMIFS('Locations Data'!$C:$C,'Locations Data'!$G:$G,$B6,'Locations Data'!$B:$B,BK$5)&gt;0,1,0)</f>
        <v>1</v>
      </c>
      <c r="BL6" s="6">
        <f>IF(SUMIFS('Locations Data'!$C:$C,'Locations Data'!$G:$G,$B6,'Locations Data'!$B:$B,BL$5)&gt;0,1,0)</f>
        <v>1</v>
      </c>
      <c r="BM6" s="6">
        <f>IF(SUMIFS('Locations Data'!$C:$C,'Locations Data'!$G:$G,$B6,'Locations Data'!$B:$B,BM$5)&gt;0,1,0)</f>
        <v>1</v>
      </c>
      <c r="BN6" s="6">
        <f>IF(SUMIFS('Locations Data'!$C:$C,'Locations Data'!$G:$G,$B6,'Locations Data'!$B:$B,BN$5)&gt;0,1,0)</f>
        <v>1</v>
      </c>
      <c r="BO6" s="6">
        <f>IF(SUMIFS('Locations Data'!$C:$C,'Locations Data'!$G:$G,$B6,'Locations Data'!$B:$B,BO$5)&gt;0,1,0)</f>
        <v>1</v>
      </c>
      <c r="BP6" s="6">
        <f>IF(SUMIFS('Locations Data'!$C:$C,'Locations Data'!$G:$G,$B6,'Locations Data'!$B:$B,BP$5)&gt;0,1,0)</f>
        <v>1</v>
      </c>
      <c r="BQ6" s="6">
        <f>IF(SUMIFS('Locations Data'!$C:$C,'Locations Data'!$G:$G,$B6,'Locations Data'!$B:$B,BQ$5)&gt;0,1,0)</f>
        <v>0</v>
      </c>
      <c r="BR6" s="6">
        <f>IF(SUMIFS('Locations Data'!$C:$C,'Locations Data'!$G:$G,$B6,'Locations Data'!$B:$B,BR$5)&gt;0,1,0)</f>
        <v>1</v>
      </c>
      <c r="BS6" s="6">
        <f>IF(SUMIFS('Locations Data'!$C:$C,'Locations Data'!$G:$G,$B6,'Locations Data'!$B:$B,BS$5)&gt;0,1,0)</f>
        <v>1</v>
      </c>
      <c r="BT6" s="6">
        <f>IF(SUMIFS('Locations Data'!$C:$C,'Locations Data'!$G:$G,$B6,'Locations Data'!$B:$B,BT$5)&gt;0,1,0)</f>
        <v>1</v>
      </c>
      <c r="BU6" s="6">
        <f>IF(SUMIFS('Locations Data'!$C:$C,'Locations Data'!$G:$G,$B6,'Locations Data'!$B:$B,BU$5)&gt;0,1,0)</f>
        <v>1</v>
      </c>
      <c r="BV6" s="6">
        <f>IF(SUMIFS('Locations Data'!$C:$C,'Locations Data'!$G:$G,$B6,'Locations Data'!$B:$B,BV$5)&gt;0,1,0)</f>
        <v>1</v>
      </c>
      <c r="BW6" s="6">
        <f>IF(SUMIFS('Locations Data'!$C:$C,'Locations Data'!$G:$G,$B6,'Locations Data'!$B:$B,BW$5)&gt;0,1,0)</f>
        <v>1</v>
      </c>
      <c r="BX6" s="6">
        <f>IF(SUMIFS('Locations Data'!$C:$C,'Locations Data'!$G:$G,$B6,'Locations Data'!$B:$B,BX$5)&gt;0,1,0)</f>
        <v>0</v>
      </c>
      <c r="BY6" s="6">
        <f>IF(SUMIFS('Locations Data'!$C:$C,'Locations Data'!$G:$G,$B6,'Locations Data'!$B:$B,BY$5)&gt;0,1,0)</f>
        <v>1</v>
      </c>
      <c r="BZ6" s="6">
        <f>IF(SUMIFS('Locations Data'!$C:$C,'Locations Data'!$G:$G,$B6,'Locations Data'!$B:$B,BZ$5)&gt;0,1,0)</f>
        <v>1</v>
      </c>
      <c r="CA6" s="6">
        <f>IF(SUMIFS('Locations Data'!$C:$C,'Locations Data'!$G:$G,$B6,'Locations Data'!$B:$B,CA$5)&gt;0,1,0)</f>
        <v>1</v>
      </c>
      <c r="CB6" s="6">
        <f>IF(SUMIFS('Locations Data'!$C:$C,'Locations Data'!$G:$G,$B6,'Locations Data'!$B:$B,CB$5)&gt;0,1,0)</f>
        <v>1</v>
      </c>
      <c r="CC6" s="6">
        <f>IF(SUMIFS('Locations Data'!$C:$C,'Locations Data'!$G:$G,$B6,'Locations Data'!$B:$B,CC$5)&gt;0,1,0)</f>
        <v>1</v>
      </c>
      <c r="CD6" s="6">
        <f>IF(SUMIFS('Locations Data'!$C:$C,'Locations Data'!$G:$G,$B6,'Locations Data'!$B:$B,CD$5)&gt;0,1,0)</f>
        <v>1</v>
      </c>
      <c r="CE6" s="6">
        <f>IF(SUMIFS('Locations Data'!$C:$C,'Locations Data'!$G:$G,$B6,'Locations Data'!$B:$B,CE$5)&gt;0,1,0)</f>
        <v>0</v>
      </c>
      <c r="CF6" s="6">
        <f>IF(SUMIFS('Locations Data'!$C:$C,'Locations Data'!$G:$G,$B6,'Locations Data'!$B:$B,CF$5)&gt;0,1,0)</f>
        <v>1</v>
      </c>
      <c r="CG6" s="6">
        <f>IF(SUMIFS('Locations Data'!$C:$C,'Locations Data'!$G:$G,$B6,'Locations Data'!$B:$B,CG$5)&gt;0,1,0)</f>
        <v>1</v>
      </c>
      <c r="CH6" s="6">
        <f>IF(SUMIFS('Locations Data'!$C:$C,'Locations Data'!$G:$G,$B6,'Locations Data'!$B:$B,CH$5)&gt;0,1,0)</f>
        <v>1</v>
      </c>
      <c r="CI6" s="6">
        <f>IF(SUMIFS('Locations Data'!$C:$C,'Locations Data'!$G:$G,$B6,'Locations Data'!$B:$B,CI$5)&gt;0,1,0)</f>
        <v>1</v>
      </c>
      <c r="CJ6" s="6">
        <f>IF(SUMIFS('Locations Data'!$C:$C,'Locations Data'!$G:$G,$B6,'Locations Data'!$B:$B,CJ$5)&gt;0,1,0)</f>
        <v>1</v>
      </c>
      <c r="CK6" s="6">
        <f>IF(SUMIFS('Locations Data'!$C:$C,'Locations Data'!$G:$G,$B6,'Locations Data'!$B:$B,CK$5)&gt;0,1,0)</f>
        <v>1</v>
      </c>
      <c r="CL6" s="6">
        <f>IF(SUMIFS('Locations Data'!$C:$C,'Locations Data'!$G:$G,$B6,'Locations Data'!$B:$B,CL$5)&gt;0,1,0)</f>
        <v>0</v>
      </c>
      <c r="CM6" s="6">
        <f>IF(SUMIFS('Locations Data'!$C:$C,'Locations Data'!$G:$G,$B6,'Locations Data'!$B:$B,CM$5)&gt;0,1,0)</f>
        <v>1</v>
      </c>
      <c r="CN6" s="6">
        <f>IF(SUMIFS('Locations Data'!$C:$C,'Locations Data'!$G:$G,$B6,'Locations Data'!$B:$B,CN$5)&gt;0,1,0)</f>
        <v>1</v>
      </c>
      <c r="CO6" s="6">
        <f>IF(SUMIFS('Locations Data'!$C:$C,'Locations Data'!$G:$G,$B6,'Locations Data'!$B:$B,CO$5)&gt;0,1,0)</f>
        <v>1</v>
      </c>
      <c r="CP6" s="6">
        <f>IF(SUMIFS('Locations Data'!$C:$C,'Locations Data'!$G:$G,$B6,'Locations Data'!$B:$B,CP$5)&gt;0,1,0)</f>
        <v>1</v>
      </c>
      <c r="CQ6" s="6">
        <f>IF(SUMIFS('Locations Data'!$C:$C,'Locations Data'!$G:$G,$B6,'Locations Data'!$B:$B,CQ$5)&gt;0,1,0)</f>
        <v>1</v>
      </c>
      <c r="CR6" s="6">
        <f>IF(SUMIFS('Locations Data'!$C:$C,'Locations Data'!$G:$G,$B6,'Locations Data'!$B:$B,CR$5)&gt;0,1,0)</f>
        <v>1</v>
      </c>
      <c r="CS6" s="6">
        <f>IF(SUMIFS('Locations Data'!$C:$C,'Locations Data'!$G:$G,$B6,'Locations Data'!$B:$B,CS$5)&gt;0,1,0)</f>
        <v>0</v>
      </c>
      <c r="CT6" s="6">
        <f>IF(SUMIFS('Locations Data'!$C:$C,'Locations Data'!$G:$G,$B6,'Locations Data'!$B:$B,CT$5)&gt;0,1,0)</f>
        <v>1</v>
      </c>
      <c r="CU6" s="6">
        <f>IF(SUMIFS('Locations Data'!$C:$C,'Locations Data'!$G:$G,$B6,'Locations Data'!$B:$B,CU$5)&gt;0,1,0)</f>
        <v>1</v>
      </c>
      <c r="CV6" s="6">
        <f>IF(SUMIFS('Locations Data'!$C:$C,'Locations Data'!$G:$G,$B6,'Locations Data'!$B:$B,CV$5)&gt;0,1,0)</f>
        <v>1</v>
      </c>
      <c r="CW6" s="6">
        <f>IF(SUMIFS('Locations Data'!$C:$C,'Locations Data'!$G:$G,$B6,'Locations Data'!$B:$B,CW$5)&gt;0,1,0)</f>
        <v>1</v>
      </c>
      <c r="CX6" s="6">
        <f>IF(SUMIFS('Locations Data'!$C:$C,'Locations Data'!$G:$G,$B6,'Locations Data'!$B:$B,CX$5)&gt;0,1,0)</f>
        <v>1</v>
      </c>
      <c r="CY6" s="6">
        <f>IF(SUMIFS('Locations Data'!$C:$C,'Locations Data'!$G:$G,$B6,'Locations Data'!$B:$B,CY$5)&gt;0,1,0)</f>
        <v>1</v>
      </c>
      <c r="CZ6" s="6">
        <f>IF(SUMIFS('Locations Data'!$C:$C,'Locations Data'!$G:$G,$B6,'Locations Data'!$B:$B,CZ$5)&gt;0,1,0)</f>
        <v>0</v>
      </c>
      <c r="DA6" s="6">
        <f>IF(SUMIFS('Locations Data'!$C:$C,'Locations Data'!$G:$G,$B6,'Locations Data'!$B:$B,DA$5)&gt;0,1,0)</f>
        <v>1</v>
      </c>
      <c r="DB6" s="6">
        <f>IF(SUMIFS('Locations Data'!$C:$C,'Locations Data'!$G:$G,$B6,'Locations Data'!$B:$B,DB$5)&gt;0,1,0)</f>
        <v>1</v>
      </c>
      <c r="DC6" s="6">
        <f>IF(SUMIFS('Locations Data'!$C:$C,'Locations Data'!$G:$G,$B6,'Locations Data'!$B:$B,DC$5)&gt;0,1,0)</f>
        <v>1</v>
      </c>
      <c r="DD6" s="6">
        <f>IF(SUMIFS('Locations Data'!$C:$C,'Locations Data'!$G:$G,$B6,'Locations Data'!$B:$B,DD$5)&gt;0,1,0)</f>
        <v>1</v>
      </c>
      <c r="DE6" s="6">
        <f>IF(SUMIFS('Locations Data'!$C:$C,'Locations Data'!$G:$G,$B6,'Locations Data'!$B:$B,DE$5)&gt;0,1,0)</f>
        <v>1</v>
      </c>
      <c r="DF6" s="6">
        <f>IF(SUMIFS('Locations Data'!$C:$C,'Locations Data'!$G:$G,$B6,'Locations Data'!$B:$B,DF$5)&gt;0,1,0)</f>
        <v>1</v>
      </c>
      <c r="DG6" s="6">
        <f>IF(SUMIFS('Locations Data'!$C:$C,'Locations Data'!$G:$G,$B6,'Locations Data'!$B:$B,DG$5)&gt;0,1,0)</f>
        <v>0</v>
      </c>
      <c r="DH6" s="6">
        <f>IF(SUMIFS('Locations Data'!$C:$C,'Locations Data'!$G:$G,$B6,'Locations Data'!$B:$B,DH$5)&gt;0,1,0)</f>
        <v>1</v>
      </c>
      <c r="DI6" s="6">
        <f>IF(SUMIFS('Locations Data'!$C:$C,'Locations Data'!$G:$G,$B6,'Locations Data'!$B:$B,DI$5)&gt;0,1,0)</f>
        <v>1</v>
      </c>
      <c r="DJ6" s="6">
        <f>IF(SUMIFS('Locations Data'!$C:$C,'Locations Data'!$G:$G,$B6,'Locations Data'!$B:$B,DJ$5)&gt;0,1,0)</f>
        <v>1</v>
      </c>
      <c r="DK6" s="6">
        <f>IF(SUMIFS('Locations Data'!$C:$C,'Locations Data'!$G:$G,$B6,'Locations Data'!$B:$B,DK$5)&gt;0,1,0)</f>
        <v>1</v>
      </c>
      <c r="DL6" s="6">
        <f>IF(SUMIFS('Locations Data'!$C:$C,'Locations Data'!$G:$G,$B6,'Locations Data'!$B:$B,DL$5)&gt;0,1,0)</f>
        <v>1</v>
      </c>
      <c r="DM6" s="6">
        <f>IF(SUMIFS('Locations Data'!$C:$C,'Locations Data'!$G:$G,$B6,'Locations Data'!$B:$B,DM$5)&gt;0,1,0)</f>
        <v>1</v>
      </c>
      <c r="DN6" s="6">
        <f>IF(SUMIFS('Locations Data'!$C:$C,'Locations Data'!$G:$G,$B6,'Locations Data'!$B:$B,DN$5)&gt;0,1,0)</f>
        <v>0</v>
      </c>
      <c r="DO6" s="6">
        <f>IF(SUMIFS('Locations Data'!$C:$C,'Locations Data'!$G:$G,$B6,'Locations Data'!$B:$B,DO$5)&gt;0,1,0)</f>
        <v>1</v>
      </c>
      <c r="DP6" s="6">
        <f>IF(SUMIFS('Locations Data'!$C:$C,'Locations Data'!$G:$G,$B6,'Locations Data'!$B:$B,DP$5)&gt;0,1,0)</f>
        <v>1</v>
      </c>
      <c r="DQ6" s="6">
        <f>IF(SUMIFS('Locations Data'!$C:$C,'Locations Data'!$G:$G,$B6,'Locations Data'!$B:$B,DQ$5)&gt;0,1,0)</f>
        <v>1</v>
      </c>
      <c r="DR6" s="6">
        <f>IF(SUMIFS('Locations Data'!$C:$C,'Locations Data'!$G:$G,$B6,'Locations Data'!$B:$B,DR$5)&gt;0,1,0)</f>
        <v>1</v>
      </c>
      <c r="DS6" s="6">
        <f>IF(SUMIFS('Locations Data'!$C:$C,'Locations Data'!$G:$G,$B6,'Locations Data'!$B:$B,DS$5)&gt;0,1,0)</f>
        <v>1</v>
      </c>
      <c r="DT6" s="6">
        <f>IF(SUMIFS('Locations Data'!$C:$C,'Locations Data'!$G:$G,$B6,'Locations Data'!$B:$B,DT$5)&gt;0,1,0)</f>
        <v>1</v>
      </c>
      <c r="DU6" s="6">
        <f>IF(SUMIFS('Locations Data'!$C:$C,'Locations Data'!$G:$G,$B6,'Locations Data'!$B:$B,DU$5)&gt;0,1,0)</f>
        <v>0</v>
      </c>
      <c r="DV6" s="6">
        <f>IF(SUMIFS('Locations Data'!$C:$C,'Locations Data'!$G:$G,$B6,'Locations Data'!$B:$B,DV$5)&gt;0,1,0)</f>
        <v>1</v>
      </c>
      <c r="DW6" s="6">
        <f>IF(SUMIFS('Locations Data'!$C:$C,'Locations Data'!$G:$G,$B6,'Locations Data'!$B:$B,DW$5)&gt;0,1,0)</f>
        <v>1</v>
      </c>
      <c r="DX6" s="6">
        <f>IF(SUMIFS('Locations Data'!$C:$C,'Locations Data'!$G:$G,$B6,'Locations Data'!$B:$B,DX$5)&gt;0,1,0)</f>
        <v>1</v>
      </c>
      <c r="DY6" s="6">
        <f>IF(SUMIFS('Locations Data'!$C:$C,'Locations Data'!$G:$G,$B6,'Locations Data'!$B:$B,DY$5)&gt;0,1,0)</f>
        <v>1</v>
      </c>
      <c r="DZ6" s="6">
        <f>IF(SUMIFS('Locations Data'!$C:$C,'Locations Data'!$G:$G,$B6,'Locations Data'!$B:$B,DZ$5)&gt;0,1,0)</f>
        <v>1</v>
      </c>
      <c r="EA6" s="6">
        <f>IF(SUMIFS('Locations Data'!$C:$C,'Locations Data'!$G:$G,$B6,'Locations Data'!$B:$B,EA$5)&gt;0,1,0)</f>
        <v>1</v>
      </c>
      <c r="EB6" s="6">
        <f>IF(SUMIFS('Locations Data'!$C:$C,'Locations Data'!$G:$G,$B6,'Locations Data'!$B:$B,EB$5)&gt;0,1,0)</f>
        <v>0</v>
      </c>
      <c r="EC6" s="6">
        <f>IF(SUMIFS('Locations Data'!$C:$C,'Locations Data'!$G:$G,$B6,'Locations Data'!$B:$B,EC$5)&gt;0,1,0)</f>
        <v>1</v>
      </c>
      <c r="ED6" s="6">
        <f>IF(SUMIFS('Locations Data'!$C:$C,'Locations Data'!$G:$G,$B6,'Locations Data'!$B:$B,ED$5)&gt;0,1,0)</f>
        <v>1</v>
      </c>
      <c r="EE6" s="6">
        <f>IF(SUMIFS('Locations Data'!$C:$C,'Locations Data'!$G:$G,$B6,'Locations Data'!$B:$B,EE$5)&gt;0,1,0)</f>
        <v>1</v>
      </c>
      <c r="EF6" s="6">
        <f>IF(SUMIFS('Locations Data'!$C:$C,'Locations Data'!$G:$G,$B6,'Locations Data'!$B:$B,EF$5)&gt;0,1,0)</f>
        <v>1</v>
      </c>
      <c r="EG6" s="6">
        <f>IF(SUMIFS('Locations Data'!$C:$C,'Locations Data'!$G:$G,$B6,'Locations Data'!$B:$B,EG$5)&gt;0,1,0)</f>
        <v>1</v>
      </c>
      <c r="EH6" s="6">
        <f>IF(SUMIFS('Locations Data'!$C:$C,'Locations Data'!$G:$G,$B6,'Locations Data'!$B:$B,EH$5)&gt;0,1,0)</f>
        <v>1</v>
      </c>
      <c r="EI6" s="6">
        <f>IF(SUMIFS('Locations Data'!$C:$C,'Locations Data'!$G:$G,$B6,'Locations Data'!$B:$B,EI$5)&gt;0,1,0)</f>
        <v>0</v>
      </c>
      <c r="EJ6" s="6">
        <f>IF(SUMIFS('Locations Data'!$C:$C,'Locations Data'!$G:$G,$B6,'Locations Data'!$B:$B,EJ$5)&gt;0,1,0)</f>
        <v>1</v>
      </c>
      <c r="EK6" s="6">
        <f>IF(SUMIFS('Locations Data'!$C:$C,'Locations Data'!$G:$G,$B6,'Locations Data'!$B:$B,EK$5)&gt;0,1,0)</f>
        <v>1</v>
      </c>
      <c r="EL6" s="6">
        <f>IF(SUMIFS('Locations Data'!$C:$C,'Locations Data'!$G:$G,$B6,'Locations Data'!$B:$B,EL$5)&gt;0,1,0)</f>
        <v>1</v>
      </c>
      <c r="EM6" s="6">
        <f>IF(SUMIFS('Locations Data'!$C:$C,'Locations Data'!$G:$G,$B6,'Locations Data'!$B:$B,EM$5)&gt;0,1,0)</f>
        <v>1</v>
      </c>
      <c r="EN6" s="6">
        <f>IF(SUMIFS('Locations Data'!$C:$C,'Locations Data'!$G:$G,$B6,'Locations Data'!$B:$B,EN$5)&gt;0,1,0)</f>
        <v>1</v>
      </c>
      <c r="EO6" s="6">
        <f>IF(SUMIFS('Locations Data'!$C:$C,'Locations Data'!$G:$G,$B6,'Locations Data'!$B:$B,EO$5)&gt;0,1,0)</f>
        <v>1</v>
      </c>
      <c r="EP6" s="6">
        <f>IF(SUMIFS('Locations Data'!$C:$C,'Locations Data'!$G:$G,$B6,'Locations Data'!$B:$B,EP$5)&gt;0,1,0)</f>
        <v>0</v>
      </c>
      <c r="EQ6" s="6">
        <f>IF(SUMIFS('Locations Data'!$C:$C,'Locations Data'!$G:$G,$B6,'Locations Data'!$B:$B,EQ$5)&gt;0,1,0)</f>
        <v>1</v>
      </c>
      <c r="ER6" s="6">
        <f>IF(SUMIFS('Locations Data'!$C:$C,'Locations Data'!$G:$G,$B6,'Locations Data'!$B:$B,ER$5)&gt;0,1,0)</f>
        <v>1</v>
      </c>
      <c r="ES6" s="6">
        <f>IF(SUMIFS('Locations Data'!$C:$C,'Locations Data'!$G:$G,$B6,'Locations Data'!$B:$B,ES$5)&gt;0,1,0)</f>
        <v>1</v>
      </c>
      <c r="ET6" s="6">
        <f>IF(SUMIFS('Locations Data'!$C:$C,'Locations Data'!$G:$G,$B6,'Locations Data'!$B:$B,ET$5)&gt;0,1,0)</f>
        <v>1</v>
      </c>
      <c r="EU6" s="6">
        <f>IF(SUMIFS('Locations Data'!$C:$C,'Locations Data'!$G:$G,$B6,'Locations Data'!$B:$B,EU$5)&gt;0,1,0)</f>
        <v>1</v>
      </c>
      <c r="EV6" s="6">
        <f>IF(SUMIFS('Locations Data'!$C:$C,'Locations Data'!$G:$G,$B6,'Locations Data'!$B:$B,EV$5)&gt;0,1,0)</f>
        <v>1</v>
      </c>
      <c r="EW6" s="6">
        <f>IF(SUMIFS('Locations Data'!$C:$C,'Locations Data'!$G:$G,$B6,'Locations Data'!$B:$B,EW$5)&gt;0,1,0)</f>
        <v>0</v>
      </c>
      <c r="EX6" s="6">
        <f>IF(SUMIFS('Locations Data'!$C:$C,'Locations Data'!$G:$G,$B6,'Locations Data'!$B:$B,EX$5)&gt;0,1,0)</f>
        <v>1</v>
      </c>
      <c r="EY6" s="6">
        <f>IF(SUMIFS('Locations Data'!$C:$C,'Locations Data'!$G:$G,$B6,'Locations Data'!$B:$B,EY$5)&gt;0,1,0)</f>
        <v>1</v>
      </c>
      <c r="EZ6" s="6">
        <f>IF(SUMIFS('Locations Data'!$C:$C,'Locations Data'!$G:$G,$B6,'Locations Data'!$B:$B,EZ$5)&gt;0,1,0)</f>
        <v>1</v>
      </c>
      <c r="FA6" s="6">
        <f>IF(SUMIFS('Locations Data'!$C:$C,'Locations Data'!$G:$G,$B6,'Locations Data'!$B:$B,FA$5)&gt;0,1,0)</f>
        <v>1</v>
      </c>
      <c r="FB6" s="6">
        <f>IF(SUMIFS('Locations Data'!$C:$C,'Locations Data'!$G:$G,$B6,'Locations Data'!$B:$B,FB$5)&gt;0,1,0)</f>
        <v>1</v>
      </c>
      <c r="FC6" s="6">
        <f>IF(SUMIFS('Locations Data'!$C:$C,'Locations Data'!$G:$G,$B6,'Locations Data'!$B:$B,FC$5)&gt;0,1,0)</f>
        <v>1</v>
      </c>
      <c r="FD6" s="6">
        <f>IF(SUMIFS('Locations Data'!$C:$C,'Locations Data'!$G:$G,$B6,'Locations Data'!$B:$B,FD$5)&gt;0,1,0)</f>
        <v>0</v>
      </c>
      <c r="FE6" s="6">
        <f>IF(SUMIFS('Locations Data'!$C:$C,'Locations Data'!$G:$G,$B6,'Locations Data'!$B:$B,FE$5)&gt;0,1,0)</f>
        <v>1</v>
      </c>
      <c r="FF6" s="6">
        <f>IF(SUMIFS('Locations Data'!$C:$C,'Locations Data'!$G:$G,$B6,'Locations Data'!$B:$B,FF$5)&gt;0,1,0)</f>
        <v>1</v>
      </c>
      <c r="FG6" s="6">
        <f>IF(SUMIFS('Locations Data'!$C:$C,'Locations Data'!$G:$G,$B6,'Locations Data'!$B:$B,FG$5)&gt;0,1,0)</f>
        <v>1</v>
      </c>
      <c r="FH6" s="6">
        <f>IF(SUMIFS('Locations Data'!$C:$C,'Locations Data'!$G:$G,$B6,'Locations Data'!$B:$B,FH$5)&gt;0,1,0)</f>
        <v>1</v>
      </c>
      <c r="FI6" s="6">
        <f>IF(SUMIFS('Locations Data'!$C:$C,'Locations Data'!$G:$G,$B6,'Locations Data'!$B:$B,FI$5)&gt;0,1,0)</f>
        <v>1</v>
      </c>
      <c r="FJ6" s="6">
        <f>IF(SUMIFS('Locations Data'!$C:$C,'Locations Data'!$G:$G,$B6,'Locations Data'!$B:$B,FJ$5)&gt;0,1,0)</f>
        <v>1</v>
      </c>
      <c r="FK6" s="6">
        <f>IF(SUMIFS('Locations Data'!$C:$C,'Locations Data'!$G:$G,$B6,'Locations Data'!$B:$B,FK$5)&gt;0,1,0)</f>
        <v>0</v>
      </c>
      <c r="FL6" s="6">
        <f>IF(SUMIFS('Locations Data'!$C:$C,'Locations Data'!$G:$G,$B6,'Locations Data'!$B:$B,FL$5)&gt;0,1,0)</f>
        <v>1</v>
      </c>
      <c r="FM6" s="6">
        <f>IF(SUMIFS('Locations Data'!$C:$C,'Locations Data'!$G:$G,$B6,'Locations Data'!$B:$B,FM$5)&gt;0,1,0)</f>
        <v>1</v>
      </c>
      <c r="FN6" s="6">
        <f>IF(SUMIFS('Locations Data'!$C:$C,'Locations Data'!$G:$G,$B6,'Locations Data'!$B:$B,FN$5)&gt;0,1,0)</f>
        <v>1</v>
      </c>
      <c r="FO6" s="6">
        <f>IF(SUMIFS('Locations Data'!$C:$C,'Locations Data'!$G:$G,$B6,'Locations Data'!$B:$B,FO$5)&gt;0,1,0)</f>
        <v>1</v>
      </c>
      <c r="FP6" s="6">
        <f>IF(SUMIFS('Locations Data'!$C:$C,'Locations Data'!$G:$G,$B6,'Locations Data'!$B:$B,FP$5)&gt;0,1,0)</f>
        <v>1</v>
      </c>
      <c r="FQ6" s="6">
        <f>IF(SUMIFS('Locations Data'!$C:$C,'Locations Data'!$G:$G,$B6,'Locations Data'!$B:$B,FQ$5)&gt;0,1,0)</f>
        <v>1</v>
      </c>
      <c r="FR6" s="6">
        <f>IF(SUMIFS('Locations Data'!$C:$C,'Locations Data'!$G:$G,$B6,'Locations Data'!$B:$B,FR$5)&gt;0,1,0)</f>
        <v>0</v>
      </c>
      <c r="FS6" s="6">
        <f>IF(SUMIFS('Locations Data'!$C:$C,'Locations Data'!$G:$G,$B6,'Locations Data'!$B:$B,FS$5)&gt;0,1,0)</f>
        <v>1</v>
      </c>
      <c r="FT6" s="6">
        <f>IF(SUMIFS('Locations Data'!$C:$C,'Locations Data'!$G:$G,$B6,'Locations Data'!$B:$B,FT$5)&gt;0,1,0)</f>
        <v>1</v>
      </c>
      <c r="FU6" s="6">
        <f>IF(SUMIFS('Locations Data'!$C:$C,'Locations Data'!$G:$G,$B6,'Locations Data'!$B:$B,FU$5)&gt;0,1,0)</f>
        <v>1</v>
      </c>
      <c r="FV6" s="6">
        <f>IF(SUMIFS('Locations Data'!$C:$C,'Locations Data'!$G:$G,$B6,'Locations Data'!$B:$B,FV$5)&gt;0,1,0)</f>
        <v>1</v>
      </c>
      <c r="FW6" s="6">
        <f>IF(SUMIFS('Locations Data'!$C:$C,'Locations Data'!$G:$G,$B6,'Locations Data'!$B:$B,FW$5)&gt;0,1,0)</f>
        <v>1</v>
      </c>
      <c r="FX6" s="6">
        <f>IF(SUMIFS('Locations Data'!$C:$C,'Locations Data'!$G:$G,$B6,'Locations Data'!$B:$B,FX$5)&gt;0,1,0)</f>
        <v>1</v>
      </c>
      <c r="FY6" s="6">
        <f>IF(SUMIFS('Locations Data'!$C:$C,'Locations Data'!$G:$G,$B6,'Locations Data'!$B:$B,FY$5)&gt;0,1,0)</f>
        <v>0</v>
      </c>
      <c r="FZ6" s="6">
        <f>IF(SUMIFS('Locations Data'!$C:$C,'Locations Data'!$G:$G,$B6,'Locations Data'!$B:$B,FZ$5)&gt;0,1,0)</f>
        <v>1</v>
      </c>
      <c r="GA6" s="6">
        <f>IF(SUMIFS('Locations Data'!$C:$C,'Locations Data'!$G:$G,$B6,'Locations Data'!$B:$B,GA$5)&gt;0,1,0)</f>
        <v>1</v>
      </c>
      <c r="GB6" s="6">
        <f>IF(SUMIFS('Locations Data'!$C:$C,'Locations Data'!$G:$G,$B6,'Locations Data'!$B:$B,GB$5)&gt;0,1,0)</f>
        <v>1</v>
      </c>
      <c r="GC6" s="6">
        <f>IF(SUMIFS('Locations Data'!$C:$C,'Locations Data'!$G:$G,$B6,'Locations Data'!$B:$B,GC$5)&gt;0,1,0)</f>
        <v>1</v>
      </c>
      <c r="GD6" s="6">
        <f>IF(SUMIFS('Locations Data'!$C:$C,'Locations Data'!$G:$G,$B6,'Locations Data'!$B:$B,GD$5)&gt;0,1,0)</f>
        <v>1</v>
      </c>
      <c r="GE6" s="6">
        <f>IF(SUMIFS('Locations Data'!$C:$C,'Locations Data'!$G:$G,$B6,'Locations Data'!$B:$B,GE$5)&gt;0,1,0)</f>
        <v>1</v>
      </c>
      <c r="GF6" s="6">
        <f>IF(SUMIFS('Locations Data'!$C:$C,'Locations Data'!$G:$G,$B6,'Locations Data'!$B:$B,GF$5)&gt;0,1,0)</f>
        <v>0</v>
      </c>
      <c r="GG6" s="6">
        <f>IF(SUMIFS('Locations Data'!$C:$C,'Locations Data'!$G:$G,$B6,'Locations Data'!$B:$B,GG$5)&gt;0,1,0)</f>
        <v>1</v>
      </c>
      <c r="GH6" s="6">
        <f>IF(SUMIFS('Locations Data'!$C:$C,'Locations Data'!$G:$G,$B6,'Locations Data'!$B:$B,GH$5)&gt;0,1,0)</f>
        <v>1</v>
      </c>
      <c r="GI6" s="6">
        <f>IF(SUMIFS('Locations Data'!$C:$C,'Locations Data'!$G:$G,$B6,'Locations Data'!$B:$B,GI$5)&gt;0,1,0)</f>
        <v>1</v>
      </c>
      <c r="GJ6" s="6">
        <f>IF(SUMIFS('Locations Data'!$C:$C,'Locations Data'!$G:$G,$B6,'Locations Data'!$B:$B,GJ$5)&gt;0,1,0)</f>
        <v>1</v>
      </c>
      <c r="GK6" s="6">
        <f>IF(SUMIFS('Locations Data'!$C:$C,'Locations Data'!$G:$G,$B6,'Locations Data'!$B:$B,GK$5)&gt;0,1,0)</f>
        <v>1</v>
      </c>
      <c r="GL6" s="6">
        <f>IF(SUMIFS('Locations Data'!$C:$C,'Locations Data'!$G:$G,$B6,'Locations Data'!$B:$B,GL$5)&gt;0,1,0)</f>
        <v>1</v>
      </c>
      <c r="GM6" s="6">
        <f>IF(SUMIFS('Locations Data'!$C:$C,'Locations Data'!$G:$G,$B6,'Locations Data'!$B:$B,GM$5)&gt;0,1,0)</f>
        <v>0</v>
      </c>
      <c r="GN6" s="6">
        <f>IF(SUMIFS('Locations Data'!$C:$C,'Locations Data'!$G:$G,$B6,'Locations Data'!$B:$B,GN$5)&gt;0,1,0)</f>
        <v>1</v>
      </c>
      <c r="GO6" s="6">
        <f>IF(SUMIFS('Locations Data'!$C:$C,'Locations Data'!$G:$G,$B6,'Locations Data'!$B:$B,GO$5)&gt;0,1,0)</f>
        <v>1</v>
      </c>
      <c r="GP6" s="6">
        <f>IF(SUMIFS('Locations Data'!$C:$C,'Locations Data'!$G:$G,$B6,'Locations Data'!$B:$B,GP$5)&gt;0,1,0)</f>
        <v>1</v>
      </c>
      <c r="GQ6" s="6">
        <f>IF(SUMIFS('Locations Data'!$C:$C,'Locations Data'!$G:$G,$B6,'Locations Data'!$B:$B,GQ$5)&gt;0,1,0)</f>
        <v>1</v>
      </c>
      <c r="GR6" s="6">
        <f>IF(SUMIFS('Locations Data'!$C:$C,'Locations Data'!$G:$G,$B6,'Locations Data'!$B:$B,GR$5)&gt;0,1,0)</f>
        <v>1</v>
      </c>
      <c r="GS6" s="6">
        <f>IF(SUMIFS('Locations Data'!$C:$C,'Locations Data'!$G:$G,$B6,'Locations Data'!$B:$B,GS$5)&gt;0,1,0)</f>
        <v>1</v>
      </c>
      <c r="GT6" s="6">
        <f>IF(SUMIFS('Locations Data'!$C:$C,'Locations Data'!$G:$G,$B6,'Locations Data'!$B:$B,GT$5)&gt;0,1,0)</f>
        <v>0</v>
      </c>
      <c r="GU6" s="6">
        <f>IF(SUMIFS('Locations Data'!$C:$C,'Locations Data'!$G:$G,$B6,'Locations Data'!$B:$B,GU$5)&gt;0,1,0)</f>
        <v>1</v>
      </c>
      <c r="GV6" s="6">
        <f>IF(SUMIFS('Locations Data'!$C:$C,'Locations Data'!$G:$G,$B6,'Locations Data'!$B:$B,GV$5)&gt;0,1,0)</f>
        <v>1</v>
      </c>
      <c r="GW6" s="6">
        <f>IF(SUMIFS('Locations Data'!$C:$C,'Locations Data'!$G:$G,$B6,'Locations Data'!$B:$B,GW$5)&gt;0,1,0)</f>
        <v>1</v>
      </c>
      <c r="GX6" s="6">
        <f>IF(SUMIFS('Locations Data'!$C:$C,'Locations Data'!$G:$G,$B6,'Locations Data'!$B:$B,GX$5)&gt;0,1,0)</f>
        <v>1</v>
      </c>
      <c r="GY6" s="6">
        <f>IF(SUMIFS('Locations Data'!$C:$C,'Locations Data'!$G:$G,$B6,'Locations Data'!$B:$B,GY$5)&gt;0,1,0)</f>
        <v>1</v>
      </c>
      <c r="GZ6" s="6">
        <f>IF(SUMIFS('Locations Data'!$C:$C,'Locations Data'!$G:$G,$B6,'Locations Data'!$B:$B,GZ$5)&gt;0,1,0)</f>
        <v>1</v>
      </c>
      <c r="HA6" s="6">
        <f>IF(SUMIFS('Locations Data'!$C:$C,'Locations Data'!$G:$G,$B6,'Locations Data'!$B:$B,HA$5)&gt;0,1,0)</f>
        <v>0</v>
      </c>
      <c r="HB6" s="6">
        <f>IF(SUMIFS('Locations Data'!$C:$C,'Locations Data'!$G:$G,$B6,'Locations Data'!$B:$B,HB$5)&gt;0,1,0)</f>
        <v>1</v>
      </c>
      <c r="HC6" s="6">
        <f>IF(SUMIFS('Locations Data'!$C:$C,'Locations Data'!$G:$G,$B6,'Locations Data'!$B:$B,HC$5)&gt;0,1,0)</f>
        <v>1</v>
      </c>
      <c r="HD6" s="6">
        <f>IF(SUMIFS('Locations Data'!$C:$C,'Locations Data'!$G:$G,$B6,'Locations Data'!$B:$B,HD$5)&gt;0,1,0)</f>
        <v>1</v>
      </c>
      <c r="HE6" s="6">
        <f>IF(SUMIFS('Locations Data'!$C:$C,'Locations Data'!$G:$G,$B6,'Locations Data'!$B:$B,HE$5)&gt;0,1,0)</f>
        <v>1</v>
      </c>
      <c r="HF6" s="6">
        <f>IF(SUMIFS('Locations Data'!$C:$C,'Locations Data'!$G:$G,$B6,'Locations Data'!$B:$B,HF$5)&gt;0,1,0)</f>
        <v>1</v>
      </c>
      <c r="HG6" s="6">
        <f>IF(SUMIFS('Locations Data'!$C:$C,'Locations Data'!$G:$G,$B6,'Locations Data'!$B:$B,HG$5)&gt;0,1,0)</f>
        <v>1</v>
      </c>
      <c r="HH6" s="6">
        <f>IF(SUMIFS('Locations Data'!$C:$C,'Locations Data'!$G:$G,$B6,'Locations Data'!$B:$B,HH$5)&gt;0,1,0)</f>
        <v>0</v>
      </c>
      <c r="HI6" s="6">
        <f>IF(SUMIFS('Locations Data'!$C:$C,'Locations Data'!$G:$G,$B6,'Locations Data'!$B:$B,HI$5)&gt;0,1,0)</f>
        <v>1</v>
      </c>
      <c r="HJ6" s="6">
        <f>IF(SUMIFS('Locations Data'!$C:$C,'Locations Data'!$G:$G,$B6,'Locations Data'!$B:$B,HJ$5)&gt;0,1,0)</f>
        <v>1</v>
      </c>
      <c r="HK6" s="6">
        <f>IF(SUMIFS('Locations Data'!$C:$C,'Locations Data'!$G:$G,$B6,'Locations Data'!$B:$B,HK$5)&gt;0,1,0)</f>
        <v>1</v>
      </c>
      <c r="HL6" s="6">
        <f>IF(SUMIFS('Locations Data'!$C:$C,'Locations Data'!$G:$G,$B6,'Locations Data'!$B:$B,HL$5)&gt;0,1,0)</f>
        <v>1</v>
      </c>
      <c r="HM6" s="6">
        <f>IF(SUMIFS('Locations Data'!$C:$C,'Locations Data'!$G:$G,$B6,'Locations Data'!$B:$B,HM$5)&gt;0,1,0)</f>
        <v>1</v>
      </c>
      <c r="HN6" s="6">
        <f>IF(SUMIFS('Locations Data'!$C:$C,'Locations Data'!$G:$G,$B6,'Locations Data'!$B:$B,HN$5)&gt;0,1,0)</f>
        <v>1</v>
      </c>
      <c r="HO6" s="6">
        <f>IF(SUMIFS('Locations Data'!$C:$C,'Locations Data'!$G:$G,$B6,'Locations Data'!$B:$B,HO$5)&gt;0,1,0)</f>
        <v>0</v>
      </c>
      <c r="HP6" s="6">
        <f>IF(SUMIFS('Locations Data'!$C:$C,'Locations Data'!$G:$G,$B6,'Locations Data'!$B:$B,HP$5)&gt;0,1,0)</f>
        <v>1</v>
      </c>
      <c r="HQ6" s="6">
        <f>IF(SUMIFS('Locations Data'!$C:$C,'Locations Data'!$G:$G,$B6,'Locations Data'!$B:$B,HQ$5)&gt;0,1,0)</f>
        <v>1</v>
      </c>
      <c r="HR6" s="6">
        <f>IF(SUMIFS('Locations Data'!$C:$C,'Locations Data'!$G:$G,$B6,'Locations Data'!$B:$B,HR$5)&gt;0,1,0)</f>
        <v>1</v>
      </c>
      <c r="HS6" s="6">
        <f>IF(SUMIFS('Locations Data'!$C:$C,'Locations Data'!$G:$G,$B6,'Locations Data'!$B:$B,HS$5)&gt;0,1,0)</f>
        <v>1</v>
      </c>
      <c r="HT6" s="6">
        <f>IF(SUMIFS('Locations Data'!$C:$C,'Locations Data'!$G:$G,$B6,'Locations Data'!$B:$B,HT$5)&gt;0,1,0)</f>
        <v>1</v>
      </c>
      <c r="HU6" s="6">
        <f>IF(SUMIFS('Locations Data'!$C:$C,'Locations Data'!$G:$G,$B6,'Locations Data'!$B:$B,HU$5)&gt;0,1,0)</f>
        <v>1</v>
      </c>
      <c r="HV6" s="6">
        <f>IF(SUMIFS('Locations Data'!$C:$C,'Locations Data'!$G:$G,$B6,'Locations Data'!$B:$B,HV$5)&gt;0,1,0)</f>
        <v>0</v>
      </c>
      <c r="HW6" s="6">
        <f>IF(SUMIFS('Locations Data'!$C:$C,'Locations Data'!$G:$G,$B6,'Locations Data'!$B:$B,HW$5)&gt;0,1,0)</f>
        <v>1</v>
      </c>
      <c r="HX6" s="6">
        <f>IF(SUMIFS('Locations Data'!$C:$C,'Locations Data'!$G:$G,$B6,'Locations Data'!$B:$B,HX$5)&gt;0,1,0)</f>
        <v>1</v>
      </c>
      <c r="HY6" s="6">
        <f>IF(SUMIFS('Locations Data'!$C:$C,'Locations Data'!$G:$G,$B6,'Locations Data'!$B:$B,HY$5)&gt;0,1,0)</f>
        <v>1</v>
      </c>
      <c r="HZ6" s="6">
        <f>IF(SUMIFS('Locations Data'!$C:$C,'Locations Data'!$G:$G,$B6,'Locations Data'!$B:$B,HZ$5)&gt;0,1,0)</f>
        <v>1</v>
      </c>
      <c r="IA6" s="6">
        <f>IF(SUMIFS('Locations Data'!$C:$C,'Locations Data'!$G:$G,$B6,'Locations Data'!$B:$B,IA$5)&gt;0,1,0)</f>
        <v>1</v>
      </c>
      <c r="IB6" s="6">
        <f>IF(SUMIFS('Locations Data'!$C:$C,'Locations Data'!$G:$G,$B6,'Locations Data'!$B:$B,IB$5)&gt;0,1,0)</f>
        <v>1</v>
      </c>
      <c r="IC6" s="6">
        <f>IF(SUMIFS('Locations Data'!$C:$C,'Locations Data'!$G:$G,$B6,'Locations Data'!$B:$B,IC$5)&gt;0,1,0)</f>
        <v>0</v>
      </c>
      <c r="ID6" s="6">
        <f>IF(SUMIFS('Locations Data'!$C:$C,'Locations Data'!$G:$G,$B6,'Locations Data'!$B:$B,ID$5)&gt;0,1,0)</f>
        <v>1</v>
      </c>
      <c r="IE6" s="6">
        <f>IF(SUMIFS('Locations Data'!$C:$C,'Locations Data'!$G:$G,$B6,'Locations Data'!$B:$B,IE$5)&gt;0,1,0)</f>
        <v>1</v>
      </c>
      <c r="IF6" s="6">
        <f>IF(SUMIFS('Locations Data'!$C:$C,'Locations Data'!$G:$G,$B6,'Locations Data'!$B:$B,IF$5)&gt;0,1,0)</f>
        <v>1</v>
      </c>
      <c r="IG6" s="6">
        <f>IF(SUMIFS('Locations Data'!$C:$C,'Locations Data'!$G:$G,$B6,'Locations Data'!$B:$B,IG$5)&gt;0,1,0)</f>
        <v>1</v>
      </c>
      <c r="IH6" s="6">
        <f>IF(SUMIFS('Locations Data'!$C:$C,'Locations Data'!$G:$G,$B6,'Locations Data'!$B:$B,IH$5)&gt;0,1,0)</f>
        <v>1</v>
      </c>
      <c r="II6" s="6">
        <f>IF(SUMIFS('Locations Data'!$C:$C,'Locations Data'!$G:$G,$B6,'Locations Data'!$B:$B,II$5)&gt;0,1,0)</f>
        <v>1</v>
      </c>
      <c r="IJ6" s="6">
        <f>IF(SUMIFS('Locations Data'!$C:$C,'Locations Data'!$G:$G,$B6,'Locations Data'!$B:$B,IJ$5)&gt;0,1,0)</f>
        <v>0</v>
      </c>
      <c r="IK6" s="6">
        <f>IF(SUMIFS('Locations Data'!$C:$C,'Locations Data'!$G:$G,$B6,'Locations Data'!$B:$B,IK$5)&gt;0,1,0)</f>
        <v>1</v>
      </c>
      <c r="IL6" s="6">
        <f>IF(SUMIFS('Locations Data'!$C:$C,'Locations Data'!$G:$G,$B6,'Locations Data'!$B:$B,IL$5)&gt;0,1,0)</f>
        <v>1</v>
      </c>
      <c r="IM6" s="6">
        <f>IF(SUMIFS('Locations Data'!$C:$C,'Locations Data'!$G:$G,$B6,'Locations Data'!$B:$B,IM$5)&gt;0,1,0)</f>
        <v>1</v>
      </c>
      <c r="IN6" s="6">
        <f>IF(SUMIFS('Locations Data'!$C:$C,'Locations Data'!$G:$G,$B6,'Locations Data'!$B:$B,IN$5)&gt;0,1,0)</f>
        <v>1</v>
      </c>
      <c r="IO6" s="6">
        <f>IF(SUMIFS('Locations Data'!$C:$C,'Locations Data'!$G:$G,$B6,'Locations Data'!$B:$B,IO$5)&gt;0,1,0)</f>
        <v>1</v>
      </c>
      <c r="IP6" s="6">
        <f>IF(SUMIFS('Locations Data'!$C:$C,'Locations Data'!$G:$G,$B6,'Locations Data'!$B:$B,IP$5)&gt;0,1,0)</f>
        <v>1</v>
      </c>
      <c r="IQ6" s="6">
        <f>IF(SUMIFS('Locations Data'!$C:$C,'Locations Data'!$G:$G,$B6,'Locations Data'!$B:$B,IQ$5)&gt;0,1,0)</f>
        <v>0</v>
      </c>
      <c r="IR6" s="6">
        <f>IF(SUMIFS('Locations Data'!$C:$C,'Locations Data'!$G:$G,$B6,'Locations Data'!$B:$B,IR$5)&gt;0,1,0)</f>
        <v>1</v>
      </c>
      <c r="IS6" s="6">
        <f>IF(SUMIFS('Locations Data'!$C:$C,'Locations Data'!$G:$G,$B6,'Locations Data'!$B:$B,IS$5)&gt;0,1,0)</f>
        <v>1</v>
      </c>
      <c r="IT6" s="6">
        <f>IF(SUMIFS('Locations Data'!$C:$C,'Locations Data'!$G:$G,$B6,'Locations Data'!$B:$B,IT$5)&gt;0,1,0)</f>
        <v>1</v>
      </c>
      <c r="IU6" s="6">
        <f>IF(SUMIFS('Locations Data'!$C:$C,'Locations Data'!$G:$G,$B6,'Locations Data'!$B:$B,IU$5)&gt;0,1,0)</f>
        <v>1</v>
      </c>
      <c r="IV6" s="6">
        <f>IF(SUMIFS('Locations Data'!$C:$C,'Locations Data'!$G:$G,$B6,'Locations Data'!$B:$B,IV$5)&gt;0,1,0)</f>
        <v>1</v>
      </c>
      <c r="IW6" s="6">
        <f>IF(SUMIFS('Locations Data'!$C:$C,'Locations Data'!$G:$G,$B6,'Locations Data'!$B:$B,IW$5)&gt;0,1,0)</f>
        <v>1</v>
      </c>
      <c r="IX6" s="6">
        <f>IF(SUMIFS('Locations Data'!$C:$C,'Locations Data'!$G:$G,$B6,'Locations Data'!$B:$B,IX$5)&gt;0,1,0)</f>
        <v>0</v>
      </c>
      <c r="IY6" s="6">
        <f>IF(SUMIFS('Locations Data'!$C:$C,'Locations Data'!$G:$G,$B6,'Locations Data'!$B:$B,IY$5)&gt;0,1,0)</f>
        <v>1</v>
      </c>
      <c r="IZ6" s="6">
        <f>IF(SUMIFS('Locations Data'!$C:$C,'Locations Data'!$G:$G,$B6,'Locations Data'!$B:$B,IZ$5)&gt;0,1,0)</f>
        <v>1</v>
      </c>
      <c r="JA6" s="6">
        <f>IF(SUMIFS('Locations Data'!$C:$C,'Locations Data'!$G:$G,$B6,'Locations Data'!$B:$B,JA$5)&gt;0,1,0)</f>
        <v>1</v>
      </c>
      <c r="JB6" s="6">
        <f>IF(SUMIFS('Locations Data'!$C:$C,'Locations Data'!$G:$G,$B6,'Locations Data'!$B:$B,JB$5)&gt;0,1,0)</f>
        <v>1</v>
      </c>
      <c r="JC6" s="6">
        <f>IF(SUMIFS('Locations Data'!$C:$C,'Locations Data'!$G:$G,$B6,'Locations Data'!$B:$B,JC$5)&gt;0,1,0)</f>
        <v>1</v>
      </c>
      <c r="JD6" s="6">
        <f>IF(SUMIFS('Locations Data'!$C:$C,'Locations Data'!$G:$G,$B6,'Locations Data'!$B:$B,JD$5)&gt;0,1,0)</f>
        <v>1</v>
      </c>
      <c r="JE6" s="6">
        <f>IF(SUMIFS('Locations Data'!$C:$C,'Locations Data'!$G:$G,$B6,'Locations Data'!$B:$B,JE$5)&gt;0,1,0)</f>
        <v>0</v>
      </c>
      <c r="JF6" s="6">
        <f>IF(SUMIFS('Locations Data'!$C:$C,'Locations Data'!$G:$G,$B6,'Locations Data'!$B:$B,JF$5)&gt;0,1,0)</f>
        <v>1</v>
      </c>
      <c r="JG6" s="6">
        <f>IF(SUMIFS('Locations Data'!$C:$C,'Locations Data'!$G:$G,$B6,'Locations Data'!$B:$B,JG$5)&gt;0,1,0)</f>
        <v>1</v>
      </c>
      <c r="JH6" s="6">
        <f>IF(SUMIFS('Locations Data'!$C:$C,'Locations Data'!$G:$G,$B6,'Locations Data'!$B:$B,JH$5)&gt;0,1,0)</f>
        <v>1</v>
      </c>
      <c r="JI6" s="6">
        <f>IF(SUMIFS('Locations Data'!$C:$C,'Locations Data'!$G:$G,$B6,'Locations Data'!$B:$B,JI$5)&gt;0,1,0)</f>
        <v>1</v>
      </c>
      <c r="JJ6" s="6">
        <f>IF(SUMIFS('Locations Data'!$C:$C,'Locations Data'!$G:$G,$B6,'Locations Data'!$B:$B,JJ$5)&gt;0,1,0)</f>
        <v>1</v>
      </c>
      <c r="JK6" s="6">
        <f>IF(SUMIFS('Locations Data'!$C:$C,'Locations Data'!$G:$G,$B6,'Locations Data'!$B:$B,JK$5)&gt;0,1,0)</f>
        <v>1</v>
      </c>
      <c r="JL6" s="6">
        <f>IF(SUMIFS('Locations Data'!$C:$C,'Locations Data'!$G:$G,$B6,'Locations Data'!$B:$B,JL$5)&gt;0,1,0)</f>
        <v>0</v>
      </c>
      <c r="JM6" s="6">
        <f>IF(SUMIFS('Locations Data'!$C:$C,'Locations Data'!$G:$G,$B6,'Locations Data'!$B:$B,JM$5)&gt;0,1,0)</f>
        <v>1</v>
      </c>
      <c r="JN6" s="6">
        <f>IF(SUMIFS('Locations Data'!$C:$C,'Locations Data'!$G:$G,$B6,'Locations Data'!$B:$B,JN$5)&gt;0,1,0)</f>
        <v>1</v>
      </c>
      <c r="JO6" s="6">
        <f>IF(SUMIFS('Locations Data'!$C:$C,'Locations Data'!$G:$G,$B6,'Locations Data'!$B:$B,JO$5)&gt;0,1,0)</f>
        <v>1</v>
      </c>
      <c r="JP6" s="6">
        <f>IF(SUMIFS('Locations Data'!$C:$C,'Locations Data'!$G:$G,$B6,'Locations Data'!$B:$B,JP$5)&gt;0,1,0)</f>
        <v>1</v>
      </c>
      <c r="JQ6" s="6">
        <f>IF(SUMIFS('Locations Data'!$C:$C,'Locations Data'!$G:$G,$B6,'Locations Data'!$B:$B,JQ$5)&gt;0,1,0)</f>
        <v>1</v>
      </c>
      <c r="JR6" s="6">
        <f>IF(SUMIFS('Locations Data'!$C:$C,'Locations Data'!$G:$G,$B6,'Locations Data'!$B:$B,JR$5)&gt;0,1,0)</f>
        <v>1</v>
      </c>
      <c r="JS6" s="6">
        <f>IF(SUMIFS('Locations Data'!$C:$C,'Locations Data'!$G:$G,$B6,'Locations Data'!$B:$B,JS$5)&gt;0,1,0)</f>
        <v>0</v>
      </c>
      <c r="JT6" s="6">
        <f>IF(SUMIFS('Locations Data'!$C:$C,'Locations Data'!$G:$G,$B6,'Locations Data'!$B:$B,JT$5)&gt;0,1,0)</f>
        <v>1</v>
      </c>
      <c r="JU6" s="6">
        <f>IF(SUMIFS('Locations Data'!$C:$C,'Locations Data'!$G:$G,$B6,'Locations Data'!$B:$B,JU$5)&gt;0,1,0)</f>
        <v>1</v>
      </c>
      <c r="JV6" s="6">
        <f>IF(SUMIFS('Locations Data'!$C:$C,'Locations Data'!$G:$G,$B6,'Locations Data'!$B:$B,JV$5)&gt;0,1,0)</f>
        <v>1</v>
      </c>
      <c r="JW6" s="6">
        <f>IF(SUMIFS('Locations Data'!$C:$C,'Locations Data'!$G:$G,$B6,'Locations Data'!$B:$B,JW$5)&gt;0,1,0)</f>
        <v>1</v>
      </c>
      <c r="JX6" s="6">
        <f>IF(SUMIFS('Locations Data'!$C:$C,'Locations Data'!$G:$G,$B6,'Locations Data'!$B:$B,JX$5)&gt;0,1,0)</f>
        <v>1</v>
      </c>
      <c r="JY6" s="6">
        <f>IF(SUMIFS('Locations Data'!$C:$C,'Locations Data'!$G:$G,$B6,'Locations Data'!$B:$B,JY$5)&gt;0,1,0)</f>
        <v>1</v>
      </c>
      <c r="JZ6" s="6">
        <f>IF(SUMIFS('Locations Data'!$C:$C,'Locations Data'!$G:$G,$B6,'Locations Data'!$B:$B,JZ$5)&gt;0,1,0)</f>
        <v>0</v>
      </c>
      <c r="KA6" s="6">
        <f>IF(SUMIFS('Locations Data'!$C:$C,'Locations Data'!$G:$G,$B6,'Locations Data'!$B:$B,KA$5)&gt;0,1,0)</f>
        <v>1</v>
      </c>
      <c r="KB6" s="6">
        <f>IF(SUMIFS('Locations Data'!$C:$C,'Locations Data'!$G:$G,$B6,'Locations Data'!$B:$B,KB$5)&gt;0,1,0)</f>
        <v>1</v>
      </c>
      <c r="KC6" s="6">
        <f>IF(SUMIFS('Locations Data'!$C:$C,'Locations Data'!$G:$G,$B6,'Locations Data'!$B:$B,KC$5)&gt;0,1,0)</f>
        <v>1</v>
      </c>
      <c r="KD6" s="6">
        <f>IF(SUMIFS('Locations Data'!$C:$C,'Locations Data'!$G:$G,$B6,'Locations Data'!$B:$B,KD$5)&gt;0,1,0)</f>
        <v>1</v>
      </c>
      <c r="KE6" s="6">
        <f>IF(SUMIFS('Locations Data'!$C:$C,'Locations Data'!$G:$G,$B6,'Locations Data'!$B:$B,KE$5)&gt;0,1,0)</f>
        <v>1</v>
      </c>
      <c r="KF6" s="6">
        <f>IF(SUMIFS('Locations Data'!$C:$C,'Locations Data'!$G:$G,$B6,'Locations Data'!$B:$B,KF$5)&gt;0,1,0)</f>
        <v>1</v>
      </c>
      <c r="KG6" s="6">
        <f>IF(SUMIFS('Locations Data'!$C:$C,'Locations Data'!$G:$G,$B6,'Locations Data'!$B:$B,KG$5)&gt;0,1,0)</f>
        <v>0</v>
      </c>
      <c r="KH6" s="6">
        <f>IF(SUMIFS('Locations Data'!$C:$C,'Locations Data'!$G:$G,$B6,'Locations Data'!$B:$B,KH$5)&gt;0,1,0)</f>
        <v>1</v>
      </c>
      <c r="KI6" s="6">
        <f>IF(SUMIFS('Locations Data'!$C:$C,'Locations Data'!$G:$G,$B6,'Locations Data'!$B:$B,KI$5)&gt;0,1,0)</f>
        <v>1</v>
      </c>
      <c r="KJ6" s="6">
        <f>IF(SUMIFS('Locations Data'!$C:$C,'Locations Data'!$G:$G,$B6,'Locations Data'!$B:$B,KJ$5)&gt;0,1,0)</f>
        <v>1</v>
      </c>
      <c r="KK6" s="6">
        <f>IF(SUMIFS('Locations Data'!$C:$C,'Locations Data'!$G:$G,$B6,'Locations Data'!$B:$B,KK$5)&gt;0,1,0)</f>
        <v>1</v>
      </c>
      <c r="KL6" s="6">
        <f>IF(SUMIFS('Locations Data'!$C:$C,'Locations Data'!$G:$G,$B6,'Locations Data'!$B:$B,KL$5)&gt;0,1,0)</f>
        <v>1</v>
      </c>
      <c r="KM6" s="6">
        <f>IF(SUMIFS('Locations Data'!$C:$C,'Locations Data'!$G:$G,$B6,'Locations Data'!$B:$B,KM$5)&gt;0,1,0)</f>
        <v>1</v>
      </c>
      <c r="KN6" s="6">
        <f>IF(SUMIFS('Locations Data'!$C:$C,'Locations Data'!$G:$G,$B6,'Locations Data'!$B:$B,KN$5)&gt;0,1,0)</f>
        <v>0</v>
      </c>
      <c r="KO6" s="6">
        <f>IF(SUMIFS('Locations Data'!$C:$C,'Locations Data'!$G:$G,$B6,'Locations Data'!$B:$B,KO$5)&gt;0,1,0)</f>
        <v>1</v>
      </c>
      <c r="KP6" s="6">
        <f>IF(SUMIFS('Locations Data'!$C:$C,'Locations Data'!$G:$G,$B6,'Locations Data'!$B:$B,KP$5)&gt;0,1,0)</f>
        <v>1</v>
      </c>
      <c r="KQ6" s="6">
        <f>IF(SUMIFS('Locations Data'!$C:$C,'Locations Data'!$G:$G,$B6,'Locations Data'!$B:$B,KQ$5)&gt;0,1,0)</f>
        <v>1</v>
      </c>
      <c r="KR6" s="6">
        <f>IF(SUMIFS('Locations Data'!$C:$C,'Locations Data'!$G:$G,$B6,'Locations Data'!$B:$B,KR$5)&gt;0,1,0)</f>
        <v>1</v>
      </c>
      <c r="KS6" s="6">
        <f>IF(SUMIFS('Locations Data'!$C:$C,'Locations Data'!$G:$G,$B6,'Locations Data'!$B:$B,KS$5)&gt;0,1,0)</f>
        <v>1</v>
      </c>
      <c r="KT6" s="6">
        <f>IF(SUMIFS('Locations Data'!$C:$C,'Locations Data'!$G:$G,$B6,'Locations Data'!$B:$B,KT$5)&gt;0,1,0)</f>
        <v>1</v>
      </c>
      <c r="KU6" s="6">
        <f>IF(SUMIFS('Locations Data'!$C:$C,'Locations Data'!$G:$G,$B6,'Locations Data'!$B:$B,KU$5)&gt;0,1,0)</f>
        <v>0</v>
      </c>
      <c r="KV6" s="6">
        <f>IF(SUMIFS('Locations Data'!$C:$C,'Locations Data'!$G:$G,$B6,'Locations Data'!$B:$B,KV$5)&gt;0,1,0)</f>
        <v>1</v>
      </c>
      <c r="KW6" s="6">
        <f>IF(SUMIFS('Locations Data'!$C:$C,'Locations Data'!$G:$G,$B6,'Locations Data'!$B:$B,KW$5)&gt;0,1,0)</f>
        <v>1</v>
      </c>
      <c r="KX6" s="6">
        <f>IF(SUMIFS('Locations Data'!$C:$C,'Locations Data'!$G:$G,$B6,'Locations Data'!$B:$B,KX$5)&gt;0,1,0)</f>
        <v>1</v>
      </c>
      <c r="KY6" s="6">
        <f>IF(SUMIFS('Locations Data'!$C:$C,'Locations Data'!$G:$G,$B6,'Locations Data'!$B:$B,KY$5)&gt;0,1,0)</f>
        <v>1</v>
      </c>
      <c r="KZ6" s="6">
        <f>IF(SUMIFS('Locations Data'!$C:$C,'Locations Data'!$G:$G,$B6,'Locations Data'!$B:$B,KZ$5)&gt;0,1,0)</f>
        <v>1</v>
      </c>
      <c r="LA6" s="6">
        <f>IF(SUMIFS('Locations Data'!$C:$C,'Locations Data'!$G:$G,$B6,'Locations Data'!$B:$B,LA$5)&gt;0,1,0)</f>
        <v>1</v>
      </c>
      <c r="LB6" s="6">
        <f>IF(SUMIFS('Locations Data'!$C:$C,'Locations Data'!$G:$G,$B6,'Locations Data'!$B:$B,LB$5)&gt;0,1,0)</f>
        <v>0</v>
      </c>
      <c r="LC6" s="6">
        <f>IF(SUMIFS('Locations Data'!$C:$C,'Locations Data'!$G:$G,$B6,'Locations Data'!$B:$B,LC$5)&gt;0,1,0)</f>
        <v>1</v>
      </c>
      <c r="LD6" s="6">
        <f>IF(SUMIFS('Locations Data'!$C:$C,'Locations Data'!$G:$G,$B6,'Locations Data'!$B:$B,LD$5)&gt;0,1,0)</f>
        <v>1</v>
      </c>
      <c r="LE6" s="6">
        <f>IF(SUMIFS('Locations Data'!$C:$C,'Locations Data'!$G:$G,$B6,'Locations Data'!$B:$B,LE$5)&gt;0,1,0)</f>
        <v>1</v>
      </c>
      <c r="LF6" s="6">
        <f>IF(SUMIFS('Locations Data'!$C:$C,'Locations Data'!$G:$G,$B6,'Locations Data'!$B:$B,LF$5)&gt;0,1,0)</f>
        <v>1</v>
      </c>
      <c r="LG6" s="6">
        <f>IF(SUMIFS('Locations Data'!$C:$C,'Locations Data'!$G:$G,$B6,'Locations Data'!$B:$B,LG$5)&gt;0,1,0)</f>
        <v>1</v>
      </c>
      <c r="LH6" s="6">
        <f>IF(SUMIFS('Locations Data'!$C:$C,'Locations Data'!$G:$G,$B6,'Locations Data'!$B:$B,LH$5)&gt;0,1,0)</f>
        <v>1</v>
      </c>
      <c r="LI6" s="6">
        <f>IF(SUMIFS('Locations Data'!$C:$C,'Locations Data'!$G:$G,$B6,'Locations Data'!$B:$B,LI$5)&gt;0,1,0)</f>
        <v>0</v>
      </c>
      <c r="LJ6" s="6">
        <f>IF(SUMIFS('Locations Data'!$C:$C,'Locations Data'!$G:$G,$B6,'Locations Data'!$B:$B,LJ$5)&gt;0,1,0)</f>
        <v>1</v>
      </c>
      <c r="LK6" s="6">
        <f>IF(SUMIFS('Locations Data'!$C:$C,'Locations Data'!$G:$G,$B6,'Locations Data'!$B:$B,LK$5)&gt;0,1,0)</f>
        <v>1</v>
      </c>
      <c r="LL6" s="6">
        <f>IF(SUMIFS('Locations Data'!$C:$C,'Locations Data'!$G:$G,$B6,'Locations Data'!$B:$B,LL$5)&gt;0,1,0)</f>
        <v>1</v>
      </c>
      <c r="LM6" s="6">
        <f>IF(SUMIFS('Locations Data'!$C:$C,'Locations Data'!$G:$G,$B6,'Locations Data'!$B:$B,LM$5)&gt;0,1,0)</f>
        <v>1</v>
      </c>
      <c r="LN6" s="6">
        <f>IF(SUMIFS('Locations Data'!$C:$C,'Locations Data'!$G:$G,$B6,'Locations Data'!$B:$B,LN$5)&gt;0,1,0)</f>
        <v>1</v>
      </c>
      <c r="LO6" s="6">
        <f>IF(SUMIFS('Locations Data'!$C:$C,'Locations Data'!$G:$G,$B6,'Locations Data'!$B:$B,LO$5)&gt;0,1,0)</f>
        <v>1</v>
      </c>
      <c r="LP6" s="6">
        <f>IF(SUMIFS('Locations Data'!$C:$C,'Locations Data'!$G:$G,$B6,'Locations Data'!$B:$B,LP$5)&gt;0,1,0)</f>
        <v>0</v>
      </c>
      <c r="LQ6" s="6">
        <f>IF(SUMIFS('Locations Data'!$C:$C,'Locations Data'!$G:$G,$B6,'Locations Data'!$B:$B,LQ$5)&gt;0,1,0)</f>
        <v>1</v>
      </c>
      <c r="LR6" s="6">
        <f>IF(SUMIFS('Locations Data'!$C:$C,'Locations Data'!$G:$G,$B6,'Locations Data'!$B:$B,LR$5)&gt;0,1,0)</f>
        <v>1</v>
      </c>
      <c r="LS6" s="6">
        <f>IF(SUMIFS('Locations Data'!$C:$C,'Locations Data'!$G:$G,$B6,'Locations Data'!$B:$B,LS$5)&gt;0,1,0)</f>
        <v>1</v>
      </c>
      <c r="LT6" s="6">
        <f>IF(SUMIFS('Locations Data'!$C:$C,'Locations Data'!$G:$G,$B6,'Locations Data'!$B:$B,LT$5)&gt;0,1,0)</f>
        <v>1</v>
      </c>
      <c r="LU6" s="6">
        <f>IF(SUMIFS('Locations Data'!$C:$C,'Locations Data'!$G:$G,$B6,'Locations Data'!$B:$B,LU$5)&gt;0,1,0)</f>
        <v>1</v>
      </c>
      <c r="LV6" s="6">
        <f>IF(SUMIFS('Locations Data'!$C:$C,'Locations Data'!$G:$G,$B6,'Locations Data'!$B:$B,LV$5)&gt;0,1,0)</f>
        <v>1</v>
      </c>
      <c r="LW6" s="6">
        <f>IF(SUMIFS('Locations Data'!$C:$C,'Locations Data'!$G:$G,$B6,'Locations Data'!$B:$B,LW$5)&gt;0,1,0)</f>
        <v>0</v>
      </c>
      <c r="LX6" s="6">
        <f>IF(SUMIFS('Locations Data'!$C:$C,'Locations Data'!$G:$G,$B6,'Locations Data'!$B:$B,LX$5)&gt;0,1,0)</f>
        <v>1</v>
      </c>
      <c r="LY6" s="6">
        <f>IF(SUMIFS('Locations Data'!$C:$C,'Locations Data'!$G:$G,$B6,'Locations Data'!$B:$B,LY$5)&gt;0,1,0)</f>
        <v>1</v>
      </c>
      <c r="LZ6" s="6">
        <f>IF(SUMIFS('Locations Data'!$C:$C,'Locations Data'!$G:$G,$B6,'Locations Data'!$B:$B,LZ$5)&gt;0,1,0)</f>
        <v>1</v>
      </c>
      <c r="MA6" s="6">
        <f>IF(SUMIFS('Locations Data'!$C:$C,'Locations Data'!$G:$G,$B6,'Locations Data'!$B:$B,MA$5)&gt;0,1,0)</f>
        <v>1</v>
      </c>
      <c r="MB6" s="6">
        <f>IF(SUMIFS('Locations Data'!$C:$C,'Locations Data'!$G:$G,$B6,'Locations Data'!$B:$B,MB$5)&gt;0,1,0)</f>
        <v>1</v>
      </c>
      <c r="MC6" s="6">
        <f>IF(SUMIFS('Locations Data'!$C:$C,'Locations Data'!$G:$G,$B6,'Locations Data'!$B:$B,MC$5)&gt;0,1,0)</f>
        <v>1</v>
      </c>
      <c r="MD6" s="6">
        <f>IF(SUMIFS('Locations Data'!$C:$C,'Locations Data'!$G:$G,$B6,'Locations Data'!$B:$B,MD$5)&gt;0,1,0)</f>
        <v>0</v>
      </c>
      <c r="ME6" s="6">
        <f>IF(SUMIFS('Locations Data'!$C:$C,'Locations Data'!$G:$G,$B6,'Locations Data'!$B:$B,ME$5)&gt;0,1,0)</f>
        <v>1</v>
      </c>
      <c r="MF6" s="6">
        <f>IF(SUMIFS('Locations Data'!$C:$C,'Locations Data'!$G:$G,$B6,'Locations Data'!$B:$B,MF$5)&gt;0,1,0)</f>
        <v>1</v>
      </c>
      <c r="MG6" s="6">
        <f>IF(SUMIFS('Locations Data'!$C:$C,'Locations Data'!$G:$G,$B6,'Locations Data'!$B:$B,MG$5)&gt;0,1,0)</f>
        <v>1</v>
      </c>
      <c r="MH6" s="6">
        <f>IF(SUMIFS('Locations Data'!$C:$C,'Locations Data'!$G:$G,$B6,'Locations Data'!$B:$B,MH$5)&gt;0,1,0)</f>
        <v>1</v>
      </c>
      <c r="MI6" s="6">
        <f>IF(SUMIFS('Locations Data'!$C:$C,'Locations Data'!$G:$G,$B6,'Locations Data'!$B:$B,MI$5)&gt;0,1,0)</f>
        <v>1</v>
      </c>
      <c r="MJ6" s="6">
        <f>IF(SUMIFS('Locations Data'!$C:$C,'Locations Data'!$G:$G,$B6,'Locations Data'!$B:$B,MJ$5)&gt;0,1,0)</f>
        <v>1</v>
      </c>
      <c r="MK6" s="6">
        <f>IF(SUMIFS('Locations Data'!$C:$C,'Locations Data'!$G:$G,$B6,'Locations Data'!$B:$B,MK$5)&gt;0,1,0)</f>
        <v>0</v>
      </c>
      <c r="ML6" s="6">
        <f>IF(SUMIFS('Locations Data'!$C:$C,'Locations Data'!$G:$G,$B6,'Locations Data'!$B:$B,ML$5)&gt;0,1,0)</f>
        <v>1</v>
      </c>
      <c r="MM6" s="6">
        <f>IF(SUMIFS('Locations Data'!$C:$C,'Locations Data'!$G:$G,$B6,'Locations Data'!$B:$B,MM$5)&gt;0,1,0)</f>
        <v>1</v>
      </c>
      <c r="MN6" s="6">
        <f>IF(SUMIFS('Locations Data'!$C:$C,'Locations Data'!$G:$G,$B6,'Locations Data'!$B:$B,MN$5)&gt;0,1,0)</f>
        <v>1</v>
      </c>
      <c r="MO6" s="6">
        <f>IF(SUMIFS('Locations Data'!$C:$C,'Locations Data'!$G:$G,$B6,'Locations Data'!$B:$B,MO$5)&gt;0,1,0)</f>
        <v>1</v>
      </c>
      <c r="MP6" s="6">
        <f>IF(SUMIFS('Locations Data'!$C:$C,'Locations Data'!$G:$G,$B6,'Locations Data'!$B:$B,MP$5)&gt;0,1,0)</f>
        <v>1</v>
      </c>
      <c r="MQ6" s="6">
        <f>IF(SUMIFS('Locations Data'!$C:$C,'Locations Data'!$G:$G,$B6,'Locations Data'!$B:$B,MQ$5)&gt;0,1,0)</f>
        <v>1</v>
      </c>
      <c r="MR6" s="6">
        <f>IF(SUMIFS('Locations Data'!$C:$C,'Locations Data'!$G:$G,$B6,'Locations Data'!$B:$B,MR$5)&gt;0,1,0)</f>
        <v>0</v>
      </c>
      <c r="MS6" s="6">
        <f>IF(SUMIFS('Locations Data'!$C:$C,'Locations Data'!$G:$G,$B6,'Locations Data'!$B:$B,MS$5)&gt;0,1,0)</f>
        <v>1</v>
      </c>
      <c r="MT6" s="6">
        <f>IF(SUMIFS('Locations Data'!$C:$C,'Locations Data'!$G:$G,$B6,'Locations Data'!$B:$B,MT$5)&gt;0,1,0)</f>
        <v>1</v>
      </c>
      <c r="MU6" s="6">
        <f>IF(SUMIFS('Locations Data'!$C:$C,'Locations Data'!$G:$G,$B6,'Locations Data'!$B:$B,MU$5)&gt;0,1,0)</f>
        <v>1</v>
      </c>
      <c r="MV6" s="6">
        <f>IF(SUMIFS('Locations Data'!$C:$C,'Locations Data'!$G:$G,$B6,'Locations Data'!$B:$B,MV$5)&gt;0,1,0)</f>
        <v>1</v>
      </c>
      <c r="MW6" s="26">
        <v>0</v>
      </c>
      <c r="MX6" s="6">
        <f>IF(SUMIFS('Locations Data'!$C:$C,'Locations Data'!$G:$G,$B6,'Locations Data'!$B:$B,MX$5)&gt;0,1,0)</f>
        <v>1</v>
      </c>
      <c r="MY6" s="6">
        <f>IF(SUMIFS('Locations Data'!$C:$C,'Locations Data'!$G:$G,$B6,'Locations Data'!$B:$B,MY$5)&gt;0,1,0)</f>
        <v>0</v>
      </c>
      <c r="MZ6" s="6">
        <f>IF(SUMIFS('Locations Data'!$C:$C,'Locations Data'!$G:$G,$B6,'Locations Data'!$B:$B,MZ$5)&gt;0,1,0)</f>
        <v>1</v>
      </c>
      <c r="NA6" s="6">
        <f>IF(SUMIFS('Locations Data'!$C:$C,'Locations Data'!$G:$G,$B6,'Locations Data'!$B:$B,NA$5)&gt;0,1,0)</f>
        <v>1</v>
      </c>
      <c r="NB6" s="6">
        <f>IF(SUMIFS('Locations Data'!$C:$C,'Locations Data'!$G:$G,$B6,'Locations Data'!$B:$B,NB$5)&gt;0,1,0)</f>
        <v>1</v>
      </c>
      <c r="NC6" s="6">
        <f>IF(SUMIFS('Locations Data'!$C:$C,'Locations Data'!$G:$G,$B6,'Locations Data'!$B:$B,NC$5)&gt;0,1,0)</f>
        <v>1</v>
      </c>
    </row>
    <row r="7" spans="2:367">
      <c r="B7" s="20" t="s">
        <v>301</v>
      </c>
      <c r="C7" s="6">
        <v>0</v>
      </c>
      <c r="D7" s="6">
        <f>IF(SUMIFS('Locations Data'!$C:$C,'Locations Data'!$G:$G,$B7,'Locations Data'!$B:$B,D$5)&gt;0,1,0)</f>
        <v>1</v>
      </c>
      <c r="E7" s="6">
        <f>IF(SUMIFS('Locations Data'!$C:$C,'Locations Data'!$G:$G,$B7,'Locations Data'!$B:$B,E$5)&gt;0,1,0)</f>
        <v>1</v>
      </c>
      <c r="F7" s="6">
        <f>IF(SUMIFS('Locations Data'!$C:$C,'Locations Data'!$G:$G,$B7,'Locations Data'!$B:$B,F$5)&gt;0,1,0)</f>
        <v>0</v>
      </c>
      <c r="G7" s="6">
        <f>IF(SUMIFS('Locations Data'!$C:$C,'Locations Data'!$G:$G,$B7,'Locations Data'!$B:$B,G$5)&gt;0,1,0)</f>
        <v>1</v>
      </c>
      <c r="H7" s="6">
        <f>IF(SUMIFS('Locations Data'!$C:$C,'Locations Data'!$G:$G,$B7,'Locations Data'!$B:$B,H$5)&gt;0,1,0)</f>
        <v>1</v>
      </c>
      <c r="I7" s="6">
        <f>IF(SUMIFS('Locations Data'!$C:$C,'Locations Data'!$G:$G,$B7,'Locations Data'!$B:$B,I$5)&gt;0,1,0)</f>
        <v>1</v>
      </c>
      <c r="J7" s="6">
        <f>IF(SUMIFS('Locations Data'!$C:$C,'Locations Data'!$G:$G,$B7,'Locations Data'!$B:$B,J$5)&gt;0,1,0)</f>
        <v>1</v>
      </c>
      <c r="K7" s="6">
        <f>IF(SUMIFS('Locations Data'!$C:$C,'Locations Data'!$G:$G,$B7,'Locations Data'!$B:$B,K$5)&gt;0,1,0)</f>
        <v>1</v>
      </c>
      <c r="L7" s="6">
        <f>IF(SUMIFS('Locations Data'!$C:$C,'Locations Data'!$G:$G,$B7,'Locations Data'!$B:$B,L$5)&gt;0,1,0)</f>
        <v>1</v>
      </c>
      <c r="M7" s="6">
        <f>IF(SUMIFS('Locations Data'!$C:$C,'Locations Data'!$G:$G,$B7,'Locations Data'!$B:$B,M$5)&gt;0,1,0)</f>
        <v>0</v>
      </c>
      <c r="N7" s="6">
        <f>IF(SUMIFS('Locations Data'!$C:$C,'Locations Data'!$G:$G,$B7,'Locations Data'!$B:$B,N$5)&gt;0,1,0)</f>
        <v>1</v>
      </c>
      <c r="O7" s="6">
        <f>IF(SUMIFS('Locations Data'!$C:$C,'Locations Data'!$G:$G,$B7,'Locations Data'!$B:$B,O$5)&gt;0,1,0)</f>
        <v>1</v>
      </c>
      <c r="P7" s="6">
        <f>IF(SUMIFS('Locations Data'!$C:$C,'Locations Data'!$G:$G,$B7,'Locations Data'!$B:$B,P$5)&gt;0,1,0)</f>
        <v>1</v>
      </c>
      <c r="Q7" s="6">
        <f>IF(SUMIFS('Locations Data'!$C:$C,'Locations Data'!$G:$G,$B7,'Locations Data'!$B:$B,Q$5)&gt;0,1,0)</f>
        <v>1</v>
      </c>
      <c r="R7" s="6">
        <f>IF(SUMIFS('Locations Data'!$C:$C,'Locations Data'!$G:$G,$B7,'Locations Data'!$B:$B,R$5)&gt;0,1,0)</f>
        <v>1</v>
      </c>
      <c r="S7" s="6">
        <f>IF(SUMIFS('Locations Data'!$C:$C,'Locations Data'!$G:$G,$B7,'Locations Data'!$B:$B,S$5)&gt;0,1,0)</f>
        <v>1</v>
      </c>
      <c r="T7" s="6">
        <f>IF(SUMIFS('Locations Data'!$C:$C,'Locations Data'!$G:$G,$B7,'Locations Data'!$B:$B,T$5)&gt;0,1,0)</f>
        <v>0</v>
      </c>
      <c r="U7" s="6">
        <f>IF(SUMIFS('Locations Data'!$C:$C,'Locations Data'!$G:$G,$B7,'Locations Data'!$B:$B,U$5)&gt;0,1,0)</f>
        <v>1</v>
      </c>
      <c r="V7" s="6">
        <f>IF(SUMIFS('Locations Data'!$C:$C,'Locations Data'!$G:$G,$B7,'Locations Data'!$B:$B,V$5)&gt;0,1,0)</f>
        <v>1</v>
      </c>
      <c r="W7" s="6">
        <f>IF(SUMIFS('Locations Data'!$C:$C,'Locations Data'!$G:$G,$B7,'Locations Data'!$B:$B,W$5)&gt;0,1,0)</f>
        <v>1</v>
      </c>
      <c r="X7" s="6">
        <f>IF(SUMIFS('Locations Data'!$C:$C,'Locations Data'!$G:$G,$B7,'Locations Data'!$B:$B,X$5)&gt;0,1,0)</f>
        <v>1</v>
      </c>
      <c r="Y7" s="6">
        <f>IF(SUMIFS('Locations Data'!$C:$C,'Locations Data'!$G:$G,$B7,'Locations Data'!$B:$B,Y$5)&gt;0,1,0)</f>
        <v>1</v>
      </c>
      <c r="Z7" s="6">
        <f>IF(SUMIFS('Locations Data'!$C:$C,'Locations Data'!$G:$G,$B7,'Locations Data'!$B:$B,Z$5)&gt;0,1,0)</f>
        <v>1</v>
      </c>
      <c r="AA7" s="6">
        <f>IF(SUMIFS('Locations Data'!$C:$C,'Locations Data'!$G:$G,$B7,'Locations Data'!$B:$B,AA$5)&gt;0,1,0)</f>
        <v>0</v>
      </c>
      <c r="AB7" s="6">
        <f>IF(SUMIFS('Locations Data'!$C:$C,'Locations Data'!$G:$G,$B7,'Locations Data'!$B:$B,AB$5)&gt;0,1,0)</f>
        <v>1</v>
      </c>
      <c r="AC7" s="6">
        <f>IF(SUMIFS('Locations Data'!$C:$C,'Locations Data'!$G:$G,$B7,'Locations Data'!$B:$B,AC$5)&gt;0,1,0)</f>
        <v>1</v>
      </c>
      <c r="AD7" s="6">
        <f>IF(SUMIFS('Locations Data'!$C:$C,'Locations Data'!$G:$G,$B7,'Locations Data'!$B:$B,AD$5)&gt;0,1,0)</f>
        <v>1</v>
      </c>
      <c r="AE7" s="6">
        <f>IF(SUMIFS('Locations Data'!$C:$C,'Locations Data'!$G:$G,$B7,'Locations Data'!$B:$B,AE$5)&gt;0,1,0)</f>
        <v>1</v>
      </c>
      <c r="AF7" s="6">
        <f>IF(SUMIFS('Locations Data'!$C:$C,'Locations Data'!$G:$G,$B7,'Locations Data'!$B:$B,AF$5)&gt;0,1,0)</f>
        <v>1</v>
      </c>
      <c r="AG7" s="6">
        <f>IF(SUMIFS('Locations Data'!$C:$C,'Locations Data'!$G:$G,$B7,'Locations Data'!$B:$B,AG$5)&gt;0,1,0)</f>
        <v>1</v>
      </c>
      <c r="AH7" s="6">
        <f>IF(SUMIFS('Locations Data'!$C:$C,'Locations Data'!$G:$G,$B7,'Locations Data'!$B:$B,AH$5)&gt;0,1,0)</f>
        <v>0</v>
      </c>
      <c r="AI7" s="6">
        <f>IF(SUMIFS('Locations Data'!$C:$C,'Locations Data'!$G:$G,$B7,'Locations Data'!$B:$B,AI$5)&gt;0,1,0)</f>
        <v>1</v>
      </c>
      <c r="AJ7" s="6">
        <f>IF(SUMIFS('Locations Data'!$C:$C,'Locations Data'!$G:$G,$B7,'Locations Data'!$B:$B,AJ$5)&gt;0,1,0)</f>
        <v>1</v>
      </c>
      <c r="AK7" s="6">
        <f>IF(SUMIFS('Locations Data'!$C:$C,'Locations Data'!$G:$G,$B7,'Locations Data'!$B:$B,AK$5)&gt;0,1,0)</f>
        <v>1</v>
      </c>
      <c r="AL7" s="6">
        <f>IF(SUMIFS('Locations Data'!$C:$C,'Locations Data'!$G:$G,$B7,'Locations Data'!$B:$B,AL$5)&gt;0,1,0)</f>
        <v>1</v>
      </c>
      <c r="AM7" s="6">
        <f>IF(SUMIFS('Locations Data'!$C:$C,'Locations Data'!$G:$G,$B7,'Locations Data'!$B:$B,AM$5)&gt;0,1,0)</f>
        <v>1</v>
      </c>
      <c r="AN7" s="6">
        <f>IF(SUMIFS('Locations Data'!$C:$C,'Locations Data'!$G:$G,$B7,'Locations Data'!$B:$B,AN$5)&gt;0,1,0)</f>
        <v>1</v>
      </c>
      <c r="AO7" s="6">
        <f>IF(SUMIFS('Locations Data'!$C:$C,'Locations Data'!$G:$G,$B7,'Locations Data'!$B:$B,AO$5)&gt;0,1,0)</f>
        <v>0</v>
      </c>
      <c r="AP7" s="6">
        <f>IF(SUMIFS('Locations Data'!$C:$C,'Locations Data'!$G:$G,$B7,'Locations Data'!$B:$B,AP$5)&gt;0,1,0)</f>
        <v>1</v>
      </c>
      <c r="AQ7" s="6">
        <f>IF(SUMIFS('Locations Data'!$C:$C,'Locations Data'!$G:$G,$B7,'Locations Data'!$B:$B,AQ$5)&gt;0,1,0)</f>
        <v>1</v>
      </c>
      <c r="AR7" s="6">
        <f>IF(SUMIFS('Locations Data'!$C:$C,'Locations Data'!$G:$G,$B7,'Locations Data'!$B:$B,AR$5)&gt;0,1,0)</f>
        <v>1</v>
      </c>
      <c r="AS7" s="6">
        <f>IF(SUMIFS('Locations Data'!$C:$C,'Locations Data'!$G:$G,$B7,'Locations Data'!$B:$B,AS$5)&gt;0,1,0)</f>
        <v>1</v>
      </c>
      <c r="AT7" s="6">
        <f>IF(SUMIFS('Locations Data'!$C:$C,'Locations Data'!$G:$G,$B7,'Locations Data'!$B:$B,AT$5)&gt;0,1,0)</f>
        <v>1</v>
      </c>
      <c r="AU7" s="6">
        <f>IF(SUMIFS('Locations Data'!$C:$C,'Locations Data'!$G:$G,$B7,'Locations Data'!$B:$B,AU$5)&gt;0,1,0)</f>
        <v>1</v>
      </c>
      <c r="AV7" s="6">
        <f>IF(SUMIFS('Locations Data'!$C:$C,'Locations Data'!$G:$G,$B7,'Locations Data'!$B:$B,AV$5)&gt;0,1,0)</f>
        <v>0</v>
      </c>
      <c r="AW7" s="6">
        <f>IF(SUMIFS('Locations Data'!$C:$C,'Locations Data'!$G:$G,$B7,'Locations Data'!$B:$B,AW$5)&gt;0,1,0)</f>
        <v>1</v>
      </c>
      <c r="AX7" s="6">
        <f>IF(SUMIFS('Locations Data'!$C:$C,'Locations Data'!$G:$G,$B7,'Locations Data'!$B:$B,AX$5)&gt;0,1,0)</f>
        <v>1</v>
      </c>
      <c r="AY7" s="6">
        <f>IF(SUMIFS('Locations Data'!$C:$C,'Locations Data'!$G:$G,$B7,'Locations Data'!$B:$B,AY$5)&gt;0,1,0)</f>
        <v>1</v>
      </c>
      <c r="AZ7" s="6">
        <f>IF(SUMIFS('Locations Data'!$C:$C,'Locations Data'!$G:$G,$B7,'Locations Data'!$B:$B,AZ$5)&gt;0,1,0)</f>
        <v>1</v>
      </c>
      <c r="BA7" s="6">
        <f>IF(SUMIFS('Locations Data'!$C:$C,'Locations Data'!$G:$G,$B7,'Locations Data'!$B:$B,BA$5)&gt;0,1,0)</f>
        <v>1</v>
      </c>
      <c r="BB7" s="6">
        <f>IF(SUMIFS('Locations Data'!$C:$C,'Locations Data'!$G:$G,$B7,'Locations Data'!$B:$B,BB$5)&gt;0,1,0)</f>
        <v>1</v>
      </c>
      <c r="BC7" s="6">
        <f>IF(SUMIFS('Locations Data'!$C:$C,'Locations Data'!$G:$G,$B7,'Locations Data'!$B:$B,BC$5)&gt;0,1,0)</f>
        <v>0</v>
      </c>
      <c r="BD7" s="6">
        <f>IF(SUMIFS('Locations Data'!$C:$C,'Locations Data'!$G:$G,$B7,'Locations Data'!$B:$B,BD$5)&gt;0,1,0)</f>
        <v>1</v>
      </c>
      <c r="BE7" s="6">
        <f>IF(SUMIFS('Locations Data'!$C:$C,'Locations Data'!$G:$G,$B7,'Locations Data'!$B:$B,BE$5)&gt;0,1,0)</f>
        <v>1</v>
      </c>
      <c r="BF7" s="6">
        <f>IF(SUMIFS('Locations Data'!$C:$C,'Locations Data'!$G:$G,$B7,'Locations Data'!$B:$B,BF$5)&gt;0,1,0)</f>
        <v>1</v>
      </c>
      <c r="BG7" s="6">
        <f>IF(SUMIFS('Locations Data'!$C:$C,'Locations Data'!$G:$G,$B7,'Locations Data'!$B:$B,BG$5)&gt;0,1,0)</f>
        <v>1</v>
      </c>
      <c r="BH7" s="6">
        <f>IF(SUMIFS('Locations Data'!$C:$C,'Locations Data'!$G:$G,$B7,'Locations Data'!$B:$B,BH$5)&gt;0,1,0)</f>
        <v>1</v>
      </c>
      <c r="BI7" s="6">
        <f>IF(SUMIFS('Locations Data'!$C:$C,'Locations Data'!$G:$G,$B7,'Locations Data'!$B:$B,BI$5)&gt;0,1,0)</f>
        <v>1</v>
      </c>
      <c r="BJ7" s="6">
        <f>IF(SUMIFS('Locations Data'!$C:$C,'Locations Data'!$G:$G,$B7,'Locations Data'!$B:$B,BJ$5)&gt;0,1,0)</f>
        <v>0</v>
      </c>
      <c r="BK7" s="6">
        <f>IF(SUMIFS('Locations Data'!$C:$C,'Locations Data'!$G:$G,$B7,'Locations Data'!$B:$B,BK$5)&gt;0,1,0)</f>
        <v>1</v>
      </c>
      <c r="BL7" s="6">
        <f>IF(SUMIFS('Locations Data'!$C:$C,'Locations Data'!$G:$G,$B7,'Locations Data'!$B:$B,BL$5)&gt;0,1,0)</f>
        <v>1</v>
      </c>
      <c r="BM7" s="6">
        <f>IF(SUMIFS('Locations Data'!$C:$C,'Locations Data'!$G:$G,$B7,'Locations Data'!$B:$B,BM$5)&gt;0,1,0)</f>
        <v>1</v>
      </c>
      <c r="BN7" s="6">
        <f>IF(SUMIFS('Locations Data'!$C:$C,'Locations Data'!$G:$G,$B7,'Locations Data'!$B:$B,BN$5)&gt;0,1,0)</f>
        <v>1</v>
      </c>
      <c r="BO7" s="6">
        <f>IF(SUMIFS('Locations Data'!$C:$C,'Locations Data'!$G:$G,$B7,'Locations Data'!$B:$B,BO$5)&gt;0,1,0)</f>
        <v>1</v>
      </c>
      <c r="BP7" s="6">
        <f>IF(SUMIFS('Locations Data'!$C:$C,'Locations Data'!$G:$G,$B7,'Locations Data'!$B:$B,BP$5)&gt;0,1,0)</f>
        <v>1</v>
      </c>
      <c r="BQ7" s="6">
        <f>IF(SUMIFS('Locations Data'!$C:$C,'Locations Data'!$G:$G,$B7,'Locations Data'!$B:$B,BQ$5)&gt;0,1,0)</f>
        <v>0</v>
      </c>
      <c r="BR7" s="6">
        <f>IF(SUMIFS('Locations Data'!$C:$C,'Locations Data'!$G:$G,$B7,'Locations Data'!$B:$B,BR$5)&gt;0,1,0)</f>
        <v>1</v>
      </c>
      <c r="BS7" s="6">
        <f>IF(SUMIFS('Locations Data'!$C:$C,'Locations Data'!$G:$G,$B7,'Locations Data'!$B:$B,BS$5)&gt;0,1,0)</f>
        <v>1</v>
      </c>
      <c r="BT7" s="6">
        <f>IF(SUMIFS('Locations Data'!$C:$C,'Locations Data'!$G:$G,$B7,'Locations Data'!$B:$B,BT$5)&gt;0,1,0)</f>
        <v>1</v>
      </c>
      <c r="BU7" s="6">
        <f>IF(SUMIFS('Locations Data'!$C:$C,'Locations Data'!$G:$G,$B7,'Locations Data'!$B:$B,BU$5)&gt;0,1,0)</f>
        <v>1</v>
      </c>
      <c r="BV7" s="6">
        <f>IF(SUMIFS('Locations Data'!$C:$C,'Locations Data'!$G:$G,$B7,'Locations Data'!$B:$B,BV$5)&gt;0,1,0)</f>
        <v>1</v>
      </c>
      <c r="BW7" s="6">
        <f>IF(SUMIFS('Locations Data'!$C:$C,'Locations Data'!$G:$G,$B7,'Locations Data'!$B:$B,BW$5)&gt;0,1,0)</f>
        <v>1</v>
      </c>
      <c r="BX7" s="6">
        <f>IF(SUMIFS('Locations Data'!$C:$C,'Locations Data'!$G:$G,$B7,'Locations Data'!$B:$B,BX$5)&gt;0,1,0)</f>
        <v>0</v>
      </c>
      <c r="BY7" s="6">
        <f>IF(SUMIFS('Locations Data'!$C:$C,'Locations Data'!$G:$G,$B7,'Locations Data'!$B:$B,BY$5)&gt;0,1,0)</f>
        <v>1</v>
      </c>
      <c r="BZ7" s="6">
        <f>IF(SUMIFS('Locations Data'!$C:$C,'Locations Data'!$G:$G,$B7,'Locations Data'!$B:$B,BZ$5)&gt;0,1,0)</f>
        <v>1</v>
      </c>
      <c r="CA7" s="6">
        <f>IF(SUMIFS('Locations Data'!$C:$C,'Locations Data'!$G:$G,$B7,'Locations Data'!$B:$B,CA$5)&gt;0,1,0)</f>
        <v>1</v>
      </c>
      <c r="CB7" s="6">
        <f>IF(SUMIFS('Locations Data'!$C:$C,'Locations Data'!$G:$G,$B7,'Locations Data'!$B:$B,CB$5)&gt;0,1,0)</f>
        <v>1</v>
      </c>
      <c r="CC7" s="6">
        <f>IF(SUMIFS('Locations Data'!$C:$C,'Locations Data'!$G:$G,$B7,'Locations Data'!$B:$B,CC$5)&gt;0,1,0)</f>
        <v>1</v>
      </c>
      <c r="CD7" s="6">
        <f>IF(SUMIFS('Locations Data'!$C:$C,'Locations Data'!$G:$G,$B7,'Locations Data'!$B:$B,CD$5)&gt;0,1,0)</f>
        <v>1</v>
      </c>
      <c r="CE7" s="6">
        <f>IF(SUMIFS('Locations Data'!$C:$C,'Locations Data'!$G:$G,$B7,'Locations Data'!$B:$B,CE$5)&gt;0,1,0)</f>
        <v>0</v>
      </c>
      <c r="CF7" s="6">
        <f>IF(SUMIFS('Locations Data'!$C:$C,'Locations Data'!$G:$G,$B7,'Locations Data'!$B:$B,CF$5)&gt;0,1,0)</f>
        <v>1</v>
      </c>
      <c r="CG7" s="6">
        <f>IF(SUMIFS('Locations Data'!$C:$C,'Locations Data'!$G:$G,$B7,'Locations Data'!$B:$B,CG$5)&gt;0,1,0)</f>
        <v>1</v>
      </c>
      <c r="CH7" s="6">
        <f>IF(SUMIFS('Locations Data'!$C:$C,'Locations Data'!$G:$G,$B7,'Locations Data'!$B:$B,CH$5)&gt;0,1,0)</f>
        <v>1</v>
      </c>
      <c r="CI7" s="6">
        <f>IF(SUMIFS('Locations Data'!$C:$C,'Locations Data'!$G:$G,$B7,'Locations Data'!$B:$B,CI$5)&gt;0,1,0)</f>
        <v>1</v>
      </c>
      <c r="CJ7" s="6">
        <f>IF(SUMIFS('Locations Data'!$C:$C,'Locations Data'!$G:$G,$B7,'Locations Data'!$B:$B,CJ$5)&gt;0,1,0)</f>
        <v>1</v>
      </c>
      <c r="CK7" s="6">
        <f>IF(SUMIFS('Locations Data'!$C:$C,'Locations Data'!$G:$G,$B7,'Locations Data'!$B:$B,CK$5)&gt;0,1,0)</f>
        <v>1</v>
      </c>
      <c r="CL7" s="6">
        <f>IF(SUMIFS('Locations Data'!$C:$C,'Locations Data'!$G:$G,$B7,'Locations Data'!$B:$B,CL$5)&gt;0,1,0)</f>
        <v>0</v>
      </c>
      <c r="CM7" s="6">
        <f>IF(SUMIFS('Locations Data'!$C:$C,'Locations Data'!$G:$G,$B7,'Locations Data'!$B:$B,CM$5)&gt;0,1,0)</f>
        <v>1</v>
      </c>
      <c r="CN7" s="6">
        <f>IF(SUMIFS('Locations Data'!$C:$C,'Locations Data'!$G:$G,$B7,'Locations Data'!$B:$B,CN$5)&gt;0,1,0)</f>
        <v>1</v>
      </c>
      <c r="CO7" s="6">
        <f>IF(SUMIFS('Locations Data'!$C:$C,'Locations Data'!$G:$G,$B7,'Locations Data'!$B:$B,CO$5)&gt;0,1,0)</f>
        <v>1</v>
      </c>
      <c r="CP7" s="6">
        <f>IF(SUMIFS('Locations Data'!$C:$C,'Locations Data'!$G:$G,$B7,'Locations Data'!$B:$B,CP$5)&gt;0,1,0)</f>
        <v>1</v>
      </c>
      <c r="CQ7" s="6">
        <f>IF(SUMIFS('Locations Data'!$C:$C,'Locations Data'!$G:$G,$B7,'Locations Data'!$B:$B,CQ$5)&gt;0,1,0)</f>
        <v>1</v>
      </c>
      <c r="CR7" s="6">
        <f>IF(SUMIFS('Locations Data'!$C:$C,'Locations Data'!$G:$G,$B7,'Locations Data'!$B:$B,CR$5)&gt;0,1,0)</f>
        <v>1</v>
      </c>
      <c r="CS7" s="6">
        <f>IF(SUMIFS('Locations Data'!$C:$C,'Locations Data'!$G:$G,$B7,'Locations Data'!$B:$B,CS$5)&gt;0,1,0)</f>
        <v>0</v>
      </c>
      <c r="CT7" s="6">
        <f>IF(SUMIFS('Locations Data'!$C:$C,'Locations Data'!$G:$G,$B7,'Locations Data'!$B:$B,CT$5)&gt;0,1,0)</f>
        <v>1</v>
      </c>
      <c r="CU7" s="6">
        <f>IF(SUMIFS('Locations Data'!$C:$C,'Locations Data'!$G:$G,$B7,'Locations Data'!$B:$B,CU$5)&gt;0,1,0)</f>
        <v>1</v>
      </c>
      <c r="CV7" s="6">
        <f>IF(SUMIFS('Locations Data'!$C:$C,'Locations Data'!$G:$G,$B7,'Locations Data'!$B:$B,CV$5)&gt;0,1,0)</f>
        <v>1</v>
      </c>
      <c r="CW7" s="6">
        <f>IF(SUMIFS('Locations Data'!$C:$C,'Locations Data'!$G:$G,$B7,'Locations Data'!$B:$B,CW$5)&gt;0,1,0)</f>
        <v>1</v>
      </c>
      <c r="CX7" s="6">
        <f>IF(SUMIFS('Locations Data'!$C:$C,'Locations Data'!$G:$G,$B7,'Locations Data'!$B:$B,CX$5)&gt;0,1,0)</f>
        <v>1</v>
      </c>
      <c r="CY7" s="6">
        <f>IF(SUMIFS('Locations Data'!$C:$C,'Locations Data'!$G:$G,$B7,'Locations Data'!$B:$B,CY$5)&gt;0,1,0)</f>
        <v>1</v>
      </c>
      <c r="CZ7" s="6">
        <f>IF(SUMIFS('Locations Data'!$C:$C,'Locations Data'!$G:$G,$B7,'Locations Data'!$B:$B,CZ$5)&gt;0,1,0)</f>
        <v>0</v>
      </c>
      <c r="DA7" s="6">
        <f>IF(SUMIFS('Locations Data'!$C:$C,'Locations Data'!$G:$G,$B7,'Locations Data'!$B:$B,DA$5)&gt;0,1,0)</f>
        <v>1</v>
      </c>
      <c r="DB7" s="6">
        <f>IF(SUMIFS('Locations Data'!$C:$C,'Locations Data'!$G:$G,$B7,'Locations Data'!$B:$B,DB$5)&gt;0,1,0)</f>
        <v>1</v>
      </c>
      <c r="DC7" s="6">
        <f>IF(SUMIFS('Locations Data'!$C:$C,'Locations Data'!$G:$G,$B7,'Locations Data'!$B:$B,DC$5)&gt;0,1,0)</f>
        <v>1</v>
      </c>
      <c r="DD7" s="6">
        <f>IF(SUMIFS('Locations Data'!$C:$C,'Locations Data'!$G:$G,$B7,'Locations Data'!$B:$B,DD$5)&gt;0,1,0)</f>
        <v>1</v>
      </c>
      <c r="DE7" s="6">
        <f>IF(SUMIFS('Locations Data'!$C:$C,'Locations Data'!$G:$G,$B7,'Locations Data'!$B:$B,DE$5)&gt;0,1,0)</f>
        <v>1</v>
      </c>
      <c r="DF7" s="6">
        <f>IF(SUMIFS('Locations Data'!$C:$C,'Locations Data'!$G:$G,$B7,'Locations Data'!$B:$B,DF$5)&gt;0,1,0)</f>
        <v>1</v>
      </c>
      <c r="DG7" s="6">
        <f>IF(SUMIFS('Locations Data'!$C:$C,'Locations Data'!$G:$G,$B7,'Locations Data'!$B:$B,DG$5)&gt;0,1,0)</f>
        <v>0</v>
      </c>
      <c r="DH7" s="6">
        <f>IF(SUMIFS('Locations Data'!$C:$C,'Locations Data'!$G:$G,$B7,'Locations Data'!$B:$B,DH$5)&gt;0,1,0)</f>
        <v>1</v>
      </c>
      <c r="DI7" s="6">
        <f>IF(SUMIFS('Locations Data'!$C:$C,'Locations Data'!$G:$G,$B7,'Locations Data'!$B:$B,DI$5)&gt;0,1,0)</f>
        <v>1</v>
      </c>
      <c r="DJ7" s="6">
        <f>IF(SUMIFS('Locations Data'!$C:$C,'Locations Data'!$G:$G,$B7,'Locations Data'!$B:$B,DJ$5)&gt;0,1,0)</f>
        <v>1</v>
      </c>
      <c r="DK7" s="6">
        <f>IF(SUMIFS('Locations Data'!$C:$C,'Locations Data'!$G:$G,$B7,'Locations Data'!$B:$B,DK$5)&gt;0,1,0)</f>
        <v>1</v>
      </c>
      <c r="DL7" s="6">
        <f>IF(SUMIFS('Locations Data'!$C:$C,'Locations Data'!$G:$G,$B7,'Locations Data'!$B:$B,DL$5)&gt;0,1,0)</f>
        <v>1</v>
      </c>
      <c r="DM7" s="6">
        <f>IF(SUMIFS('Locations Data'!$C:$C,'Locations Data'!$G:$G,$B7,'Locations Data'!$B:$B,DM$5)&gt;0,1,0)</f>
        <v>1</v>
      </c>
      <c r="DN7" s="6">
        <f>IF(SUMIFS('Locations Data'!$C:$C,'Locations Data'!$G:$G,$B7,'Locations Data'!$B:$B,DN$5)&gt;0,1,0)</f>
        <v>0</v>
      </c>
      <c r="DO7" s="6">
        <f>IF(SUMIFS('Locations Data'!$C:$C,'Locations Data'!$G:$G,$B7,'Locations Data'!$B:$B,DO$5)&gt;0,1,0)</f>
        <v>1</v>
      </c>
      <c r="DP7" s="6">
        <f>IF(SUMIFS('Locations Data'!$C:$C,'Locations Data'!$G:$G,$B7,'Locations Data'!$B:$B,DP$5)&gt;0,1,0)</f>
        <v>1</v>
      </c>
      <c r="DQ7" s="6">
        <f>IF(SUMIFS('Locations Data'!$C:$C,'Locations Data'!$G:$G,$B7,'Locations Data'!$B:$B,DQ$5)&gt;0,1,0)</f>
        <v>1</v>
      </c>
      <c r="DR7" s="6">
        <f>IF(SUMIFS('Locations Data'!$C:$C,'Locations Data'!$G:$G,$B7,'Locations Data'!$B:$B,DR$5)&gt;0,1,0)</f>
        <v>1</v>
      </c>
      <c r="DS7" s="6">
        <f>IF(SUMIFS('Locations Data'!$C:$C,'Locations Data'!$G:$G,$B7,'Locations Data'!$B:$B,DS$5)&gt;0,1,0)</f>
        <v>1</v>
      </c>
      <c r="DT7" s="6">
        <f>IF(SUMIFS('Locations Data'!$C:$C,'Locations Data'!$G:$G,$B7,'Locations Data'!$B:$B,DT$5)&gt;0,1,0)</f>
        <v>1</v>
      </c>
      <c r="DU7" s="6">
        <f>IF(SUMIFS('Locations Data'!$C:$C,'Locations Data'!$G:$G,$B7,'Locations Data'!$B:$B,DU$5)&gt;0,1,0)</f>
        <v>0</v>
      </c>
      <c r="DV7" s="6">
        <f>IF(SUMIFS('Locations Data'!$C:$C,'Locations Data'!$G:$G,$B7,'Locations Data'!$B:$B,DV$5)&gt;0,1,0)</f>
        <v>1</v>
      </c>
      <c r="DW7" s="6">
        <f>IF(SUMIFS('Locations Data'!$C:$C,'Locations Data'!$G:$G,$B7,'Locations Data'!$B:$B,DW$5)&gt;0,1,0)</f>
        <v>1</v>
      </c>
      <c r="DX7" s="6">
        <f>IF(SUMIFS('Locations Data'!$C:$C,'Locations Data'!$G:$G,$B7,'Locations Data'!$B:$B,DX$5)&gt;0,1,0)</f>
        <v>1</v>
      </c>
      <c r="DY7" s="6">
        <f>IF(SUMIFS('Locations Data'!$C:$C,'Locations Data'!$G:$G,$B7,'Locations Data'!$B:$B,DY$5)&gt;0,1,0)</f>
        <v>1</v>
      </c>
      <c r="DZ7" s="6">
        <f>IF(SUMIFS('Locations Data'!$C:$C,'Locations Data'!$G:$G,$B7,'Locations Data'!$B:$B,DZ$5)&gt;0,1,0)</f>
        <v>1</v>
      </c>
      <c r="EA7" s="6">
        <f>IF(SUMIFS('Locations Data'!$C:$C,'Locations Data'!$G:$G,$B7,'Locations Data'!$B:$B,EA$5)&gt;0,1,0)</f>
        <v>1</v>
      </c>
      <c r="EB7" s="6">
        <f>IF(SUMIFS('Locations Data'!$C:$C,'Locations Data'!$G:$G,$B7,'Locations Data'!$B:$B,EB$5)&gt;0,1,0)</f>
        <v>0</v>
      </c>
      <c r="EC7" s="6">
        <f>IF(SUMIFS('Locations Data'!$C:$C,'Locations Data'!$G:$G,$B7,'Locations Data'!$B:$B,EC$5)&gt;0,1,0)</f>
        <v>1</v>
      </c>
      <c r="ED7" s="6">
        <f>IF(SUMIFS('Locations Data'!$C:$C,'Locations Data'!$G:$G,$B7,'Locations Data'!$B:$B,ED$5)&gt;0,1,0)</f>
        <v>1</v>
      </c>
      <c r="EE7" s="6">
        <f>IF(SUMIFS('Locations Data'!$C:$C,'Locations Data'!$G:$G,$B7,'Locations Data'!$B:$B,EE$5)&gt;0,1,0)</f>
        <v>1</v>
      </c>
      <c r="EF7" s="6">
        <f>IF(SUMIFS('Locations Data'!$C:$C,'Locations Data'!$G:$G,$B7,'Locations Data'!$B:$B,EF$5)&gt;0,1,0)</f>
        <v>1</v>
      </c>
      <c r="EG7" s="6">
        <f>IF(SUMIFS('Locations Data'!$C:$C,'Locations Data'!$G:$G,$B7,'Locations Data'!$B:$B,EG$5)&gt;0,1,0)</f>
        <v>1</v>
      </c>
      <c r="EH7" s="6">
        <f>IF(SUMIFS('Locations Data'!$C:$C,'Locations Data'!$G:$G,$B7,'Locations Data'!$B:$B,EH$5)&gt;0,1,0)</f>
        <v>1</v>
      </c>
      <c r="EI7" s="6">
        <f>IF(SUMIFS('Locations Data'!$C:$C,'Locations Data'!$G:$G,$B7,'Locations Data'!$B:$B,EI$5)&gt;0,1,0)</f>
        <v>0</v>
      </c>
      <c r="EJ7" s="6">
        <f>IF(SUMIFS('Locations Data'!$C:$C,'Locations Data'!$G:$G,$B7,'Locations Data'!$B:$B,EJ$5)&gt;0,1,0)</f>
        <v>1</v>
      </c>
      <c r="EK7" s="6">
        <f>IF(SUMIFS('Locations Data'!$C:$C,'Locations Data'!$G:$G,$B7,'Locations Data'!$B:$B,EK$5)&gt;0,1,0)</f>
        <v>1</v>
      </c>
      <c r="EL7" s="6">
        <f>IF(SUMIFS('Locations Data'!$C:$C,'Locations Data'!$G:$G,$B7,'Locations Data'!$B:$B,EL$5)&gt;0,1,0)</f>
        <v>1</v>
      </c>
      <c r="EM7" s="6">
        <f>IF(SUMIFS('Locations Data'!$C:$C,'Locations Data'!$G:$G,$B7,'Locations Data'!$B:$B,EM$5)&gt;0,1,0)</f>
        <v>1</v>
      </c>
      <c r="EN7" s="6">
        <f>IF(SUMIFS('Locations Data'!$C:$C,'Locations Data'!$G:$G,$B7,'Locations Data'!$B:$B,EN$5)&gt;0,1,0)</f>
        <v>1</v>
      </c>
      <c r="EO7" s="6">
        <f>IF(SUMIFS('Locations Data'!$C:$C,'Locations Data'!$G:$G,$B7,'Locations Data'!$B:$B,EO$5)&gt;0,1,0)</f>
        <v>1</v>
      </c>
      <c r="EP7" s="6">
        <f>IF(SUMIFS('Locations Data'!$C:$C,'Locations Data'!$G:$G,$B7,'Locations Data'!$B:$B,EP$5)&gt;0,1,0)</f>
        <v>0</v>
      </c>
      <c r="EQ7" s="6">
        <f>IF(SUMIFS('Locations Data'!$C:$C,'Locations Data'!$G:$G,$B7,'Locations Data'!$B:$B,EQ$5)&gt;0,1,0)</f>
        <v>1</v>
      </c>
      <c r="ER7" s="6">
        <f>IF(SUMIFS('Locations Data'!$C:$C,'Locations Data'!$G:$G,$B7,'Locations Data'!$B:$B,ER$5)&gt;0,1,0)</f>
        <v>1</v>
      </c>
      <c r="ES7" s="6">
        <f>IF(SUMIFS('Locations Data'!$C:$C,'Locations Data'!$G:$G,$B7,'Locations Data'!$B:$B,ES$5)&gt;0,1,0)</f>
        <v>1</v>
      </c>
      <c r="ET7" s="6">
        <f>IF(SUMIFS('Locations Data'!$C:$C,'Locations Data'!$G:$G,$B7,'Locations Data'!$B:$B,ET$5)&gt;0,1,0)</f>
        <v>1</v>
      </c>
      <c r="EU7" s="6">
        <f>IF(SUMIFS('Locations Data'!$C:$C,'Locations Data'!$G:$G,$B7,'Locations Data'!$B:$B,EU$5)&gt;0,1,0)</f>
        <v>1</v>
      </c>
      <c r="EV7" s="6">
        <f>IF(SUMIFS('Locations Data'!$C:$C,'Locations Data'!$G:$G,$B7,'Locations Data'!$B:$B,EV$5)&gt;0,1,0)</f>
        <v>1</v>
      </c>
      <c r="EW7" s="6">
        <f>IF(SUMIFS('Locations Data'!$C:$C,'Locations Data'!$G:$G,$B7,'Locations Data'!$B:$B,EW$5)&gt;0,1,0)</f>
        <v>0</v>
      </c>
      <c r="EX7" s="6">
        <f>IF(SUMIFS('Locations Data'!$C:$C,'Locations Data'!$G:$G,$B7,'Locations Data'!$B:$B,EX$5)&gt;0,1,0)</f>
        <v>1</v>
      </c>
      <c r="EY7" s="6">
        <f>IF(SUMIFS('Locations Data'!$C:$C,'Locations Data'!$G:$G,$B7,'Locations Data'!$B:$B,EY$5)&gt;0,1,0)</f>
        <v>1</v>
      </c>
      <c r="EZ7" s="6">
        <f>IF(SUMIFS('Locations Data'!$C:$C,'Locations Data'!$G:$G,$B7,'Locations Data'!$B:$B,EZ$5)&gt;0,1,0)</f>
        <v>1</v>
      </c>
      <c r="FA7" s="6">
        <f>IF(SUMIFS('Locations Data'!$C:$C,'Locations Data'!$G:$G,$B7,'Locations Data'!$B:$B,FA$5)&gt;0,1,0)</f>
        <v>1</v>
      </c>
      <c r="FB7" s="6">
        <f>IF(SUMIFS('Locations Data'!$C:$C,'Locations Data'!$G:$G,$B7,'Locations Data'!$B:$B,FB$5)&gt;0,1,0)</f>
        <v>1</v>
      </c>
      <c r="FC7" s="6">
        <f>IF(SUMIFS('Locations Data'!$C:$C,'Locations Data'!$G:$G,$B7,'Locations Data'!$B:$B,FC$5)&gt;0,1,0)</f>
        <v>1</v>
      </c>
      <c r="FD7" s="6">
        <f>IF(SUMIFS('Locations Data'!$C:$C,'Locations Data'!$G:$G,$B7,'Locations Data'!$B:$B,FD$5)&gt;0,1,0)</f>
        <v>0</v>
      </c>
      <c r="FE7" s="6">
        <f>IF(SUMIFS('Locations Data'!$C:$C,'Locations Data'!$G:$G,$B7,'Locations Data'!$B:$B,FE$5)&gt;0,1,0)</f>
        <v>1</v>
      </c>
      <c r="FF7" s="6">
        <f>IF(SUMIFS('Locations Data'!$C:$C,'Locations Data'!$G:$G,$B7,'Locations Data'!$B:$B,FF$5)&gt;0,1,0)</f>
        <v>1</v>
      </c>
      <c r="FG7" s="6">
        <f>IF(SUMIFS('Locations Data'!$C:$C,'Locations Data'!$G:$G,$B7,'Locations Data'!$B:$B,FG$5)&gt;0,1,0)</f>
        <v>1</v>
      </c>
      <c r="FH7" s="6">
        <f>IF(SUMIFS('Locations Data'!$C:$C,'Locations Data'!$G:$G,$B7,'Locations Data'!$B:$B,FH$5)&gt;0,1,0)</f>
        <v>1</v>
      </c>
      <c r="FI7" s="6">
        <f>IF(SUMIFS('Locations Data'!$C:$C,'Locations Data'!$G:$G,$B7,'Locations Data'!$B:$B,FI$5)&gt;0,1,0)</f>
        <v>1</v>
      </c>
      <c r="FJ7" s="6">
        <f>IF(SUMIFS('Locations Data'!$C:$C,'Locations Data'!$G:$G,$B7,'Locations Data'!$B:$B,FJ$5)&gt;0,1,0)</f>
        <v>1</v>
      </c>
      <c r="FK7" s="6">
        <f>IF(SUMIFS('Locations Data'!$C:$C,'Locations Data'!$G:$G,$B7,'Locations Data'!$B:$B,FK$5)&gt;0,1,0)</f>
        <v>0</v>
      </c>
      <c r="FL7" s="6">
        <f>IF(SUMIFS('Locations Data'!$C:$C,'Locations Data'!$G:$G,$B7,'Locations Data'!$B:$B,FL$5)&gt;0,1,0)</f>
        <v>1</v>
      </c>
      <c r="FM7" s="6">
        <f>IF(SUMIFS('Locations Data'!$C:$C,'Locations Data'!$G:$G,$B7,'Locations Data'!$B:$B,FM$5)&gt;0,1,0)</f>
        <v>1</v>
      </c>
      <c r="FN7" s="6">
        <f>IF(SUMIFS('Locations Data'!$C:$C,'Locations Data'!$G:$G,$B7,'Locations Data'!$B:$B,FN$5)&gt;0,1,0)</f>
        <v>1</v>
      </c>
      <c r="FO7" s="6">
        <f>IF(SUMIFS('Locations Data'!$C:$C,'Locations Data'!$G:$G,$B7,'Locations Data'!$B:$B,FO$5)&gt;0,1,0)</f>
        <v>1</v>
      </c>
      <c r="FP7" s="6">
        <f>IF(SUMIFS('Locations Data'!$C:$C,'Locations Data'!$G:$G,$B7,'Locations Data'!$B:$B,FP$5)&gt;0,1,0)</f>
        <v>1</v>
      </c>
      <c r="FQ7" s="6">
        <f>IF(SUMIFS('Locations Data'!$C:$C,'Locations Data'!$G:$G,$B7,'Locations Data'!$B:$B,FQ$5)&gt;0,1,0)</f>
        <v>1</v>
      </c>
      <c r="FR7" s="6">
        <f>IF(SUMIFS('Locations Data'!$C:$C,'Locations Data'!$G:$G,$B7,'Locations Data'!$B:$B,FR$5)&gt;0,1,0)</f>
        <v>0</v>
      </c>
      <c r="FS7" s="6">
        <f>IF(SUMIFS('Locations Data'!$C:$C,'Locations Data'!$G:$G,$B7,'Locations Data'!$B:$B,FS$5)&gt;0,1,0)</f>
        <v>1</v>
      </c>
      <c r="FT7" s="6">
        <f>IF(SUMIFS('Locations Data'!$C:$C,'Locations Data'!$G:$G,$B7,'Locations Data'!$B:$B,FT$5)&gt;0,1,0)</f>
        <v>1</v>
      </c>
      <c r="FU7" s="6">
        <f>IF(SUMIFS('Locations Data'!$C:$C,'Locations Data'!$G:$G,$B7,'Locations Data'!$B:$B,FU$5)&gt;0,1,0)</f>
        <v>1</v>
      </c>
      <c r="FV7" s="6">
        <f>IF(SUMIFS('Locations Data'!$C:$C,'Locations Data'!$G:$G,$B7,'Locations Data'!$B:$B,FV$5)&gt;0,1,0)</f>
        <v>1</v>
      </c>
      <c r="FW7" s="6">
        <f>IF(SUMIFS('Locations Data'!$C:$C,'Locations Data'!$G:$G,$B7,'Locations Data'!$B:$B,FW$5)&gt;0,1,0)</f>
        <v>1</v>
      </c>
      <c r="FX7" s="6">
        <f>IF(SUMIFS('Locations Data'!$C:$C,'Locations Data'!$G:$G,$B7,'Locations Data'!$B:$B,FX$5)&gt;0,1,0)</f>
        <v>1</v>
      </c>
      <c r="FY7" s="6">
        <f>IF(SUMIFS('Locations Data'!$C:$C,'Locations Data'!$G:$G,$B7,'Locations Data'!$B:$B,FY$5)&gt;0,1,0)</f>
        <v>0</v>
      </c>
      <c r="FZ7" s="6">
        <f>IF(SUMIFS('Locations Data'!$C:$C,'Locations Data'!$G:$G,$B7,'Locations Data'!$B:$B,FZ$5)&gt;0,1,0)</f>
        <v>1</v>
      </c>
      <c r="GA7" s="6">
        <f>IF(SUMIFS('Locations Data'!$C:$C,'Locations Data'!$G:$G,$B7,'Locations Data'!$B:$B,GA$5)&gt;0,1,0)</f>
        <v>1</v>
      </c>
      <c r="GB7" s="6">
        <f>IF(SUMIFS('Locations Data'!$C:$C,'Locations Data'!$G:$G,$B7,'Locations Data'!$B:$B,GB$5)&gt;0,1,0)</f>
        <v>1</v>
      </c>
      <c r="GC7" s="6">
        <f>IF(SUMIFS('Locations Data'!$C:$C,'Locations Data'!$G:$G,$B7,'Locations Data'!$B:$B,GC$5)&gt;0,1,0)</f>
        <v>1</v>
      </c>
      <c r="GD7" s="6">
        <f>IF(SUMIFS('Locations Data'!$C:$C,'Locations Data'!$G:$G,$B7,'Locations Data'!$B:$B,GD$5)&gt;0,1,0)</f>
        <v>1</v>
      </c>
      <c r="GE7" s="6">
        <f>IF(SUMIFS('Locations Data'!$C:$C,'Locations Data'!$G:$G,$B7,'Locations Data'!$B:$B,GE$5)&gt;0,1,0)</f>
        <v>1</v>
      </c>
      <c r="GF7" s="6">
        <f>IF(SUMIFS('Locations Data'!$C:$C,'Locations Data'!$G:$G,$B7,'Locations Data'!$B:$B,GF$5)&gt;0,1,0)</f>
        <v>0</v>
      </c>
      <c r="GG7" s="6">
        <f>IF(SUMIFS('Locations Data'!$C:$C,'Locations Data'!$G:$G,$B7,'Locations Data'!$B:$B,GG$5)&gt;0,1,0)</f>
        <v>1</v>
      </c>
      <c r="GH7" s="6">
        <f>IF(SUMIFS('Locations Data'!$C:$C,'Locations Data'!$G:$G,$B7,'Locations Data'!$B:$B,GH$5)&gt;0,1,0)</f>
        <v>1</v>
      </c>
      <c r="GI7" s="6">
        <f>IF(SUMIFS('Locations Data'!$C:$C,'Locations Data'!$G:$G,$B7,'Locations Data'!$B:$B,GI$5)&gt;0,1,0)</f>
        <v>1</v>
      </c>
      <c r="GJ7" s="6">
        <f>IF(SUMIFS('Locations Data'!$C:$C,'Locations Data'!$G:$G,$B7,'Locations Data'!$B:$B,GJ$5)&gt;0,1,0)</f>
        <v>1</v>
      </c>
      <c r="GK7" s="6">
        <f>IF(SUMIFS('Locations Data'!$C:$C,'Locations Data'!$G:$G,$B7,'Locations Data'!$B:$B,GK$5)&gt;0,1,0)</f>
        <v>1</v>
      </c>
      <c r="GL7" s="6">
        <f>IF(SUMIFS('Locations Data'!$C:$C,'Locations Data'!$G:$G,$B7,'Locations Data'!$B:$B,GL$5)&gt;0,1,0)</f>
        <v>1</v>
      </c>
      <c r="GM7" s="6">
        <f>IF(SUMIFS('Locations Data'!$C:$C,'Locations Data'!$G:$G,$B7,'Locations Data'!$B:$B,GM$5)&gt;0,1,0)</f>
        <v>0</v>
      </c>
      <c r="GN7" s="6">
        <f>IF(SUMIFS('Locations Data'!$C:$C,'Locations Data'!$G:$G,$B7,'Locations Data'!$B:$B,GN$5)&gt;0,1,0)</f>
        <v>1</v>
      </c>
      <c r="GO7" s="6">
        <f>IF(SUMIFS('Locations Data'!$C:$C,'Locations Data'!$G:$G,$B7,'Locations Data'!$B:$B,GO$5)&gt;0,1,0)</f>
        <v>1</v>
      </c>
      <c r="GP7" s="6">
        <f>IF(SUMIFS('Locations Data'!$C:$C,'Locations Data'!$G:$G,$B7,'Locations Data'!$B:$B,GP$5)&gt;0,1,0)</f>
        <v>1</v>
      </c>
      <c r="GQ7" s="6">
        <f>IF(SUMIFS('Locations Data'!$C:$C,'Locations Data'!$G:$G,$B7,'Locations Data'!$B:$B,GQ$5)&gt;0,1,0)</f>
        <v>1</v>
      </c>
      <c r="GR7" s="6">
        <f>IF(SUMIFS('Locations Data'!$C:$C,'Locations Data'!$G:$G,$B7,'Locations Data'!$B:$B,GR$5)&gt;0,1,0)</f>
        <v>1</v>
      </c>
      <c r="GS7" s="6">
        <f>IF(SUMIFS('Locations Data'!$C:$C,'Locations Data'!$G:$G,$B7,'Locations Data'!$B:$B,GS$5)&gt;0,1,0)</f>
        <v>1</v>
      </c>
      <c r="GT7" s="6">
        <f>IF(SUMIFS('Locations Data'!$C:$C,'Locations Data'!$G:$G,$B7,'Locations Data'!$B:$B,GT$5)&gt;0,1,0)</f>
        <v>0</v>
      </c>
      <c r="GU7" s="6">
        <f>IF(SUMIFS('Locations Data'!$C:$C,'Locations Data'!$G:$G,$B7,'Locations Data'!$B:$B,GU$5)&gt;0,1,0)</f>
        <v>1</v>
      </c>
      <c r="GV7" s="6">
        <f>IF(SUMIFS('Locations Data'!$C:$C,'Locations Data'!$G:$G,$B7,'Locations Data'!$B:$B,GV$5)&gt;0,1,0)</f>
        <v>1</v>
      </c>
      <c r="GW7" s="6">
        <f>IF(SUMIFS('Locations Data'!$C:$C,'Locations Data'!$G:$G,$B7,'Locations Data'!$B:$B,GW$5)&gt;0,1,0)</f>
        <v>1</v>
      </c>
      <c r="GX7" s="6">
        <f>IF(SUMIFS('Locations Data'!$C:$C,'Locations Data'!$G:$G,$B7,'Locations Data'!$B:$B,GX$5)&gt;0,1,0)</f>
        <v>1</v>
      </c>
      <c r="GY7" s="6">
        <f>IF(SUMIFS('Locations Data'!$C:$C,'Locations Data'!$G:$G,$B7,'Locations Data'!$B:$B,GY$5)&gt;0,1,0)</f>
        <v>1</v>
      </c>
      <c r="GZ7" s="6">
        <f>IF(SUMIFS('Locations Data'!$C:$C,'Locations Data'!$G:$G,$B7,'Locations Data'!$B:$B,GZ$5)&gt;0,1,0)</f>
        <v>1</v>
      </c>
      <c r="HA7" s="6">
        <f>IF(SUMIFS('Locations Data'!$C:$C,'Locations Data'!$G:$G,$B7,'Locations Data'!$B:$B,HA$5)&gt;0,1,0)</f>
        <v>0</v>
      </c>
      <c r="HB7" s="6">
        <f>IF(SUMIFS('Locations Data'!$C:$C,'Locations Data'!$G:$G,$B7,'Locations Data'!$B:$B,HB$5)&gt;0,1,0)</f>
        <v>1</v>
      </c>
      <c r="HC7" s="6">
        <f>IF(SUMIFS('Locations Data'!$C:$C,'Locations Data'!$G:$G,$B7,'Locations Data'!$B:$B,HC$5)&gt;0,1,0)</f>
        <v>1</v>
      </c>
      <c r="HD7" s="6">
        <f>IF(SUMIFS('Locations Data'!$C:$C,'Locations Data'!$G:$G,$B7,'Locations Data'!$B:$B,HD$5)&gt;0,1,0)</f>
        <v>1</v>
      </c>
      <c r="HE7" s="6">
        <f>IF(SUMIFS('Locations Data'!$C:$C,'Locations Data'!$G:$G,$B7,'Locations Data'!$B:$B,HE$5)&gt;0,1,0)</f>
        <v>1</v>
      </c>
      <c r="HF7" s="6">
        <f>IF(SUMIFS('Locations Data'!$C:$C,'Locations Data'!$G:$G,$B7,'Locations Data'!$B:$B,HF$5)&gt;0,1,0)</f>
        <v>1</v>
      </c>
      <c r="HG7" s="6">
        <f>IF(SUMIFS('Locations Data'!$C:$C,'Locations Data'!$G:$G,$B7,'Locations Data'!$B:$B,HG$5)&gt;0,1,0)</f>
        <v>1</v>
      </c>
      <c r="HH7" s="6">
        <f>IF(SUMIFS('Locations Data'!$C:$C,'Locations Data'!$G:$G,$B7,'Locations Data'!$B:$B,HH$5)&gt;0,1,0)</f>
        <v>0</v>
      </c>
      <c r="HI7" s="6">
        <f>IF(SUMIFS('Locations Data'!$C:$C,'Locations Data'!$G:$G,$B7,'Locations Data'!$B:$B,HI$5)&gt;0,1,0)</f>
        <v>1</v>
      </c>
      <c r="HJ7" s="6">
        <f>IF(SUMIFS('Locations Data'!$C:$C,'Locations Data'!$G:$G,$B7,'Locations Data'!$B:$B,HJ$5)&gt;0,1,0)</f>
        <v>1</v>
      </c>
      <c r="HK7" s="6">
        <f>IF(SUMIFS('Locations Data'!$C:$C,'Locations Data'!$G:$G,$B7,'Locations Data'!$B:$B,HK$5)&gt;0,1,0)</f>
        <v>1</v>
      </c>
      <c r="HL7" s="6">
        <f>IF(SUMIFS('Locations Data'!$C:$C,'Locations Data'!$G:$G,$B7,'Locations Data'!$B:$B,HL$5)&gt;0,1,0)</f>
        <v>1</v>
      </c>
      <c r="HM7" s="6">
        <f>IF(SUMIFS('Locations Data'!$C:$C,'Locations Data'!$G:$G,$B7,'Locations Data'!$B:$B,HM$5)&gt;0,1,0)</f>
        <v>1</v>
      </c>
      <c r="HN7" s="6">
        <f>IF(SUMIFS('Locations Data'!$C:$C,'Locations Data'!$G:$G,$B7,'Locations Data'!$B:$B,HN$5)&gt;0,1,0)</f>
        <v>1</v>
      </c>
      <c r="HO7" s="6">
        <f>IF(SUMIFS('Locations Data'!$C:$C,'Locations Data'!$G:$G,$B7,'Locations Data'!$B:$B,HO$5)&gt;0,1,0)</f>
        <v>0</v>
      </c>
      <c r="HP7" s="6">
        <f>IF(SUMIFS('Locations Data'!$C:$C,'Locations Data'!$G:$G,$B7,'Locations Data'!$B:$B,HP$5)&gt;0,1,0)</f>
        <v>1</v>
      </c>
      <c r="HQ7" s="6">
        <f>IF(SUMIFS('Locations Data'!$C:$C,'Locations Data'!$G:$G,$B7,'Locations Data'!$B:$B,HQ$5)&gt;0,1,0)</f>
        <v>1</v>
      </c>
      <c r="HR7" s="6">
        <f>IF(SUMIFS('Locations Data'!$C:$C,'Locations Data'!$G:$G,$B7,'Locations Data'!$B:$B,HR$5)&gt;0,1,0)</f>
        <v>1</v>
      </c>
      <c r="HS7" s="6">
        <f>IF(SUMIFS('Locations Data'!$C:$C,'Locations Data'!$G:$G,$B7,'Locations Data'!$B:$B,HS$5)&gt;0,1,0)</f>
        <v>1</v>
      </c>
      <c r="HT7" s="6">
        <f>IF(SUMIFS('Locations Data'!$C:$C,'Locations Data'!$G:$G,$B7,'Locations Data'!$B:$B,HT$5)&gt;0,1,0)</f>
        <v>1</v>
      </c>
      <c r="HU7" s="6">
        <f>IF(SUMIFS('Locations Data'!$C:$C,'Locations Data'!$G:$G,$B7,'Locations Data'!$B:$B,HU$5)&gt;0,1,0)</f>
        <v>1</v>
      </c>
      <c r="HV7" s="6">
        <f>IF(SUMIFS('Locations Data'!$C:$C,'Locations Data'!$G:$G,$B7,'Locations Data'!$B:$B,HV$5)&gt;0,1,0)</f>
        <v>0</v>
      </c>
      <c r="HW7" s="6">
        <f>IF(SUMIFS('Locations Data'!$C:$C,'Locations Data'!$G:$G,$B7,'Locations Data'!$B:$B,HW$5)&gt;0,1,0)</f>
        <v>1</v>
      </c>
      <c r="HX7" s="6">
        <f>IF(SUMIFS('Locations Data'!$C:$C,'Locations Data'!$G:$G,$B7,'Locations Data'!$B:$B,HX$5)&gt;0,1,0)</f>
        <v>1</v>
      </c>
      <c r="HY7" s="6">
        <f>IF(SUMIFS('Locations Data'!$C:$C,'Locations Data'!$G:$G,$B7,'Locations Data'!$B:$B,HY$5)&gt;0,1,0)</f>
        <v>1</v>
      </c>
      <c r="HZ7" s="6">
        <f>IF(SUMIFS('Locations Data'!$C:$C,'Locations Data'!$G:$G,$B7,'Locations Data'!$B:$B,HZ$5)&gt;0,1,0)</f>
        <v>1</v>
      </c>
      <c r="IA7" s="6">
        <f>IF(SUMIFS('Locations Data'!$C:$C,'Locations Data'!$G:$G,$B7,'Locations Data'!$B:$B,IA$5)&gt;0,1,0)</f>
        <v>1</v>
      </c>
      <c r="IB7" s="6">
        <f>IF(SUMIFS('Locations Data'!$C:$C,'Locations Data'!$G:$G,$B7,'Locations Data'!$B:$B,IB$5)&gt;0,1,0)</f>
        <v>1</v>
      </c>
      <c r="IC7" s="6">
        <f>IF(SUMIFS('Locations Data'!$C:$C,'Locations Data'!$G:$G,$B7,'Locations Data'!$B:$B,IC$5)&gt;0,1,0)</f>
        <v>0</v>
      </c>
      <c r="ID7" s="6">
        <f>IF(SUMIFS('Locations Data'!$C:$C,'Locations Data'!$G:$G,$B7,'Locations Data'!$B:$B,ID$5)&gt;0,1,0)</f>
        <v>1</v>
      </c>
      <c r="IE7" s="6">
        <f>IF(SUMIFS('Locations Data'!$C:$C,'Locations Data'!$G:$G,$B7,'Locations Data'!$B:$B,IE$5)&gt;0,1,0)</f>
        <v>1</v>
      </c>
      <c r="IF7" s="6">
        <f>IF(SUMIFS('Locations Data'!$C:$C,'Locations Data'!$G:$G,$B7,'Locations Data'!$B:$B,IF$5)&gt;0,1,0)</f>
        <v>1</v>
      </c>
      <c r="IG7" s="6">
        <f>IF(SUMIFS('Locations Data'!$C:$C,'Locations Data'!$G:$G,$B7,'Locations Data'!$B:$B,IG$5)&gt;0,1,0)</f>
        <v>1</v>
      </c>
      <c r="IH7" s="6">
        <f>IF(SUMIFS('Locations Data'!$C:$C,'Locations Data'!$G:$G,$B7,'Locations Data'!$B:$B,IH$5)&gt;0,1,0)</f>
        <v>1</v>
      </c>
      <c r="II7" s="6">
        <f>IF(SUMIFS('Locations Data'!$C:$C,'Locations Data'!$G:$G,$B7,'Locations Data'!$B:$B,II$5)&gt;0,1,0)</f>
        <v>1</v>
      </c>
      <c r="IJ7" s="6">
        <f>IF(SUMIFS('Locations Data'!$C:$C,'Locations Data'!$G:$G,$B7,'Locations Data'!$B:$B,IJ$5)&gt;0,1,0)</f>
        <v>0</v>
      </c>
      <c r="IK7" s="6">
        <f>IF(SUMIFS('Locations Data'!$C:$C,'Locations Data'!$G:$G,$B7,'Locations Data'!$B:$B,IK$5)&gt;0,1,0)</f>
        <v>1</v>
      </c>
      <c r="IL7" s="6">
        <f>IF(SUMIFS('Locations Data'!$C:$C,'Locations Data'!$G:$G,$B7,'Locations Data'!$B:$B,IL$5)&gt;0,1,0)</f>
        <v>1</v>
      </c>
      <c r="IM7" s="6">
        <f>IF(SUMIFS('Locations Data'!$C:$C,'Locations Data'!$G:$G,$B7,'Locations Data'!$B:$B,IM$5)&gt;0,1,0)</f>
        <v>1</v>
      </c>
      <c r="IN7" s="6">
        <f>IF(SUMIFS('Locations Data'!$C:$C,'Locations Data'!$G:$G,$B7,'Locations Data'!$B:$B,IN$5)&gt;0,1,0)</f>
        <v>1</v>
      </c>
      <c r="IO7" s="6">
        <f>IF(SUMIFS('Locations Data'!$C:$C,'Locations Data'!$G:$G,$B7,'Locations Data'!$B:$B,IO$5)&gt;0,1,0)</f>
        <v>1</v>
      </c>
      <c r="IP7" s="6">
        <f>IF(SUMIFS('Locations Data'!$C:$C,'Locations Data'!$G:$G,$B7,'Locations Data'!$B:$B,IP$5)&gt;0,1,0)</f>
        <v>1</v>
      </c>
      <c r="IQ7" s="6">
        <f>IF(SUMIFS('Locations Data'!$C:$C,'Locations Data'!$G:$G,$B7,'Locations Data'!$B:$B,IQ$5)&gt;0,1,0)</f>
        <v>0</v>
      </c>
      <c r="IR7" s="6">
        <f>IF(SUMIFS('Locations Data'!$C:$C,'Locations Data'!$G:$G,$B7,'Locations Data'!$B:$B,IR$5)&gt;0,1,0)</f>
        <v>1</v>
      </c>
      <c r="IS7" s="6">
        <f>IF(SUMIFS('Locations Data'!$C:$C,'Locations Data'!$G:$G,$B7,'Locations Data'!$B:$B,IS$5)&gt;0,1,0)</f>
        <v>1</v>
      </c>
      <c r="IT7" s="6">
        <f>IF(SUMIFS('Locations Data'!$C:$C,'Locations Data'!$G:$G,$B7,'Locations Data'!$B:$B,IT$5)&gt;0,1,0)</f>
        <v>1</v>
      </c>
      <c r="IU7" s="6">
        <f>IF(SUMIFS('Locations Data'!$C:$C,'Locations Data'!$G:$G,$B7,'Locations Data'!$B:$B,IU$5)&gt;0,1,0)</f>
        <v>1</v>
      </c>
      <c r="IV7" s="6">
        <f>IF(SUMIFS('Locations Data'!$C:$C,'Locations Data'!$G:$G,$B7,'Locations Data'!$B:$B,IV$5)&gt;0,1,0)</f>
        <v>1</v>
      </c>
      <c r="IW7" s="6">
        <f>IF(SUMIFS('Locations Data'!$C:$C,'Locations Data'!$G:$G,$B7,'Locations Data'!$B:$B,IW$5)&gt;0,1,0)</f>
        <v>1</v>
      </c>
      <c r="IX7" s="6">
        <f>IF(SUMIFS('Locations Data'!$C:$C,'Locations Data'!$G:$G,$B7,'Locations Data'!$B:$B,IX$5)&gt;0,1,0)</f>
        <v>0</v>
      </c>
      <c r="IY7" s="6">
        <f>IF(SUMIFS('Locations Data'!$C:$C,'Locations Data'!$G:$G,$B7,'Locations Data'!$B:$B,IY$5)&gt;0,1,0)</f>
        <v>1</v>
      </c>
      <c r="IZ7" s="6">
        <f>IF(SUMIFS('Locations Data'!$C:$C,'Locations Data'!$G:$G,$B7,'Locations Data'!$B:$B,IZ$5)&gt;0,1,0)</f>
        <v>1</v>
      </c>
      <c r="JA7" s="6">
        <f>IF(SUMIFS('Locations Data'!$C:$C,'Locations Data'!$G:$G,$B7,'Locations Data'!$B:$B,JA$5)&gt;0,1,0)</f>
        <v>1</v>
      </c>
      <c r="JB7" s="6">
        <f>IF(SUMIFS('Locations Data'!$C:$C,'Locations Data'!$G:$G,$B7,'Locations Data'!$B:$B,JB$5)&gt;0,1,0)</f>
        <v>1</v>
      </c>
      <c r="JC7" s="6">
        <f>IF(SUMIFS('Locations Data'!$C:$C,'Locations Data'!$G:$G,$B7,'Locations Data'!$B:$B,JC$5)&gt;0,1,0)</f>
        <v>1</v>
      </c>
      <c r="JD7" s="6">
        <f>IF(SUMIFS('Locations Data'!$C:$C,'Locations Data'!$G:$G,$B7,'Locations Data'!$B:$B,JD$5)&gt;0,1,0)</f>
        <v>1</v>
      </c>
      <c r="JE7" s="6">
        <f>IF(SUMIFS('Locations Data'!$C:$C,'Locations Data'!$G:$G,$B7,'Locations Data'!$B:$B,JE$5)&gt;0,1,0)</f>
        <v>0</v>
      </c>
      <c r="JF7" s="6">
        <f>IF(SUMIFS('Locations Data'!$C:$C,'Locations Data'!$G:$G,$B7,'Locations Data'!$B:$B,JF$5)&gt;0,1,0)</f>
        <v>1</v>
      </c>
      <c r="JG7" s="6">
        <f>IF(SUMIFS('Locations Data'!$C:$C,'Locations Data'!$G:$G,$B7,'Locations Data'!$B:$B,JG$5)&gt;0,1,0)</f>
        <v>1</v>
      </c>
      <c r="JH7" s="6">
        <f>IF(SUMIFS('Locations Data'!$C:$C,'Locations Data'!$G:$G,$B7,'Locations Data'!$B:$B,JH$5)&gt;0,1,0)</f>
        <v>1</v>
      </c>
      <c r="JI7" s="6">
        <f>IF(SUMIFS('Locations Data'!$C:$C,'Locations Data'!$G:$G,$B7,'Locations Data'!$B:$B,JI$5)&gt;0,1,0)</f>
        <v>1</v>
      </c>
      <c r="JJ7" s="6">
        <f>IF(SUMIFS('Locations Data'!$C:$C,'Locations Data'!$G:$G,$B7,'Locations Data'!$B:$B,JJ$5)&gt;0,1,0)</f>
        <v>1</v>
      </c>
      <c r="JK7" s="6">
        <f>IF(SUMIFS('Locations Data'!$C:$C,'Locations Data'!$G:$G,$B7,'Locations Data'!$B:$B,JK$5)&gt;0,1,0)</f>
        <v>1</v>
      </c>
      <c r="JL7" s="6">
        <f>IF(SUMIFS('Locations Data'!$C:$C,'Locations Data'!$G:$G,$B7,'Locations Data'!$B:$B,JL$5)&gt;0,1,0)</f>
        <v>0</v>
      </c>
      <c r="JM7" s="6">
        <f>IF(SUMIFS('Locations Data'!$C:$C,'Locations Data'!$G:$G,$B7,'Locations Data'!$B:$B,JM$5)&gt;0,1,0)</f>
        <v>1</v>
      </c>
      <c r="JN7" s="6">
        <f>IF(SUMIFS('Locations Data'!$C:$C,'Locations Data'!$G:$G,$B7,'Locations Data'!$B:$B,JN$5)&gt;0,1,0)</f>
        <v>1</v>
      </c>
      <c r="JO7" s="6">
        <f>IF(SUMIFS('Locations Data'!$C:$C,'Locations Data'!$G:$G,$B7,'Locations Data'!$B:$B,JO$5)&gt;0,1,0)</f>
        <v>1</v>
      </c>
      <c r="JP7" s="6">
        <f>IF(SUMIFS('Locations Data'!$C:$C,'Locations Data'!$G:$G,$B7,'Locations Data'!$B:$B,JP$5)&gt;0,1,0)</f>
        <v>1</v>
      </c>
      <c r="JQ7" s="6">
        <f>IF(SUMIFS('Locations Data'!$C:$C,'Locations Data'!$G:$G,$B7,'Locations Data'!$B:$B,JQ$5)&gt;0,1,0)</f>
        <v>1</v>
      </c>
      <c r="JR7" s="6">
        <f>IF(SUMIFS('Locations Data'!$C:$C,'Locations Data'!$G:$G,$B7,'Locations Data'!$B:$B,JR$5)&gt;0,1,0)</f>
        <v>1</v>
      </c>
      <c r="JS7" s="6">
        <f>IF(SUMIFS('Locations Data'!$C:$C,'Locations Data'!$G:$G,$B7,'Locations Data'!$B:$B,JS$5)&gt;0,1,0)</f>
        <v>0</v>
      </c>
      <c r="JT7" s="6">
        <f>IF(SUMIFS('Locations Data'!$C:$C,'Locations Data'!$G:$G,$B7,'Locations Data'!$B:$B,JT$5)&gt;0,1,0)</f>
        <v>1</v>
      </c>
      <c r="JU7" s="6">
        <f>IF(SUMIFS('Locations Data'!$C:$C,'Locations Data'!$G:$G,$B7,'Locations Data'!$B:$B,JU$5)&gt;0,1,0)</f>
        <v>1</v>
      </c>
      <c r="JV7" s="6">
        <f>IF(SUMIFS('Locations Data'!$C:$C,'Locations Data'!$G:$G,$B7,'Locations Data'!$B:$B,JV$5)&gt;0,1,0)</f>
        <v>1</v>
      </c>
      <c r="JW7" s="6">
        <f>IF(SUMIFS('Locations Data'!$C:$C,'Locations Data'!$G:$G,$B7,'Locations Data'!$B:$B,JW$5)&gt;0,1,0)</f>
        <v>1</v>
      </c>
      <c r="JX7" s="6">
        <f>IF(SUMIFS('Locations Data'!$C:$C,'Locations Data'!$G:$G,$B7,'Locations Data'!$B:$B,JX$5)&gt;0,1,0)</f>
        <v>1</v>
      </c>
      <c r="JY7" s="6">
        <f>IF(SUMIFS('Locations Data'!$C:$C,'Locations Data'!$G:$G,$B7,'Locations Data'!$B:$B,JY$5)&gt;0,1,0)</f>
        <v>1</v>
      </c>
      <c r="JZ7" s="6">
        <f>IF(SUMIFS('Locations Data'!$C:$C,'Locations Data'!$G:$G,$B7,'Locations Data'!$B:$B,JZ$5)&gt;0,1,0)</f>
        <v>0</v>
      </c>
      <c r="KA7" s="6">
        <f>IF(SUMIFS('Locations Data'!$C:$C,'Locations Data'!$G:$G,$B7,'Locations Data'!$B:$B,KA$5)&gt;0,1,0)</f>
        <v>1</v>
      </c>
      <c r="KB7" s="6">
        <f>IF(SUMIFS('Locations Data'!$C:$C,'Locations Data'!$G:$G,$B7,'Locations Data'!$B:$B,KB$5)&gt;0,1,0)</f>
        <v>1</v>
      </c>
      <c r="KC7" s="6">
        <f>IF(SUMIFS('Locations Data'!$C:$C,'Locations Data'!$G:$G,$B7,'Locations Data'!$B:$B,KC$5)&gt;0,1,0)</f>
        <v>1</v>
      </c>
      <c r="KD7" s="6">
        <f>IF(SUMIFS('Locations Data'!$C:$C,'Locations Data'!$G:$G,$B7,'Locations Data'!$B:$B,KD$5)&gt;0,1,0)</f>
        <v>1</v>
      </c>
      <c r="KE7" s="6">
        <f>IF(SUMIFS('Locations Data'!$C:$C,'Locations Data'!$G:$G,$B7,'Locations Data'!$B:$B,KE$5)&gt;0,1,0)</f>
        <v>1</v>
      </c>
      <c r="KF7" s="6">
        <f>IF(SUMIFS('Locations Data'!$C:$C,'Locations Data'!$G:$G,$B7,'Locations Data'!$B:$B,KF$5)&gt;0,1,0)</f>
        <v>1</v>
      </c>
      <c r="KG7" s="6">
        <f>IF(SUMIFS('Locations Data'!$C:$C,'Locations Data'!$G:$G,$B7,'Locations Data'!$B:$B,KG$5)&gt;0,1,0)</f>
        <v>0</v>
      </c>
      <c r="KH7" s="6">
        <f>IF(SUMIFS('Locations Data'!$C:$C,'Locations Data'!$G:$G,$B7,'Locations Data'!$B:$B,KH$5)&gt;0,1,0)</f>
        <v>1</v>
      </c>
      <c r="KI7" s="6">
        <f>IF(SUMIFS('Locations Data'!$C:$C,'Locations Data'!$G:$G,$B7,'Locations Data'!$B:$B,KI$5)&gt;0,1,0)</f>
        <v>1</v>
      </c>
      <c r="KJ7" s="6">
        <f>IF(SUMIFS('Locations Data'!$C:$C,'Locations Data'!$G:$G,$B7,'Locations Data'!$B:$B,KJ$5)&gt;0,1,0)</f>
        <v>1</v>
      </c>
      <c r="KK7" s="6">
        <f>IF(SUMIFS('Locations Data'!$C:$C,'Locations Data'!$G:$G,$B7,'Locations Data'!$B:$B,KK$5)&gt;0,1,0)</f>
        <v>1</v>
      </c>
      <c r="KL7" s="6">
        <f>IF(SUMIFS('Locations Data'!$C:$C,'Locations Data'!$G:$G,$B7,'Locations Data'!$B:$B,KL$5)&gt;0,1,0)</f>
        <v>1</v>
      </c>
      <c r="KM7" s="6">
        <f>IF(SUMIFS('Locations Data'!$C:$C,'Locations Data'!$G:$G,$B7,'Locations Data'!$B:$B,KM$5)&gt;0,1,0)</f>
        <v>1</v>
      </c>
      <c r="KN7" s="6">
        <f>IF(SUMIFS('Locations Data'!$C:$C,'Locations Data'!$G:$G,$B7,'Locations Data'!$B:$B,KN$5)&gt;0,1,0)</f>
        <v>0</v>
      </c>
      <c r="KO7" s="6">
        <f>IF(SUMIFS('Locations Data'!$C:$C,'Locations Data'!$G:$G,$B7,'Locations Data'!$B:$B,KO$5)&gt;0,1,0)</f>
        <v>1</v>
      </c>
      <c r="KP7" s="6">
        <f>IF(SUMIFS('Locations Data'!$C:$C,'Locations Data'!$G:$G,$B7,'Locations Data'!$B:$B,KP$5)&gt;0,1,0)</f>
        <v>1</v>
      </c>
      <c r="KQ7" s="6">
        <f>IF(SUMIFS('Locations Data'!$C:$C,'Locations Data'!$G:$G,$B7,'Locations Data'!$B:$B,KQ$5)&gt;0,1,0)</f>
        <v>1</v>
      </c>
      <c r="KR7" s="6">
        <f>IF(SUMIFS('Locations Data'!$C:$C,'Locations Data'!$G:$G,$B7,'Locations Data'!$B:$B,KR$5)&gt;0,1,0)</f>
        <v>1</v>
      </c>
      <c r="KS7" s="6">
        <f>IF(SUMIFS('Locations Data'!$C:$C,'Locations Data'!$G:$G,$B7,'Locations Data'!$B:$B,KS$5)&gt;0,1,0)</f>
        <v>1</v>
      </c>
      <c r="KT7" s="6">
        <f>IF(SUMIFS('Locations Data'!$C:$C,'Locations Data'!$G:$G,$B7,'Locations Data'!$B:$B,KT$5)&gt;0,1,0)</f>
        <v>1</v>
      </c>
      <c r="KU7" s="6">
        <f>IF(SUMIFS('Locations Data'!$C:$C,'Locations Data'!$G:$G,$B7,'Locations Data'!$B:$B,KU$5)&gt;0,1,0)</f>
        <v>0</v>
      </c>
      <c r="KV7" s="6">
        <f>IF(SUMIFS('Locations Data'!$C:$C,'Locations Data'!$G:$G,$B7,'Locations Data'!$B:$B,KV$5)&gt;0,1,0)</f>
        <v>1</v>
      </c>
      <c r="KW7" s="6">
        <f>IF(SUMIFS('Locations Data'!$C:$C,'Locations Data'!$G:$G,$B7,'Locations Data'!$B:$B,KW$5)&gt;0,1,0)</f>
        <v>1</v>
      </c>
      <c r="KX7" s="6">
        <f>IF(SUMIFS('Locations Data'!$C:$C,'Locations Data'!$G:$G,$B7,'Locations Data'!$B:$B,KX$5)&gt;0,1,0)</f>
        <v>1</v>
      </c>
      <c r="KY7" s="6">
        <f>IF(SUMIFS('Locations Data'!$C:$C,'Locations Data'!$G:$G,$B7,'Locations Data'!$B:$B,KY$5)&gt;0,1,0)</f>
        <v>1</v>
      </c>
      <c r="KZ7" s="6">
        <f>IF(SUMIFS('Locations Data'!$C:$C,'Locations Data'!$G:$G,$B7,'Locations Data'!$B:$B,KZ$5)&gt;0,1,0)</f>
        <v>1</v>
      </c>
      <c r="LA7" s="6">
        <f>IF(SUMIFS('Locations Data'!$C:$C,'Locations Data'!$G:$G,$B7,'Locations Data'!$B:$B,LA$5)&gt;0,1,0)</f>
        <v>1</v>
      </c>
      <c r="LB7" s="6">
        <f>IF(SUMIFS('Locations Data'!$C:$C,'Locations Data'!$G:$G,$B7,'Locations Data'!$B:$B,LB$5)&gt;0,1,0)</f>
        <v>0</v>
      </c>
      <c r="LC7" s="6">
        <f>IF(SUMIFS('Locations Data'!$C:$C,'Locations Data'!$G:$G,$B7,'Locations Data'!$B:$B,LC$5)&gt;0,1,0)</f>
        <v>1</v>
      </c>
      <c r="LD7" s="6">
        <f>IF(SUMIFS('Locations Data'!$C:$C,'Locations Data'!$G:$G,$B7,'Locations Data'!$B:$B,LD$5)&gt;0,1,0)</f>
        <v>1</v>
      </c>
      <c r="LE7" s="6">
        <f>IF(SUMIFS('Locations Data'!$C:$C,'Locations Data'!$G:$G,$B7,'Locations Data'!$B:$B,LE$5)&gt;0,1,0)</f>
        <v>1</v>
      </c>
      <c r="LF7" s="6">
        <f>IF(SUMIFS('Locations Data'!$C:$C,'Locations Data'!$G:$G,$B7,'Locations Data'!$B:$B,LF$5)&gt;0,1,0)</f>
        <v>1</v>
      </c>
      <c r="LG7" s="6">
        <f>IF(SUMIFS('Locations Data'!$C:$C,'Locations Data'!$G:$G,$B7,'Locations Data'!$B:$B,LG$5)&gt;0,1,0)</f>
        <v>1</v>
      </c>
      <c r="LH7" s="6">
        <f>IF(SUMIFS('Locations Data'!$C:$C,'Locations Data'!$G:$G,$B7,'Locations Data'!$B:$B,LH$5)&gt;0,1,0)</f>
        <v>1</v>
      </c>
      <c r="LI7" s="6">
        <f>IF(SUMIFS('Locations Data'!$C:$C,'Locations Data'!$G:$G,$B7,'Locations Data'!$B:$B,LI$5)&gt;0,1,0)</f>
        <v>0</v>
      </c>
      <c r="LJ7" s="6">
        <f>IF(SUMIFS('Locations Data'!$C:$C,'Locations Data'!$G:$G,$B7,'Locations Data'!$B:$B,LJ$5)&gt;0,1,0)</f>
        <v>1</v>
      </c>
      <c r="LK7" s="6">
        <f>IF(SUMIFS('Locations Data'!$C:$C,'Locations Data'!$G:$G,$B7,'Locations Data'!$B:$B,LK$5)&gt;0,1,0)</f>
        <v>1</v>
      </c>
      <c r="LL7" s="6">
        <f>IF(SUMIFS('Locations Data'!$C:$C,'Locations Data'!$G:$G,$B7,'Locations Data'!$B:$B,LL$5)&gt;0,1,0)</f>
        <v>1</v>
      </c>
      <c r="LM7" s="6">
        <f>IF(SUMIFS('Locations Data'!$C:$C,'Locations Data'!$G:$G,$B7,'Locations Data'!$B:$B,LM$5)&gt;0,1,0)</f>
        <v>1</v>
      </c>
      <c r="LN7" s="6">
        <f>IF(SUMIFS('Locations Data'!$C:$C,'Locations Data'!$G:$G,$B7,'Locations Data'!$B:$B,LN$5)&gt;0,1,0)</f>
        <v>1</v>
      </c>
      <c r="LO7" s="6">
        <f>IF(SUMIFS('Locations Data'!$C:$C,'Locations Data'!$G:$G,$B7,'Locations Data'!$B:$B,LO$5)&gt;0,1,0)</f>
        <v>1</v>
      </c>
      <c r="LP7" s="6">
        <f>IF(SUMIFS('Locations Data'!$C:$C,'Locations Data'!$G:$G,$B7,'Locations Data'!$B:$B,LP$5)&gt;0,1,0)</f>
        <v>0</v>
      </c>
      <c r="LQ7" s="6">
        <f>IF(SUMIFS('Locations Data'!$C:$C,'Locations Data'!$G:$G,$B7,'Locations Data'!$B:$B,LQ$5)&gt;0,1,0)</f>
        <v>1</v>
      </c>
      <c r="LR7" s="6">
        <f>IF(SUMIFS('Locations Data'!$C:$C,'Locations Data'!$G:$G,$B7,'Locations Data'!$B:$B,LR$5)&gt;0,1,0)</f>
        <v>1</v>
      </c>
      <c r="LS7" s="6">
        <f>IF(SUMIFS('Locations Data'!$C:$C,'Locations Data'!$G:$G,$B7,'Locations Data'!$B:$B,LS$5)&gt;0,1,0)</f>
        <v>1</v>
      </c>
      <c r="LT7" s="6">
        <f>IF(SUMIFS('Locations Data'!$C:$C,'Locations Data'!$G:$G,$B7,'Locations Data'!$B:$B,LT$5)&gt;0,1,0)</f>
        <v>1</v>
      </c>
      <c r="LU7" s="6">
        <f>IF(SUMIFS('Locations Data'!$C:$C,'Locations Data'!$G:$G,$B7,'Locations Data'!$B:$B,LU$5)&gt;0,1,0)</f>
        <v>1</v>
      </c>
      <c r="LV7" s="6">
        <f>IF(SUMIFS('Locations Data'!$C:$C,'Locations Data'!$G:$G,$B7,'Locations Data'!$B:$B,LV$5)&gt;0,1,0)</f>
        <v>1</v>
      </c>
      <c r="LW7" s="6">
        <f>IF(SUMIFS('Locations Data'!$C:$C,'Locations Data'!$G:$G,$B7,'Locations Data'!$B:$B,LW$5)&gt;0,1,0)</f>
        <v>0</v>
      </c>
      <c r="LX7" s="6">
        <f>IF(SUMIFS('Locations Data'!$C:$C,'Locations Data'!$G:$G,$B7,'Locations Data'!$B:$B,LX$5)&gt;0,1,0)</f>
        <v>1</v>
      </c>
      <c r="LY7" s="6">
        <f>IF(SUMIFS('Locations Data'!$C:$C,'Locations Data'!$G:$G,$B7,'Locations Data'!$B:$B,LY$5)&gt;0,1,0)</f>
        <v>1</v>
      </c>
      <c r="LZ7" s="6">
        <f>IF(SUMIFS('Locations Data'!$C:$C,'Locations Data'!$G:$G,$B7,'Locations Data'!$B:$B,LZ$5)&gt;0,1,0)</f>
        <v>1</v>
      </c>
      <c r="MA7" s="6">
        <f>IF(SUMIFS('Locations Data'!$C:$C,'Locations Data'!$G:$G,$B7,'Locations Data'!$B:$B,MA$5)&gt;0,1,0)</f>
        <v>1</v>
      </c>
      <c r="MB7" s="6">
        <f>IF(SUMIFS('Locations Data'!$C:$C,'Locations Data'!$G:$G,$B7,'Locations Data'!$B:$B,MB$5)&gt;0,1,0)</f>
        <v>1</v>
      </c>
      <c r="MC7" s="6">
        <f>IF(SUMIFS('Locations Data'!$C:$C,'Locations Data'!$G:$G,$B7,'Locations Data'!$B:$B,MC$5)&gt;0,1,0)</f>
        <v>1</v>
      </c>
      <c r="MD7" s="6">
        <f>IF(SUMIFS('Locations Data'!$C:$C,'Locations Data'!$G:$G,$B7,'Locations Data'!$B:$B,MD$5)&gt;0,1,0)</f>
        <v>0</v>
      </c>
      <c r="ME7" s="6">
        <f>IF(SUMIFS('Locations Data'!$C:$C,'Locations Data'!$G:$G,$B7,'Locations Data'!$B:$B,ME$5)&gt;0,1,0)</f>
        <v>1</v>
      </c>
      <c r="MF7" s="6">
        <f>IF(SUMIFS('Locations Data'!$C:$C,'Locations Data'!$G:$G,$B7,'Locations Data'!$B:$B,MF$5)&gt;0,1,0)</f>
        <v>1</v>
      </c>
      <c r="MG7" s="6">
        <f>IF(SUMIFS('Locations Data'!$C:$C,'Locations Data'!$G:$G,$B7,'Locations Data'!$B:$B,MG$5)&gt;0,1,0)</f>
        <v>1</v>
      </c>
      <c r="MH7" s="6">
        <f>IF(SUMIFS('Locations Data'!$C:$C,'Locations Data'!$G:$G,$B7,'Locations Data'!$B:$B,MH$5)&gt;0,1,0)</f>
        <v>1</v>
      </c>
      <c r="MI7" s="6">
        <f>IF(SUMIFS('Locations Data'!$C:$C,'Locations Data'!$G:$G,$B7,'Locations Data'!$B:$B,MI$5)&gt;0,1,0)</f>
        <v>1</v>
      </c>
      <c r="MJ7" s="6">
        <f>IF(SUMIFS('Locations Data'!$C:$C,'Locations Data'!$G:$G,$B7,'Locations Data'!$B:$B,MJ$5)&gt;0,1,0)</f>
        <v>1</v>
      </c>
      <c r="MK7" s="6">
        <f>IF(SUMIFS('Locations Data'!$C:$C,'Locations Data'!$G:$G,$B7,'Locations Data'!$B:$B,MK$5)&gt;0,1,0)</f>
        <v>0</v>
      </c>
      <c r="ML7" s="6">
        <f>IF(SUMIFS('Locations Data'!$C:$C,'Locations Data'!$G:$G,$B7,'Locations Data'!$B:$B,ML$5)&gt;0,1,0)</f>
        <v>1</v>
      </c>
      <c r="MM7" s="6">
        <f>IF(SUMIFS('Locations Data'!$C:$C,'Locations Data'!$G:$G,$B7,'Locations Data'!$B:$B,MM$5)&gt;0,1,0)</f>
        <v>1</v>
      </c>
      <c r="MN7" s="6">
        <f>IF(SUMIFS('Locations Data'!$C:$C,'Locations Data'!$G:$G,$B7,'Locations Data'!$B:$B,MN$5)&gt;0,1,0)</f>
        <v>1</v>
      </c>
      <c r="MO7" s="6">
        <f>IF(SUMIFS('Locations Data'!$C:$C,'Locations Data'!$G:$G,$B7,'Locations Data'!$B:$B,MO$5)&gt;0,1,0)</f>
        <v>1</v>
      </c>
      <c r="MP7" s="6">
        <f>IF(SUMIFS('Locations Data'!$C:$C,'Locations Data'!$G:$G,$B7,'Locations Data'!$B:$B,MP$5)&gt;0,1,0)</f>
        <v>1</v>
      </c>
      <c r="MQ7" s="6">
        <f>IF(SUMIFS('Locations Data'!$C:$C,'Locations Data'!$G:$G,$B7,'Locations Data'!$B:$B,MQ$5)&gt;0,1,0)</f>
        <v>1</v>
      </c>
      <c r="MR7" s="6">
        <f>IF(SUMIFS('Locations Data'!$C:$C,'Locations Data'!$G:$G,$B7,'Locations Data'!$B:$B,MR$5)&gt;0,1,0)</f>
        <v>0</v>
      </c>
      <c r="MS7" s="6">
        <f>IF(SUMIFS('Locations Data'!$C:$C,'Locations Data'!$G:$G,$B7,'Locations Data'!$B:$B,MS$5)&gt;0,1,0)</f>
        <v>1</v>
      </c>
      <c r="MT7" s="6">
        <f>IF(SUMIFS('Locations Data'!$C:$C,'Locations Data'!$G:$G,$B7,'Locations Data'!$B:$B,MT$5)&gt;0,1,0)</f>
        <v>1</v>
      </c>
      <c r="MU7" s="6">
        <f>IF(SUMIFS('Locations Data'!$C:$C,'Locations Data'!$G:$G,$B7,'Locations Data'!$B:$B,MU$5)&gt;0,1,0)</f>
        <v>1</v>
      </c>
      <c r="MV7" s="6">
        <f>IF(SUMIFS('Locations Data'!$C:$C,'Locations Data'!$G:$G,$B7,'Locations Data'!$B:$B,MV$5)&gt;0,1,0)</f>
        <v>1</v>
      </c>
      <c r="MW7" s="26">
        <v>0</v>
      </c>
      <c r="MX7" s="6">
        <f>IF(SUMIFS('Locations Data'!$C:$C,'Locations Data'!$G:$G,$B7,'Locations Data'!$B:$B,MX$5)&gt;0,1,0)</f>
        <v>1</v>
      </c>
      <c r="MY7" s="6">
        <f>IF(SUMIFS('Locations Data'!$C:$C,'Locations Data'!$G:$G,$B7,'Locations Data'!$B:$B,MY$5)&gt;0,1,0)</f>
        <v>0</v>
      </c>
      <c r="MZ7" s="6">
        <f>IF(SUMIFS('Locations Data'!$C:$C,'Locations Data'!$G:$G,$B7,'Locations Data'!$B:$B,MZ$5)&gt;0,1,0)</f>
        <v>1</v>
      </c>
      <c r="NA7" s="6">
        <f>IF(SUMIFS('Locations Data'!$C:$C,'Locations Data'!$G:$G,$B7,'Locations Data'!$B:$B,NA$5)&gt;0,1,0)</f>
        <v>1</v>
      </c>
      <c r="NB7" s="6">
        <f>IF(SUMIFS('Locations Data'!$C:$C,'Locations Data'!$G:$G,$B7,'Locations Data'!$B:$B,NB$5)&gt;0,1,0)</f>
        <v>1</v>
      </c>
      <c r="NC7" s="6">
        <f>IF(SUMIFS('Locations Data'!$C:$C,'Locations Data'!$G:$G,$B7,'Locations Data'!$B:$B,NC$5)&gt;0,1,0)</f>
        <v>1</v>
      </c>
    </row>
    <row r="8" spans="2:367">
      <c r="B8" s="20" t="s">
        <v>302</v>
      </c>
      <c r="C8" s="6">
        <v>0</v>
      </c>
      <c r="D8" s="6">
        <f>IF(SUMIFS('Locations Data'!$C:$C,'Locations Data'!$G:$G,$B8,'Locations Data'!$B:$B,D$5)&gt;0,1,0)</f>
        <v>1</v>
      </c>
      <c r="E8" s="6">
        <f>IF(SUMIFS('Locations Data'!$C:$C,'Locations Data'!$G:$G,$B8,'Locations Data'!$B:$B,E$5)&gt;0,1,0)</f>
        <v>1</v>
      </c>
      <c r="F8" s="6">
        <f>IF(SUMIFS('Locations Data'!$C:$C,'Locations Data'!$G:$G,$B8,'Locations Data'!$B:$B,F$5)&gt;0,1,0)</f>
        <v>0</v>
      </c>
      <c r="G8" s="6">
        <f>IF(SUMIFS('Locations Data'!$C:$C,'Locations Data'!$G:$G,$B8,'Locations Data'!$B:$B,G$5)&gt;0,1,0)</f>
        <v>1</v>
      </c>
      <c r="H8" s="6">
        <f>IF(SUMIFS('Locations Data'!$C:$C,'Locations Data'!$G:$G,$B8,'Locations Data'!$B:$B,H$5)&gt;0,1,0)</f>
        <v>1</v>
      </c>
      <c r="I8" s="6">
        <f>IF(SUMIFS('Locations Data'!$C:$C,'Locations Data'!$G:$G,$B8,'Locations Data'!$B:$B,I$5)&gt;0,1,0)</f>
        <v>1</v>
      </c>
      <c r="J8" s="6">
        <f>IF(SUMIFS('Locations Data'!$C:$C,'Locations Data'!$G:$G,$B8,'Locations Data'!$B:$B,J$5)&gt;0,1,0)</f>
        <v>1</v>
      </c>
      <c r="K8" s="6">
        <f>IF(SUMIFS('Locations Data'!$C:$C,'Locations Data'!$G:$G,$B8,'Locations Data'!$B:$B,K$5)&gt;0,1,0)</f>
        <v>1</v>
      </c>
      <c r="L8" s="6">
        <f>IF(SUMIFS('Locations Data'!$C:$C,'Locations Data'!$G:$G,$B8,'Locations Data'!$B:$B,L$5)&gt;0,1,0)</f>
        <v>1</v>
      </c>
      <c r="M8" s="6">
        <f>IF(SUMIFS('Locations Data'!$C:$C,'Locations Data'!$G:$G,$B8,'Locations Data'!$B:$B,M$5)&gt;0,1,0)</f>
        <v>0</v>
      </c>
      <c r="N8" s="6">
        <f>IF(SUMIFS('Locations Data'!$C:$C,'Locations Data'!$G:$G,$B8,'Locations Data'!$B:$B,N$5)&gt;0,1,0)</f>
        <v>1</v>
      </c>
      <c r="O8" s="6">
        <f>IF(SUMIFS('Locations Data'!$C:$C,'Locations Data'!$G:$G,$B8,'Locations Data'!$B:$B,O$5)&gt;0,1,0)</f>
        <v>1</v>
      </c>
      <c r="P8" s="6">
        <f>IF(SUMIFS('Locations Data'!$C:$C,'Locations Data'!$G:$G,$B8,'Locations Data'!$B:$B,P$5)&gt;0,1,0)</f>
        <v>1</v>
      </c>
      <c r="Q8" s="6">
        <f>IF(SUMIFS('Locations Data'!$C:$C,'Locations Data'!$G:$G,$B8,'Locations Data'!$B:$B,Q$5)&gt;0,1,0)</f>
        <v>1</v>
      </c>
      <c r="R8" s="6">
        <f>IF(SUMIFS('Locations Data'!$C:$C,'Locations Data'!$G:$G,$B8,'Locations Data'!$B:$B,R$5)&gt;0,1,0)</f>
        <v>1</v>
      </c>
      <c r="S8" s="6">
        <f>IF(SUMIFS('Locations Data'!$C:$C,'Locations Data'!$G:$G,$B8,'Locations Data'!$B:$B,S$5)&gt;0,1,0)</f>
        <v>1</v>
      </c>
      <c r="T8" s="6">
        <f>IF(SUMIFS('Locations Data'!$C:$C,'Locations Data'!$G:$G,$B8,'Locations Data'!$B:$B,T$5)&gt;0,1,0)</f>
        <v>0</v>
      </c>
      <c r="U8" s="6">
        <f>IF(SUMIFS('Locations Data'!$C:$C,'Locations Data'!$G:$G,$B8,'Locations Data'!$B:$B,U$5)&gt;0,1,0)</f>
        <v>1</v>
      </c>
      <c r="V8" s="6">
        <f>IF(SUMIFS('Locations Data'!$C:$C,'Locations Data'!$G:$G,$B8,'Locations Data'!$B:$B,V$5)&gt;0,1,0)</f>
        <v>1</v>
      </c>
      <c r="W8" s="6">
        <f>IF(SUMIFS('Locations Data'!$C:$C,'Locations Data'!$G:$G,$B8,'Locations Data'!$B:$B,W$5)&gt;0,1,0)</f>
        <v>1</v>
      </c>
      <c r="X8" s="6">
        <f>IF(SUMIFS('Locations Data'!$C:$C,'Locations Data'!$G:$G,$B8,'Locations Data'!$B:$B,X$5)&gt;0,1,0)</f>
        <v>1</v>
      </c>
      <c r="Y8" s="6">
        <f>IF(SUMIFS('Locations Data'!$C:$C,'Locations Data'!$G:$G,$B8,'Locations Data'!$B:$B,Y$5)&gt;0,1,0)</f>
        <v>1</v>
      </c>
      <c r="Z8" s="6">
        <f>IF(SUMIFS('Locations Data'!$C:$C,'Locations Data'!$G:$G,$B8,'Locations Data'!$B:$B,Z$5)&gt;0,1,0)</f>
        <v>1</v>
      </c>
      <c r="AA8" s="6">
        <f>IF(SUMIFS('Locations Data'!$C:$C,'Locations Data'!$G:$G,$B8,'Locations Data'!$B:$B,AA$5)&gt;0,1,0)</f>
        <v>0</v>
      </c>
      <c r="AB8" s="6">
        <f>IF(SUMIFS('Locations Data'!$C:$C,'Locations Data'!$G:$G,$B8,'Locations Data'!$B:$B,AB$5)&gt;0,1,0)</f>
        <v>1</v>
      </c>
      <c r="AC8" s="6">
        <f>IF(SUMIFS('Locations Data'!$C:$C,'Locations Data'!$G:$G,$B8,'Locations Data'!$B:$B,AC$5)&gt;0,1,0)</f>
        <v>1</v>
      </c>
      <c r="AD8" s="6">
        <f>IF(SUMIFS('Locations Data'!$C:$C,'Locations Data'!$G:$G,$B8,'Locations Data'!$B:$B,AD$5)&gt;0,1,0)</f>
        <v>1</v>
      </c>
      <c r="AE8" s="6">
        <f>IF(SUMIFS('Locations Data'!$C:$C,'Locations Data'!$G:$G,$B8,'Locations Data'!$B:$B,AE$5)&gt;0,1,0)</f>
        <v>1</v>
      </c>
      <c r="AF8" s="6">
        <f>IF(SUMIFS('Locations Data'!$C:$C,'Locations Data'!$G:$G,$B8,'Locations Data'!$B:$B,AF$5)&gt;0,1,0)</f>
        <v>1</v>
      </c>
      <c r="AG8" s="6">
        <f>IF(SUMIFS('Locations Data'!$C:$C,'Locations Data'!$G:$G,$B8,'Locations Data'!$B:$B,AG$5)&gt;0,1,0)</f>
        <v>1</v>
      </c>
      <c r="AH8" s="6">
        <f>IF(SUMIFS('Locations Data'!$C:$C,'Locations Data'!$G:$G,$B8,'Locations Data'!$B:$B,AH$5)&gt;0,1,0)</f>
        <v>0</v>
      </c>
      <c r="AI8" s="6">
        <f>IF(SUMIFS('Locations Data'!$C:$C,'Locations Data'!$G:$G,$B8,'Locations Data'!$B:$B,AI$5)&gt;0,1,0)</f>
        <v>1</v>
      </c>
      <c r="AJ8" s="6">
        <f>IF(SUMIFS('Locations Data'!$C:$C,'Locations Data'!$G:$G,$B8,'Locations Data'!$B:$B,AJ$5)&gt;0,1,0)</f>
        <v>1</v>
      </c>
      <c r="AK8" s="6">
        <f>IF(SUMIFS('Locations Data'!$C:$C,'Locations Data'!$G:$G,$B8,'Locations Data'!$B:$B,AK$5)&gt;0,1,0)</f>
        <v>1</v>
      </c>
      <c r="AL8" s="6">
        <f>IF(SUMIFS('Locations Data'!$C:$C,'Locations Data'!$G:$G,$B8,'Locations Data'!$B:$B,AL$5)&gt;0,1,0)</f>
        <v>1</v>
      </c>
      <c r="AM8" s="6">
        <f>IF(SUMIFS('Locations Data'!$C:$C,'Locations Data'!$G:$G,$B8,'Locations Data'!$B:$B,AM$5)&gt;0,1,0)</f>
        <v>1</v>
      </c>
      <c r="AN8" s="6">
        <f>IF(SUMIFS('Locations Data'!$C:$C,'Locations Data'!$G:$G,$B8,'Locations Data'!$B:$B,AN$5)&gt;0,1,0)</f>
        <v>1</v>
      </c>
      <c r="AO8" s="6">
        <f>IF(SUMIFS('Locations Data'!$C:$C,'Locations Data'!$G:$G,$B8,'Locations Data'!$B:$B,AO$5)&gt;0,1,0)</f>
        <v>0</v>
      </c>
      <c r="AP8" s="6">
        <f>IF(SUMIFS('Locations Data'!$C:$C,'Locations Data'!$G:$G,$B8,'Locations Data'!$B:$B,AP$5)&gt;0,1,0)</f>
        <v>1</v>
      </c>
      <c r="AQ8" s="6">
        <f>IF(SUMIFS('Locations Data'!$C:$C,'Locations Data'!$G:$G,$B8,'Locations Data'!$B:$B,AQ$5)&gt;0,1,0)</f>
        <v>1</v>
      </c>
      <c r="AR8" s="6">
        <f>IF(SUMIFS('Locations Data'!$C:$C,'Locations Data'!$G:$G,$B8,'Locations Data'!$B:$B,AR$5)&gt;0,1,0)</f>
        <v>1</v>
      </c>
      <c r="AS8" s="6">
        <f>IF(SUMIFS('Locations Data'!$C:$C,'Locations Data'!$G:$G,$B8,'Locations Data'!$B:$B,AS$5)&gt;0,1,0)</f>
        <v>1</v>
      </c>
      <c r="AT8" s="6">
        <f>IF(SUMIFS('Locations Data'!$C:$C,'Locations Data'!$G:$G,$B8,'Locations Data'!$B:$B,AT$5)&gt;0,1,0)</f>
        <v>1</v>
      </c>
      <c r="AU8" s="6">
        <f>IF(SUMIFS('Locations Data'!$C:$C,'Locations Data'!$G:$G,$B8,'Locations Data'!$B:$B,AU$5)&gt;0,1,0)</f>
        <v>1</v>
      </c>
      <c r="AV8" s="6">
        <f>IF(SUMIFS('Locations Data'!$C:$C,'Locations Data'!$G:$G,$B8,'Locations Data'!$B:$B,AV$5)&gt;0,1,0)</f>
        <v>0</v>
      </c>
      <c r="AW8" s="6">
        <f>IF(SUMIFS('Locations Data'!$C:$C,'Locations Data'!$G:$G,$B8,'Locations Data'!$B:$B,AW$5)&gt;0,1,0)</f>
        <v>1</v>
      </c>
      <c r="AX8" s="6">
        <f>IF(SUMIFS('Locations Data'!$C:$C,'Locations Data'!$G:$G,$B8,'Locations Data'!$B:$B,AX$5)&gt;0,1,0)</f>
        <v>1</v>
      </c>
      <c r="AY8" s="6">
        <f>IF(SUMIFS('Locations Data'!$C:$C,'Locations Data'!$G:$G,$B8,'Locations Data'!$B:$B,AY$5)&gt;0,1,0)</f>
        <v>1</v>
      </c>
      <c r="AZ8" s="6">
        <f>IF(SUMIFS('Locations Data'!$C:$C,'Locations Data'!$G:$G,$B8,'Locations Data'!$B:$B,AZ$5)&gt;0,1,0)</f>
        <v>1</v>
      </c>
      <c r="BA8" s="6">
        <f>IF(SUMIFS('Locations Data'!$C:$C,'Locations Data'!$G:$G,$B8,'Locations Data'!$B:$B,BA$5)&gt;0,1,0)</f>
        <v>1</v>
      </c>
      <c r="BB8" s="6">
        <f>IF(SUMIFS('Locations Data'!$C:$C,'Locations Data'!$G:$G,$B8,'Locations Data'!$B:$B,BB$5)&gt;0,1,0)</f>
        <v>1</v>
      </c>
      <c r="BC8" s="6">
        <f>IF(SUMIFS('Locations Data'!$C:$C,'Locations Data'!$G:$G,$B8,'Locations Data'!$B:$B,BC$5)&gt;0,1,0)</f>
        <v>0</v>
      </c>
      <c r="BD8" s="6">
        <f>IF(SUMIFS('Locations Data'!$C:$C,'Locations Data'!$G:$G,$B8,'Locations Data'!$B:$B,BD$5)&gt;0,1,0)</f>
        <v>1</v>
      </c>
      <c r="BE8" s="6">
        <f>IF(SUMIFS('Locations Data'!$C:$C,'Locations Data'!$G:$G,$B8,'Locations Data'!$B:$B,BE$5)&gt;0,1,0)</f>
        <v>1</v>
      </c>
      <c r="BF8" s="6">
        <f>IF(SUMIFS('Locations Data'!$C:$C,'Locations Data'!$G:$G,$B8,'Locations Data'!$B:$B,BF$5)&gt;0,1,0)</f>
        <v>1</v>
      </c>
      <c r="BG8" s="6">
        <f>IF(SUMIFS('Locations Data'!$C:$C,'Locations Data'!$G:$G,$B8,'Locations Data'!$B:$B,BG$5)&gt;0,1,0)</f>
        <v>1</v>
      </c>
      <c r="BH8" s="6">
        <f>IF(SUMIFS('Locations Data'!$C:$C,'Locations Data'!$G:$G,$B8,'Locations Data'!$B:$B,BH$5)&gt;0,1,0)</f>
        <v>1</v>
      </c>
      <c r="BI8" s="6">
        <f>IF(SUMIFS('Locations Data'!$C:$C,'Locations Data'!$G:$G,$B8,'Locations Data'!$B:$B,BI$5)&gt;0,1,0)</f>
        <v>1</v>
      </c>
      <c r="BJ8" s="6">
        <f>IF(SUMIFS('Locations Data'!$C:$C,'Locations Data'!$G:$G,$B8,'Locations Data'!$B:$B,BJ$5)&gt;0,1,0)</f>
        <v>0</v>
      </c>
      <c r="BK8" s="6">
        <f>IF(SUMIFS('Locations Data'!$C:$C,'Locations Data'!$G:$G,$B8,'Locations Data'!$B:$B,BK$5)&gt;0,1,0)</f>
        <v>1</v>
      </c>
      <c r="BL8" s="6">
        <f>IF(SUMIFS('Locations Data'!$C:$C,'Locations Data'!$G:$G,$B8,'Locations Data'!$B:$B,BL$5)&gt;0,1,0)</f>
        <v>1</v>
      </c>
      <c r="BM8" s="6">
        <f>IF(SUMIFS('Locations Data'!$C:$C,'Locations Data'!$G:$G,$B8,'Locations Data'!$B:$B,BM$5)&gt;0,1,0)</f>
        <v>1</v>
      </c>
      <c r="BN8" s="6">
        <f>IF(SUMIFS('Locations Data'!$C:$C,'Locations Data'!$G:$G,$B8,'Locations Data'!$B:$B,BN$5)&gt;0,1,0)</f>
        <v>1</v>
      </c>
      <c r="BO8" s="6">
        <f>IF(SUMIFS('Locations Data'!$C:$C,'Locations Data'!$G:$G,$B8,'Locations Data'!$B:$B,BO$5)&gt;0,1,0)</f>
        <v>1</v>
      </c>
      <c r="BP8" s="6">
        <f>IF(SUMIFS('Locations Data'!$C:$C,'Locations Data'!$G:$G,$B8,'Locations Data'!$B:$B,BP$5)&gt;0,1,0)</f>
        <v>1</v>
      </c>
      <c r="BQ8" s="6">
        <f>IF(SUMIFS('Locations Data'!$C:$C,'Locations Data'!$G:$G,$B8,'Locations Data'!$B:$B,BQ$5)&gt;0,1,0)</f>
        <v>0</v>
      </c>
      <c r="BR8" s="6">
        <f>IF(SUMIFS('Locations Data'!$C:$C,'Locations Data'!$G:$G,$B8,'Locations Data'!$B:$B,BR$5)&gt;0,1,0)</f>
        <v>1</v>
      </c>
      <c r="BS8" s="6">
        <f>IF(SUMIFS('Locations Data'!$C:$C,'Locations Data'!$G:$G,$B8,'Locations Data'!$B:$B,BS$5)&gt;0,1,0)</f>
        <v>1</v>
      </c>
      <c r="BT8" s="6">
        <f>IF(SUMIFS('Locations Data'!$C:$C,'Locations Data'!$G:$G,$B8,'Locations Data'!$B:$B,BT$5)&gt;0,1,0)</f>
        <v>1</v>
      </c>
      <c r="BU8" s="6">
        <f>IF(SUMIFS('Locations Data'!$C:$C,'Locations Data'!$G:$G,$B8,'Locations Data'!$B:$B,BU$5)&gt;0,1,0)</f>
        <v>1</v>
      </c>
      <c r="BV8" s="6">
        <f>IF(SUMIFS('Locations Data'!$C:$C,'Locations Data'!$G:$G,$B8,'Locations Data'!$B:$B,BV$5)&gt;0,1,0)</f>
        <v>1</v>
      </c>
      <c r="BW8" s="6">
        <f>IF(SUMIFS('Locations Data'!$C:$C,'Locations Data'!$G:$G,$B8,'Locations Data'!$B:$B,BW$5)&gt;0,1,0)</f>
        <v>1</v>
      </c>
      <c r="BX8" s="6">
        <f>IF(SUMIFS('Locations Data'!$C:$C,'Locations Data'!$G:$G,$B8,'Locations Data'!$B:$B,BX$5)&gt;0,1,0)</f>
        <v>0</v>
      </c>
      <c r="BY8" s="6">
        <f>IF(SUMIFS('Locations Data'!$C:$C,'Locations Data'!$G:$G,$B8,'Locations Data'!$B:$B,BY$5)&gt;0,1,0)</f>
        <v>1</v>
      </c>
      <c r="BZ8" s="6">
        <f>IF(SUMIFS('Locations Data'!$C:$C,'Locations Data'!$G:$G,$B8,'Locations Data'!$B:$B,BZ$5)&gt;0,1,0)</f>
        <v>1</v>
      </c>
      <c r="CA8" s="6">
        <f>IF(SUMIFS('Locations Data'!$C:$C,'Locations Data'!$G:$G,$B8,'Locations Data'!$B:$B,CA$5)&gt;0,1,0)</f>
        <v>1</v>
      </c>
      <c r="CB8" s="6">
        <f>IF(SUMIFS('Locations Data'!$C:$C,'Locations Data'!$G:$G,$B8,'Locations Data'!$B:$B,CB$5)&gt;0,1,0)</f>
        <v>1</v>
      </c>
      <c r="CC8" s="6">
        <f>IF(SUMIFS('Locations Data'!$C:$C,'Locations Data'!$G:$G,$B8,'Locations Data'!$B:$B,CC$5)&gt;0,1,0)</f>
        <v>1</v>
      </c>
      <c r="CD8" s="6">
        <f>IF(SUMIFS('Locations Data'!$C:$C,'Locations Data'!$G:$G,$B8,'Locations Data'!$B:$B,CD$5)&gt;0,1,0)</f>
        <v>1</v>
      </c>
      <c r="CE8" s="6">
        <f>IF(SUMIFS('Locations Data'!$C:$C,'Locations Data'!$G:$G,$B8,'Locations Data'!$B:$B,CE$5)&gt;0,1,0)</f>
        <v>0</v>
      </c>
      <c r="CF8" s="6">
        <f>IF(SUMIFS('Locations Data'!$C:$C,'Locations Data'!$G:$G,$B8,'Locations Data'!$B:$B,CF$5)&gt;0,1,0)</f>
        <v>1</v>
      </c>
      <c r="CG8" s="6">
        <f>IF(SUMIFS('Locations Data'!$C:$C,'Locations Data'!$G:$G,$B8,'Locations Data'!$B:$B,CG$5)&gt;0,1,0)</f>
        <v>1</v>
      </c>
      <c r="CH8" s="6">
        <f>IF(SUMIFS('Locations Data'!$C:$C,'Locations Data'!$G:$G,$B8,'Locations Data'!$B:$B,CH$5)&gt;0,1,0)</f>
        <v>1</v>
      </c>
      <c r="CI8" s="6">
        <f>IF(SUMIFS('Locations Data'!$C:$C,'Locations Data'!$G:$G,$B8,'Locations Data'!$B:$B,CI$5)&gt;0,1,0)</f>
        <v>1</v>
      </c>
      <c r="CJ8" s="6">
        <f>IF(SUMIFS('Locations Data'!$C:$C,'Locations Data'!$G:$G,$B8,'Locations Data'!$B:$B,CJ$5)&gt;0,1,0)</f>
        <v>1</v>
      </c>
      <c r="CK8" s="6">
        <f>IF(SUMIFS('Locations Data'!$C:$C,'Locations Data'!$G:$G,$B8,'Locations Data'!$B:$B,CK$5)&gt;0,1,0)</f>
        <v>1</v>
      </c>
      <c r="CL8" s="6">
        <f>IF(SUMIFS('Locations Data'!$C:$C,'Locations Data'!$G:$G,$B8,'Locations Data'!$B:$B,CL$5)&gt;0,1,0)</f>
        <v>0</v>
      </c>
      <c r="CM8" s="6">
        <f>IF(SUMIFS('Locations Data'!$C:$C,'Locations Data'!$G:$G,$B8,'Locations Data'!$B:$B,CM$5)&gt;0,1,0)</f>
        <v>1</v>
      </c>
      <c r="CN8" s="6">
        <f>IF(SUMIFS('Locations Data'!$C:$C,'Locations Data'!$G:$G,$B8,'Locations Data'!$B:$B,CN$5)&gt;0,1,0)</f>
        <v>1</v>
      </c>
      <c r="CO8" s="6">
        <f>IF(SUMIFS('Locations Data'!$C:$C,'Locations Data'!$G:$G,$B8,'Locations Data'!$B:$B,CO$5)&gt;0,1,0)</f>
        <v>1</v>
      </c>
      <c r="CP8" s="6">
        <f>IF(SUMIFS('Locations Data'!$C:$C,'Locations Data'!$G:$G,$B8,'Locations Data'!$B:$B,CP$5)&gt;0,1,0)</f>
        <v>1</v>
      </c>
      <c r="CQ8" s="6">
        <f>IF(SUMIFS('Locations Data'!$C:$C,'Locations Data'!$G:$G,$B8,'Locations Data'!$B:$B,CQ$5)&gt;0,1,0)</f>
        <v>1</v>
      </c>
      <c r="CR8" s="6">
        <f>IF(SUMIFS('Locations Data'!$C:$C,'Locations Data'!$G:$G,$B8,'Locations Data'!$B:$B,CR$5)&gt;0,1,0)</f>
        <v>1</v>
      </c>
      <c r="CS8" s="6">
        <f>IF(SUMIFS('Locations Data'!$C:$C,'Locations Data'!$G:$G,$B8,'Locations Data'!$B:$B,CS$5)&gt;0,1,0)</f>
        <v>0</v>
      </c>
      <c r="CT8" s="6">
        <f>IF(SUMIFS('Locations Data'!$C:$C,'Locations Data'!$G:$G,$B8,'Locations Data'!$B:$B,CT$5)&gt;0,1,0)</f>
        <v>1</v>
      </c>
      <c r="CU8" s="6">
        <f>IF(SUMIFS('Locations Data'!$C:$C,'Locations Data'!$G:$G,$B8,'Locations Data'!$B:$B,CU$5)&gt;0,1,0)</f>
        <v>1</v>
      </c>
      <c r="CV8" s="6">
        <f>IF(SUMIFS('Locations Data'!$C:$C,'Locations Data'!$G:$G,$B8,'Locations Data'!$B:$B,CV$5)&gt;0,1,0)</f>
        <v>1</v>
      </c>
      <c r="CW8" s="6">
        <f>IF(SUMIFS('Locations Data'!$C:$C,'Locations Data'!$G:$G,$B8,'Locations Data'!$B:$B,CW$5)&gt;0,1,0)</f>
        <v>1</v>
      </c>
      <c r="CX8" s="6">
        <f>IF(SUMIFS('Locations Data'!$C:$C,'Locations Data'!$G:$G,$B8,'Locations Data'!$B:$B,CX$5)&gt;0,1,0)</f>
        <v>1</v>
      </c>
      <c r="CY8" s="6">
        <f>IF(SUMIFS('Locations Data'!$C:$C,'Locations Data'!$G:$G,$B8,'Locations Data'!$B:$B,CY$5)&gt;0,1,0)</f>
        <v>1</v>
      </c>
      <c r="CZ8" s="6">
        <f>IF(SUMIFS('Locations Data'!$C:$C,'Locations Data'!$G:$G,$B8,'Locations Data'!$B:$B,CZ$5)&gt;0,1,0)</f>
        <v>0</v>
      </c>
      <c r="DA8" s="6">
        <f>IF(SUMIFS('Locations Data'!$C:$C,'Locations Data'!$G:$G,$B8,'Locations Data'!$B:$B,DA$5)&gt;0,1,0)</f>
        <v>1</v>
      </c>
      <c r="DB8" s="6">
        <f>IF(SUMIFS('Locations Data'!$C:$C,'Locations Data'!$G:$G,$B8,'Locations Data'!$B:$B,DB$5)&gt;0,1,0)</f>
        <v>1</v>
      </c>
      <c r="DC8" s="6">
        <f>IF(SUMIFS('Locations Data'!$C:$C,'Locations Data'!$G:$G,$B8,'Locations Data'!$B:$B,DC$5)&gt;0,1,0)</f>
        <v>1</v>
      </c>
      <c r="DD8" s="6">
        <f>IF(SUMIFS('Locations Data'!$C:$C,'Locations Data'!$G:$G,$B8,'Locations Data'!$B:$B,DD$5)&gt;0,1,0)</f>
        <v>1</v>
      </c>
      <c r="DE8" s="6">
        <f>IF(SUMIFS('Locations Data'!$C:$C,'Locations Data'!$G:$G,$B8,'Locations Data'!$B:$B,DE$5)&gt;0,1,0)</f>
        <v>1</v>
      </c>
      <c r="DF8" s="6">
        <f>IF(SUMIFS('Locations Data'!$C:$C,'Locations Data'!$G:$G,$B8,'Locations Data'!$B:$B,DF$5)&gt;0,1,0)</f>
        <v>1</v>
      </c>
      <c r="DG8" s="6">
        <f>IF(SUMIFS('Locations Data'!$C:$C,'Locations Data'!$G:$G,$B8,'Locations Data'!$B:$B,DG$5)&gt;0,1,0)</f>
        <v>0</v>
      </c>
      <c r="DH8" s="6">
        <f>IF(SUMIFS('Locations Data'!$C:$C,'Locations Data'!$G:$G,$B8,'Locations Data'!$B:$B,DH$5)&gt;0,1,0)</f>
        <v>1</v>
      </c>
      <c r="DI8" s="6">
        <f>IF(SUMIFS('Locations Data'!$C:$C,'Locations Data'!$G:$G,$B8,'Locations Data'!$B:$B,DI$5)&gt;0,1,0)</f>
        <v>1</v>
      </c>
      <c r="DJ8" s="6">
        <f>IF(SUMIFS('Locations Data'!$C:$C,'Locations Data'!$G:$G,$B8,'Locations Data'!$B:$B,DJ$5)&gt;0,1,0)</f>
        <v>1</v>
      </c>
      <c r="DK8" s="6">
        <f>IF(SUMIFS('Locations Data'!$C:$C,'Locations Data'!$G:$G,$B8,'Locations Data'!$B:$B,DK$5)&gt;0,1,0)</f>
        <v>1</v>
      </c>
      <c r="DL8" s="6">
        <f>IF(SUMIFS('Locations Data'!$C:$C,'Locations Data'!$G:$G,$B8,'Locations Data'!$B:$B,DL$5)&gt;0,1,0)</f>
        <v>1</v>
      </c>
      <c r="DM8" s="6">
        <f>IF(SUMIFS('Locations Data'!$C:$C,'Locations Data'!$G:$G,$B8,'Locations Data'!$B:$B,DM$5)&gt;0,1,0)</f>
        <v>1</v>
      </c>
      <c r="DN8" s="6">
        <f>IF(SUMIFS('Locations Data'!$C:$C,'Locations Data'!$G:$G,$B8,'Locations Data'!$B:$B,DN$5)&gt;0,1,0)</f>
        <v>0</v>
      </c>
      <c r="DO8" s="6">
        <f>IF(SUMIFS('Locations Data'!$C:$C,'Locations Data'!$G:$G,$B8,'Locations Data'!$B:$B,DO$5)&gt;0,1,0)</f>
        <v>1</v>
      </c>
      <c r="DP8" s="6">
        <f>IF(SUMIFS('Locations Data'!$C:$C,'Locations Data'!$G:$G,$B8,'Locations Data'!$B:$B,DP$5)&gt;0,1,0)</f>
        <v>1</v>
      </c>
      <c r="DQ8" s="6">
        <f>IF(SUMIFS('Locations Data'!$C:$C,'Locations Data'!$G:$G,$B8,'Locations Data'!$B:$B,DQ$5)&gt;0,1,0)</f>
        <v>1</v>
      </c>
      <c r="DR8" s="6">
        <f>IF(SUMIFS('Locations Data'!$C:$C,'Locations Data'!$G:$G,$B8,'Locations Data'!$B:$B,DR$5)&gt;0,1,0)</f>
        <v>1</v>
      </c>
      <c r="DS8" s="6">
        <f>IF(SUMIFS('Locations Data'!$C:$C,'Locations Data'!$G:$G,$B8,'Locations Data'!$B:$B,DS$5)&gt;0,1,0)</f>
        <v>1</v>
      </c>
      <c r="DT8" s="6">
        <f>IF(SUMIFS('Locations Data'!$C:$C,'Locations Data'!$G:$G,$B8,'Locations Data'!$B:$B,DT$5)&gt;0,1,0)</f>
        <v>1</v>
      </c>
      <c r="DU8" s="6">
        <f>IF(SUMIFS('Locations Data'!$C:$C,'Locations Data'!$G:$G,$B8,'Locations Data'!$B:$B,DU$5)&gt;0,1,0)</f>
        <v>0</v>
      </c>
      <c r="DV8" s="6">
        <f>IF(SUMIFS('Locations Data'!$C:$C,'Locations Data'!$G:$G,$B8,'Locations Data'!$B:$B,DV$5)&gt;0,1,0)</f>
        <v>1</v>
      </c>
      <c r="DW8" s="6">
        <f>IF(SUMIFS('Locations Data'!$C:$C,'Locations Data'!$G:$G,$B8,'Locations Data'!$B:$B,DW$5)&gt;0,1,0)</f>
        <v>1</v>
      </c>
      <c r="DX8" s="6">
        <f>IF(SUMIFS('Locations Data'!$C:$C,'Locations Data'!$G:$G,$B8,'Locations Data'!$B:$B,DX$5)&gt;0,1,0)</f>
        <v>1</v>
      </c>
      <c r="DY8" s="6">
        <f>IF(SUMIFS('Locations Data'!$C:$C,'Locations Data'!$G:$G,$B8,'Locations Data'!$B:$B,DY$5)&gt;0,1,0)</f>
        <v>1</v>
      </c>
      <c r="DZ8" s="6">
        <f>IF(SUMIFS('Locations Data'!$C:$C,'Locations Data'!$G:$G,$B8,'Locations Data'!$B:$B,DZ$5)&gt;0,1,0)</f>
        <v>1</v>
      </c>
      <c r="EA8" s="6">
        <f>IF(SUMIFS('Locations Data'!$C:$C,'Locations Data'!$G:$G,$B8,'Locations Data'!$B:$B,EA$5)&gt;0,1,0)</f>
        <v>1</v>
      </c>
      <c r="EB8" s="6">
        <f>IF(SUMIFS('Locations Data'!$C:$C,'Locations Data'!$G:$G,$B8,'Locations Data'!$B:$B,EB$5)&gt;0,1,0)</f>
        <v>0</v>
      </c>
      <c r="EC8" s="6">
        <f>IF(SUMIFS('Locations Data'!$C:$C,'Locations Data'!$G:$G,$B8,'Locations Data'!$B:$B,EC$5)&gt;0,1,0)</f>
        <v>1</v>
      </c>
      <c r="ED8" s="6">
        <f>IF(SUMIFS('Locations Data'!$C:$C,'Locations Data'!$G:$G,$B8,'Locations Data'!$B:$B,ED$5)&gt;0,1,0)</f>
        <v>1</v>
      </c>
      <c r="EE8" s="6">
        <f>IF(SUMIFS('Locations Data'!$C:$C,'Locations Data'!$G:$G,$B8,'Locations Data'!$B:$B,EE$5)&gt;0,1,0)</f>
        <v>1</v>
      </c>
      <c r="EF8" s="6">
        <f>IF(SUMIFS('Locations Data'!$C:$C,'Locations Data'!$G:$G,$B8,'Locations Data'!$B:$B,EF$5)&gt;0,1,0)</f>
        <v>1</v>
      </c>
      <c r="EG8" s="6">
        <f>IF(SUMIFS('Locations Data'!$C:$C,'Locations Data'!$G:$G,$B8,'Locations Data'!$B:$B,EG$5)&gt;0,1,0)</f>
        <v>1</v>
      </c>
      <c r="EH8" s="6">
        <f>IF(SUMIFS('Locations Data'!$C:$C,'Locations Data'!$G:$G,$B8,'Locations Data'!$B:$B,EH$5)&gt;0,1,0)</f>
        <v>1</v>
      </c>
      <c r="EI8" s="6">
        <f>IF(SUMIFS('Locations Data'!$C:$C,'Locations Data'!$G:$G,$B8,'Locations Data'!$B:$B,EI$5)&gt;0,1,0)</f>
        <v>0</v>
      </c>
      <c r="EJ8" s="6">
        <f>IF(SUMIFS('Locations Data'!$C:$C,'Locations Data'!$G:$G,$B8,'Locations Data'!$B:$B,EJ$5)&gt;0,1,0)</f>
        <v>1</v>
      </c>
      <c r="EK8" s="6">
        <f>IF(SUMIFS('Locations Data'!$C:$C,'Locations Data'!$G:$G,$B8,'Locations Data'!$B:$B,EK$5)&gt;0,1,0)</f>
        <v>1</v>
      </c>
      <c r="EL8" s="6">
        <f>IF(SUMIFS('Locations Data'!$C:$C,'Locations Data'!$G:$G,$B8,'Locations Data'!$B:$B,EL$5)&gt;0,1,0)</f>
        <v>1</v>
      </c>
      <c r="EM8" s="6">
        <f>IF(SUMIFS('Locations Data'!$C:$C,'Locations Data'!$G:$G,$B8,'Locations Data'!$B:$B,EM$5)&gt;0,1,0)</f>
        <v>1</v>
      </c>
      <c r="EN8" s="6">
        <f>IF(SUMIFS('Locations Data'!$C:$C,'Locations Data'!$G:$G,$B8,'Locations Data'!$B:$B,EN$5)&gt;0,1,0)</f>
        <v>1</v>
      </c>
      <c r="EO8" s="6">
        <f>IF(SUMIFS('Locations Data'!$C:$C,'Locations Data'!$G:$G,$B8,'Locations Data'!$B:$B,EO$5)&gt;0,1,0)</f>
        <v>1</v>
      </c>
      <c r="EP8" s="6">
        <f>IF(SUMIFS('Locations Data'!$C:$C,'Locations Data'!$G:$G,$B8,'Locations Data'!$B:$B,EP$5)&gt;0,1,0)</f>
        <v>0</v>
      </c>
      <c r="EQ8" s="6">
        <f>IF(SUMIFS('Locations Data'!$C:$C,'Locations Data'!$G:$G,$B8,'Locations Data'!$B:$B,EQ$5)&gt;0,1,0)</f>
        <v>1</v>
      </c>
      <c r="ER8" s="6">
        <f>IF(SUMIFS('Locations Data'!$C:$C,'Locations Data'!$G:$G,$B8,'Locations Data'!$B:$B,ER$5)&gt;0,1,0)</f>
        <v>1</v>
      </c>
      <c r="ES8" s="6">
        <f>IF(SUMIFS('Locations Data'!$C:$C,'Locations Data'!$G:$G,$B8,'Locations Data'!$B:$B,ES$5)&gt;0,1,0)</f>
        <v>1</v>
      </c>
      <c r="ET8" s="6">
        <f>IF(SUMIFS('Locations Data'!$C:$C,'Locations Data'!$G:$G,$B8,'Locations Data'!$B:$B,ET$5)&gt;0,1,0)</f>
        <v>1</v>
      </c>
      <c r="EU8" s="6">
        <f>IF(SUMIFS('Locations Data'!$C:$C,'Locations Data'!$G:$G,$B8,'Locations Data'!$B:$B,EU$5)&gt;0,1,0)</f>
        <v>1</v>
      </c>
      <c r="EV8" s="6">
        <f>IF(SUMIFS('Locations Data'!$C:$C,'Locations Data'!$G:$G,$B8,'Locations Data'!$B:$B,EV$5)&gt;0,1,0)</f>
        <v>1</v>
      </c>
      <c r="EW8" s="6">
        <f>IF(SUMIFS('Locations Data'!$C:$C,'Locations Data'!$G:$G,$B8,'Locations Data'!$B:$B,EW$5)&gt;0,1,0)</f>
        <v>0</v>
      </c>
      <c r="EX8" s="6">
        <f>IF(SUMIFS('Locations Data'!$C:$C,'Locations Data'!$G:$G,$B8,'Locations Data'!$B:$B,EX$5)&gt;0,1,0)</f>
        <v>1</v>
      </c>
      <c r="EY8" s="6">
        <f>IF(SUMIFS('Locations Data'!$C:$C,'Locations Data'!$G:$G,$B8,'Locations Data'!$B:$B,EY$5)&gt;0,1,0)</f>
        <v>1</v>
      </c>
      <c r="EZ8" s="6">
        <f>IF(SUMIFS('Locations Data'!$C:$C,'Locations Data'!$G:$G,$B8,'Locations Data'!$B:$B,EZ$5)&gt;0,1,0)</f>
        <v>1</v>
      </c>
      <c r="FA8" s="6">
        <f>IF(SUMIFS('Locations Data'!$C:$C,'Locations Data'!$G:$G,$B8,'Locations Data'!$B:$B,FA$5)&gt;0,1,0)</f>
        <v>1</v>
      </c>
      <c r="FB8" s="6">
        <f>IF(SUMIFS('Locations Data'!$C:$C,'Locations Data'!$G:$G,$B8,'Locations Data'!$B:$B,FB$5)&gt;0,1,0)</f>
        <v>1</v>
      </c>
      <c r="FC8" s="6">
        <f>IF(SUMIFS('Locations Data'!$C:$C,'Locations Data'!$G:$G,$B8,'Locations Data'!$B:$B,FC$5)&gt;0,1,0)</f>
        <v>1</v>
      </c>
      <c r="FD8" s="6">
        <f>IF(SUMIFS('Locations Data'!$C:$C,'Locations Data'!$G:$G,$B8,'Locations Data'!$B:$B,FD$5)&gt;0,1,0)</f>
        <v>0</v>
      </c>
      <c r="FE8" s="6">
        <f>IF(SUMIFS('Locations Data'!$C:$C,'Locations Data'!$G:$G,$B8,'Locations Data'!$B:$B,FE$5)&gt;0,1,0)</f>
        <v>1</v>
      </c>
      <c r="FF8" s="6">
        <f>IF(SUMIFS('Locations Data'!$C:$C,'Locations Data'!$G:$G,$B8,'Locations Data'!$B:$B,FF$5)&gt;0,1,0)</f>
        <v>1</v>
      </c>
      <c r="FG8" s="6">
        <f>IF(SUMIFS('Locations Data'!$C:$C,'Locations Data'!$G:$G,$B8,'Locations Data'!$B:$B,FG$5)&gt;0,1,0)</f>
        <v>1</v>
      </c>
      <c r="FH8" s="6">
        <f>IF(SUMIFS('Locations Data'!$C:$C,'Locations Data'!$G:$G,$B8,'Locations Data'!$B:$B,FH$5)&gt;0,1,0)</f>
        <v>1</v>
      </c>
      <c r="FI8" s="6">
        <f>IF(SUMIFS('Locations Data'!$C:$C,'Locations Data'!$G:$G,$B8,'Locations Data'!$B:$B,FI$5)&gt;0,1,0)</f>
        <v>1</v>
      </c>
      <c r="FJ8" s="6">
        <f>IF(SUMIFS('Locations Data'!$C:$C,'Locations Data'!$G:$G,$B8,'Locations Data'!$B:$B,FJ$5)&gt;0,1,0)</f>
        <v>1</v>
      </c>
      <c r="FK8" s="6">
        <f>IF(SUMIFS('Locations Data'!$C:$C,'Locations Data'!$G:$G,$B8,'Locations Data'!$B:$B,FK$5)&gt;0,1,0)</f>
        <v>0</v>
      </c>
      <c r="FL8" s="6">
        <f>IF(SUMIFS('Locations Data'!$C:$C,'Locations Data'!$G:$G,$B8,'Locations Data'!$B:$B,FL$5)&gt;0,1,0)</f>
        <v>1</v>
      </c>
      <c r="FM8" s="6">
        <f>IF(SUMIFS('Locations Data'!$C:$C,'Locations Data'!$G:$G,$B8,'Locations Data'!$B:$B,FM$5)&gt;0,1,0)</f>
        <v>1</v>
      </c>
      <c r="FN8" s="6">
        <f>IF(SUMIFS('Locations Data'!$C:$C,'Locations Data'!$G:$G,$B8,'Locations Data'!$B:$B,FN$5)&gt;0,1,0)</f>
        <v>1</v>
      </c>
      <c r="FO8" s="6">
        <f>IF(SUMIFS('Locations Data'!$C:$C,'Locations Data'!$G:$G,$B8,'Locations Data'!$B:$B,FO$5)&gt;0,1,0)</f>
        <v>1</v>
      </c>
      <c r="FP8" s="6">
        <f>IF(SUMIFS('Locations Data'!$C:$C,'Locations Data'!$G:$G,$B8,'Locations Data'!$B:$B,FP$5)&gt;0,1,0)</f>
        <v>1</v>
      </c>
      <c r="FQ8" s="6">
        <f>IF(SUMIFS('Locations Data'!$C:$C,'Locations Data'!$G:$G,$B8,'Locations Data'!$B:$B,FQ$5)&gt;0,1,0)</f>
        <v>1</v>
      </c>
      <c r="FR8" s="6">
        <f>IF(SUMIFS('Locations Data'!$C:$C,'Locations Data'!$G:$G,$B8,'Locations Data'!$B:$B,FR$5)&gt;0,1,0)</f>
        <v>0</v>
      </c>
      <c r="FS8" s="6">
        <f>IF(SUMIFS('Locations Data'!$C:$C,'Locations Data'!$G:$G,$B8,'Locations Data'!$B:$B,FS$5)&gt;0,1,0)</f>
        <v>1</v>
      </c>
      <c r="FT8" s="6">
        <f>IF(SUMIFS('Locations Data'!$C:$C,'Locations Data'!$G:$G,$B8,'Locations Data'!$B:$B,FT$5)&gt;0,1,0)</f>
        <v>1</v>
      </c>
      <c r="FU8" s="6">
        <f>IF(SUMIFS('Locations Data'!$C:$C,'Locations Data'!$G:$G,$B8,'Locations Data'!$B:$B,FU$5)&gt;0,1,0)</f>
        <v>1</v>
      </c>
      <c r="FV8" s="6">
        <f>IF(SUMIFS('Locations Data'!$C:$C,'Locations Data'!$G:$G,$B8,'Locations Data'!$B:$B,FV$5)&gt;0,1,0)</f>
        <v>1</v>
      </c>
      <c r="FW8" s="6">
        <f>IF(SUMIFS('Locations Data'!$C:$C,'Locations Data'!$G:$G,$B8,'Locations Data'!$B:$B,FW$5)&gt;0,1,0)</f>
        <v>1</v>
      </c>
      <c r="FX8" s="6">
        <f>IF(SUMIFS('Locations Data'!$C:$C,'Locations Data'!$G:$G,$B8,'Locations Data'!$B:$B,FX$5)&gt;0,1,0)</f>
        <v>1</v>
      </c>
      <c r="FY8" s="6">
        <f>IF(SUMIFS('Locations Data'!$C:$C,'Locations Data'!$G:$G,$B8,'Locations Data'!$B:$B,FY$5)&gt;0,1,0)</f>
        <v>0</v>
      </c>
      <c r="FZ8" s="6">
        <f>IF(SUMIFS('Locations Data'!$C:$C,'Locations Data'!$G:$G,$B8,'Locations Data'!$B:$B,FZ$5)&gt;0,1,0)</f>
        <v>1</v>
      </c>
      <c r="GA8" s="6">
        <f>IF(SUMIFS('Locations Data'!$C:$C,'Locations Data'!$G:$G,$B8,'Locations Data'!$B:$B,GA$5)&gt;0,1,0)</f>
        <v>1</v>
      </c>
      <c r="GB8" s="6">
        <f>IF(SUMIFS('Locations Data'!$C:$C,'Locations Data'!$G:$G,$B8,'Locations Data'!$B:$B,GB$5)&gt;0,1,0)</f>
        <v>1</v>
      </c>
      <c r="GC8" s="6">
        <f>IF(SUMIFS('Locations Data'!$C:$C,'Locations Data'!$G:$G,$B8,'Locations Data'!$B:$B,GC$5)&gt;0,1,0)</f>
        <v>1</v>
      </c>
      <c r="GD8" s="6">
        <f>IF(SUMIFS('Locations Data'!$C:$C,'Locations Data'!$G:$G,$B8,'Locations Data'!$B:$B,GD$5)&gt;0,1,0)</f>
        <v>1</v>
      </c>
      <c r="GE8" s="6">
        <f>IF(SUMIFS('Locations Data'!$C:$C,'Locations Data'!$G:$G,$B8,'Locations Data'!$B:$B,GE$5)&gt;0,1,0)</f>
        <v>1</v>
      </c>
      <c r="GF8" s="6">
        <f>IF(SUMIFS('Locations Data'!$C:$C,'Locations Data'!$G:$G,$B8,'Locations Data'!$B:$B,GF$5)&gt;0,1,0)</f>
        <v>0</v>
      </c>
      <c r="GG8" s="6">
        <f>IF(SUMIFS('Locations Data'!$C:$C,'Locations Data'!$G:$G,$B8,'Locations Data'!$B:$B,GG$5)&gt;0,1,0)</f>
        <v>1</v>
      </c>
      <c r="GH8" s="6">
        <f>IF(SUMIFS('Locations Data'!$C:$C,'Locations Data'!$G:$G,$B8,'Locations Data'!$B:$B,GH$5)&gt;0,1,0)</f>
        <v>1</v>
      </c>
      <c r="GI8" s="6">
        <f>IF(SUMIFS('Locations Data'!$C:$C,'Locations Data'!$G:$G,$B8,'Locations Data'!$B:$B,GI$5)&gt;0,1,0)</f>
        <v>1</v>
      </c>
      <c r="GJ8" s="6">
        <f>IF(SUMIFS('Locations Data'!$C:$C,'Locations Data'!$G:$G,$B8,'Locations Data'!$B:$B,GJ$5)&gt;0,1,0)</f>
        <v>1</v>
      </c>
      <c r="GK8" s="6">
        <f>IF(SUMIFS('Locations Data'!$C:$C,'Locations Data'!$G:$G,$B8,'Locations Data'!$B:$B,GK$5)&gt;0,1,0)</f>
        <v>1</v>
      </c>
      <c r="GL8" s="6">
        <f>IF(SUMIFS('Locations Data'!$C:$C,'Locations Data'!$G:$G,$B8,'Locations Data'!$B:$B,GL$5)&gt;0,1,0)</f>
        <v>1</v>
      </c>
      <c r="GM8" s="6">
        <f>IF(SUMIFS('Locations Data'!$C:$C,'Locations Data'!$G:$G,$B8,'Locations Data'!$B:$B,GM$5)&gt;0,1,0)</f>
        <v>0</v>
      </c>
      <c r="GN8" s="6">
        <f>IF(SUMIFS('Locations Data'!$C:$C,'Locations Data'!$G:$G,$B8,'Locations Data'!$B:$B,GN$5)&gt;0,1,0)</f>
        <v>1</v>
      </c>
      <c r="GO8" s="6">
        <f>IF(SUMIFS('Locations Data'!$C:$C,'Locations Data'!$G:$G,$B8,'Locations Data'!$B:$B,GO$5)&gt;0,1,0)</f>
        <v>1</v>
      </c>
      <c r="GP8" s="6">
        <f>IF(SUMIFS('Locations Data'!$C:$C,'Locations Data'!$G:$G,$B8,'Locations Data'!$B:$B,GP$5)&gt;0,1,0)</f>
        <v>1</v>
      </c>
      <c r="GQ8" s="6">
        <f>IF(SUMIFS('Locations Data'!$C:$C,'Locations Data'!$G:$G,$B8,'Locations Data'!$B:$B,GQ$5)&gt;0,1,0)</f>
        <v>1</v>
      </c>
      <c r="GR8" s="6">
        <f>IF(SUMIFS('Locations Data'!$C:$C,'Locations Data'!$G:$G,$B8,'Locations Data'!$B:$B,GR$5)&gt;0,1,0)</f>
        <v>1</v>
      </c>
      <c r="GS8" s="6">
        <f>IF(SUMIFS('Locations Data'!$C:$C,'Locations Data'!$G:$G,$B8,'Locations Data'!$B:$B,GS$5)&gt;0,1,0)</f>
        <v>1</v>
      </c>
      <c r="GT8" s="6">
        <f>IF(SUMIFS('Locations Data'!$C:$C,'Locations Data'!$G:$G,$B8,'Locations Data'!$B:$B,GT$5)&gt;0,1,0)</f>
        <v>0</v>
      </c>
      <c r="GU8" s="6">
        <f>IF(SUMIFS('Locations Data'!$C:$C,'Locations Data'!$G:$G,$B8,'Locations Data'!$B:$B,GU$5)&gt;0,1,0)</f>
        <v>1</v>
      </c>
      <c r="GV8" s="6">
        <f>IF(SUMIFS('Locations Data'!$C:$C,'Locations Data'!$G:$G,$B8,'Locations Data'!$B:$B,GV$5)&gt;0,1,0)</f>
        <v>1</v>
      </c>
      <c r="GW8" s="6">
        <f>IF(SUMIFS('Locations Data'!$C:$C,'Locations Data'!$G:$G,$B8,'Locations Data'!$B:$B,GW$5)&gt;0,1,0)</f>
        <v>1</v>
      </c>
      <c r="GX8" s="6">
        <f>IF(SUMIFS('Locations Data'!$C:$C,'Locations Data'!$G:$G,$B8,'Locations Data'!$B:$B,GX$5)&gt;0,1,0)</f>
        <v>1</v>
      </c>
      <c r="GY8" s="6">
        <f>IF(SUMIFS('Locations Data'!$C:$C,'Locations Data'!$G:$G,$B8,'Locations Data'!$B:$B,GY$5)&gt;0,1,0)</f>
        <v>1</v>
      </c>
      <c r="GZ8" s="6">
        <f>IF(SUMIFS('Locations Data'!$C:$C,'Locations Data'!$G:$G,$B8,'Locations Data'!$B:$B,GZ$5)&gt;0,1,0)</f>
        <v>1</v>
      </c>
      <c r="HA8" s="6">
        <f>IF(SUMIFS('Locations Data'!$C:$C,'Locations Data'!$G:$G,$B8,'Locations Data'!$B:$B,HA$5)&gt;0,1,0)</f>
        <v>0</v>
      </c>
      <c r="HB8" s="6">
        <f>IF(SUMIFS('Locations Data'!$C:$C,'Locations Data'!$G:$G,$B8,'Locations Data'!$B:$B,HB$5)&gt;0,1,0)</f>
        <v>1</v>
      </c>
      <c r="HC8" s="6">
        <f>IF(SUMIFS('Locations Data'!$C:$C,'Locations Data'!$G:$G,$B8,'Locations Data'!$B:$B,HC$5)&gt;0,1,0)</f>
        <v>1</v>
      </c>
      <c r="HD8" s="6">
        <f>IF(SUMIFS('Locations Data'!$C:$C,'Locations Data'!$G:$G,$B8,'Locations Data'!$B:$B,HD$5)&gt;0,1,0)</f>
        <v>1</v>
      </c>
      <c r="HE8" s="6">
        <f>IF(SUMIFS('Locations Data'!$C:$C,'Locations Data'!$G:$G,$B8,'Locations Data'!$B:$B,HE$5)&gt;0,1,0)</f>
        <v>1</v>
      </c>
      <c r="HF8" s="6">
        <f>IF(SUMIFS('Locations Data'!$C:$C,'Locations Data'!$G:$G,$B8,'Locations Data'!$B:$B,HF$5)&gt;0,1,0)</f>
        <v>1</v>
      </c>
      <c r="HG8" s="6">
        <f>IF(SUMIFS('Locations Data'!$C:$C,'Locations Data'!$G:$G,$B8,'Locations Data'!$B:$B,HG$5)&gt;0,1,0)</f>
        <v>1</v>
      </c>
      <c r="HH8" s="6">
        <f>IF(SUMIFS('Locations Data'!$C:$C,'Locations Data'!$G:$G,$B8,'Locations Data'!$B:$B,HH$5)&gt;0,1,0)</f>
        <v>0</v>
      </c>
      <c r="HI8" s="6">
        <f>IF(SUMIFS('Locations Data'!$C:$C,'Locations Data'!$G:$G,$B8,'Locations Data'!$B:$B,HI$5)&gt;0,1,0)</f>
        <v>1</v>
      </c>
      <c r="HJ8" s="6">
        <f>IF(SUMIFS('Locations Data'!$C:$C,'Locations Data'!$G:$G,$B8,'Locations Data'!$B:$B,HJ$5)&gt;0,1,0)</f>
        <v>1</v>
      </c>
      <c r="HK8" s="6">
        <f>IF(SUMIFS('Locations Data'!$C:$C,'Locations Data'!$G:$G,$B8,'Locations Data'!$B:$B,HK$5)&gt;0,1,0)</f>
        <v>1</v>
      </c>
      <c r="HL8" s="6">
        <f>IF(SUMIFS('Locations Data'!$C:$C,'Locations Data'!$G:$G,$B8,'Locations Data'!$B:$B,HL$5)&gt;0,1,0)</f>
        <v>1</v>
      </c>
      <c r="HM8" s="6">
        <f>IF(SUMIFS('Locations Data'!$C:$C,'Locations Data'!$G:$G,$B8,'Locations Data'!$B:$B,HM$5)&gt;0,1,0)</f>
        <v>1</v>
      </c>
      <c r="HN8" s="6">
        <f>IF(SUMIFS('Locations Data'!$C:$C,'Locations Data'!$G:$G,$B8,'Locations Data'!$B:$B,HN$5)&gt;0,1,0)</f>
        <v>1</v>
      </c>
      <c r="HO8" s="6">
        <f>IF(SUMIFS('Locations Data'!$C:$C,'Locations Data'!$G:$G,$B8,'Locations Data'!$B:$B,HO$5)&gt;0,1,0)</f>
        <v>0</v>
      </c>
      <c r="HP8" s="6">
        <f>IF(SUMIFS('Locations Data'!$C:$C,'Locations Data'!$G:$G,$B8,'Locations Data'!$B:$B,HP$5)&gt;0,1,0)</f>
        <v>1</v>
      </c>
      <c r="HQ8" s="6">
        <f>IF(SUMIFS('Locations Data'!$C:$C,'Locations Data'!$G:$G,$B8,'Locations Data'!$B:$B,HQ$5)&gt;0,1,0)</f>
        <v>1</v>
      </c>
      <c r="HR8" s="6">
        <f>IF(SUMIFS('Locations Data'!$C:$C,'Locations Data'!$G:$G,$B8,'Locations Data'!$B:$B,HR$5)&gt;0,1,0)</f>
        <v>1</v>
      </c>
      <c r="HS8" s="6">
        <f>IF(SUMIFS('Locations Data'!$C:$C,'Locations Data'!$G:$G,$B8,'Locations Data'!$B:$B,HS$5)&gt;0,1,0)</f>
        <v>1</v>
      </c>
      <c r="HT8" s="6">
        <f>IF(SUMIFS('Locations Data'!$C:$C,'Locations Data'!$G:$G,$B8,'Locations Data'!$B:$B,HT$5)&gt;0,1,0)</f>
        <v>1</v>
      </c>
      <c r="HU8" s="6">
        <f>IF(SUMIFS('Locations Data'!$C:$C,'Locations Data'!$G:$G,$B8,'Locations Data'!$B:$B,HU$5)&gt;0,1,0)</f>
        <v>1</v>
      </c>
      <c r="HV8" s="6">
        <f>IF(SUMIFS('Locations Data'!$C:$C,'Locations Data'!$G:$G,$B8,'Locations Data'!$B:$B,HV$5)&gt;0,1,0)</f>
        <v>0</v>
      </c>
      <c r="HW8" s="6">
        <f>IF(SUMIFS('Locations Data'!$C:$C,'Locations Data'!$G:$G,$B8,'Locations Data'!$B:$B,HW$5)&gt;0,1,0)</f>
        <v>1</v>
      </c>
      <c r="HX8" s="6">
        <f>IF(SUMIFS('Locations Data'!$C:$C,'Locations Data'!$G:$G,$B8,'Locations Data'!$B:$B,HX$5)&gt;0,1,0)</f>
        <v>1</v>
      </c>
      <c r="HY8" s="6">
        <f>IF(SUMIFS('Locations Data'!$C:$C,'Locations Data'!$G:$G,$B8,'Locations Data'!$B:$B,HY$5)&gt;0,1,0)</f>
        <v>1</v>
      </c>
      <c r="HZ8" s="6">
        <f>IF(SUMIFS('Locations Data'!$C:$C,'Locations Data'!$G:$G,$B8,'Locations Data'!$B:$B,HZ$5)&gt;0,1,0)</f>
        <v>1</v>
      </c>
      <c r="IA8" s="6">
        <f>IF(SUMIFS('Locations Data'!$C:$C,'Locations Data'!$G:$G,$B8,'Locations Data'!$B:$B,IA$5)&gt;0,1,0)</f>
        <v>1</v>
      </c>
      <c r="IB8" s="6">
        <f>IF(SUMIFS('Locations Data'!$C:$C,'Locations Data'!$G:$G,$B8,'Locations Data'!$B:$B,IB$5)&gt;0,1,0)</f>
        <v>1</v>
      </c>
      <c r="IC8" s="6">
        <f>IF(SUMIFS('Locations Data'!$C:$C,'Locations Data'!$G:$G,$B8,'Locations Data'!$B:$B,IC$5)&gt;0,1,0)</f>
        <v>0</v>
      </c>
      <c r="ID8" s="6">
        <f>IF(SUMIFS('Locations Data'!$C:$C,'Locations Data'!$G:$G,$B8,'Locations Data'!$B:$B,ID$5)&gt;0,1,0)</f>
        <v>1</v>
      </c>
      <c r="IE8" s="6">
        <f>IF(SUMIFS('Locations Data'!$C:$C,'Locations Data'!$G:$G,$B8,'Locations Data'!$B:$B,IE$5)&gt;0,1,0)</f>
        <v>1</v>
      </c>
      <c r="IF8" s="6">
        <f>IF(SUMIFS('Locations Data'!$C:$C,'Locations Data'!$G:$G,$B8,'Locations Data'!$B:$B,IF$5)&gt;0,1,0)</f>
        <v>1</v>
      </c>
      <c r="IG8" s="6">
        <f>IF(SUMIFS('Locations Data'!$C:$C,'Locations Data'!$G:$G,$B8,'Locations Data'!$B:$B,IG$5)&gt;0,1,0)</f>
        <v>1</v>
      </c>
      <c r="IH8" s="6">
        <f>IF(SUMIFS('Locations Data'!$C:$C,'Locations Data'!$G:$G,$B8,'Locations Data'!$B:$B,IH$5)&gt;0,1,0)</f>
        <v>1</v>
      </c>
      <c r="II8" s="6">
        <f>IF(SUMIFS('Locations Data'!$C:$C,'Locations Data'!$G:$G,$B8,'Locations Data'!$B:$B,II$5)&gt;0,1,0)</f>
        <v>1</v>
      </c>
      <c r="IJ8" s="6">
        <f>IF(SUMIFS('Locations Data'!$C:$C,'Locations Data'!$G:$G,$B8,'Locations Data'!$B:$B,IJ$5)&gt;0,1,0)</f>
        <v>0</v>
      </c>
      <c r="IK8" s="6">
        <f>IF(SUMIFS('Locations Data'!$C:$C,'Locations Data'!$G:$G,$B8,'Locations Data'!$B:$B,IK$5)&gt;0,1,0)</f>
        <v>1</v>
      </c>
      <c r="IL8" s="6">
        <f>IF(SUMIFS('Locations Data'!$C:$C,'Locations Data'!$G:$G,$B8,'Locations Data'!$B:$B,IL$5)&gt;0,1,0)</f>
        <v>1</v>
      </c>
      <c r="IM8" s="6">
        <f>IF(SUMIFS('Locations Data'!$C:$C,'Locations Data'!$G:$G,$B8,'Locations Data'!$B:$B,IM$5)&gt;0,1,0)</f>
        <v>1</v>
      </c>
      <c r="IN8" s="6">
        <f>IF(SUMIFS('Locations Data'!$C:$C,'Locations Data'!$G:$G,$B8,'Locations Data'!$B:$B,IN$5)&gt;0,1,0)</f>
        <v>1</v>
      </c>
      <c r="IO8" s="6">
        <f>IF(SUMIFS('Locations Data'!$C:$C,'Locations Data'!$G:$G,$B8,'Locations Data'!$B:$B,IO$5)&gt;0,1,0)</f>
        <v>1</v>
      </c>
      <c r="IP8" s="6">
        <f>IF(SUMIFS('Locations Data'!$C:$C,'Locations Data'!$G:$G,$B8,'Locations Data'!$B:$B,IP$5)&gt;0,1,0)</f>
        <v>1</v>
      </c>
      <c r="IQ8" s="6">
        <f>IF(SUMIFS('Locations Data'!$C:$C,'Locations Data'!$G:$G,$B8,'Locations Data'!$B:$B,IQ$5)&gt;0,1,0)</f>
        <v>0</v>
      </c>
      <c r="IR8" s="6">
        <f>IF(SUMIFS('Locations Data'!$C:$C,'Locations Data'!$G:$G,$B8,'Locations Data'!$B:$B,IR$5)&gt;0,1,0)</f>
        <v>1</v>
      </c>
      <c r="IS8" s="6">
        <f>IF(SUMIFS('Locations Data'!$C:$C,'Locations Data'!$G:$G,$B8,'Locations Data'!$B:$B,IS$5)&gt;0,1,0)</f>
        <v>1</v>
      </c>
      <c r="IT8" s="6">
        <f>IF(SUMIFS('Locations Data'!$C:$C,'Locations Data'!$G:$G,$B8,'Locations Data'!$B:$B,IT$5)&gt;0,1,0)</f>
        <v>1</v>
      </c>
      <c r="IU8" s="6">
        <f>IF(SUMIFS('Locations Data'!$C:$C,'Locations Data'!$G:$G,$B8,'Locations Data'!$B:$B,IU$5)&gt;0,1,0)</f>
        <v>1</v>
      </c>
      <c r="IV8" s="6">
        <f>IF(SUMIFS('Locations Data'!$C:$C,'Locations Data'!$G:$G,$B8,'Locations Data'!$B:$B,IV$5)&gt;0,1,0)</f>
        <v>1</v>
      </c>
      <c r="IW8" s="6">
        <f>IF(SUMIFS('Locations Data'!$C:$C,'Locations Data'!$G:$G,$B8,'Locations Data'!$B:$B,IW$5)&gt;0,1,0)</f>
        <v>1</v>
      </c>
      <c r="IX8" s="6">
        <f>IF(SUMIFS('Locations Data'!$C:$C,'Locations Data'!$G:$G,$B8,'Locations Data'!$B:$B,IX$5)&gt;0,1,0)</f>
        <v>0</v>
      </c>
      <c r="IY8" s="6">
        <f>IF(SUMIFS('Locations Data'!$C:$C,'Locations Data'!$G:$G,$B8,'Locations Data'!$B:$B,IY$5)&gt;0,1,0)</f>
        <v>1</v>
      </c>
      <c r="IZ8" s="6">
        <f>IF(SUMIFS('Locations Data'!$C:$C,'Locations Data'!$G:$G,$B8,'Locations Data'!$B:$B,IZ$5)&gt;0,1,0)</f>
        <v>1</v>
      </c>
      <c r="JA8" s="6">
        <f>IF(SUMIFS('Locations Data'!$C:$C,'Locations Data'!$G:$G,$B8,'Locations Data'!$B:$B,JA$5)&gt;0,1,0)</f>
        <v>1</v>
      </c>
      <c r="JB8" s="6">
        <f>IF(SUMIFS('Locations Data'!$C:$C,'Locations Data'!$G:$G,$B8,'Locations Data'!$B:$B,JB$5)&gt;0,1,0)</f>
        <v>1</v>
      </c>
      <c r="JC8" s="6">
        <f>IF(SUMIFS('Locations Data'!$C:$C,'Locations Data'!$G:$G,$B8,'Locations Data'!$B:$B,JC$5)&gt;0,1,0)</f>
        <v>1</v>
      </c>
      <c r="JD8" s="6">
        <f>IF(SUMIFS('Locations Data'!$C:$C,'Locations Data'!$G:$G,$B8,'Locations Data'!$B:$B,JD$5)&gt;0,1,0)</f>
        <v>1</v>
      </c>
      <c r="JE8" s="6">
        <f>IF(SUMIFS('Locations Data'!$C:$C,'Locations Data'!$G:$G,$B8,'Locations Data'!$B:$B,JE$5)&gt;0,1,0)</f>
        <v>0</v>
      </c>
      <c r="JF8" s="6">
        <f>IF(SUMIFS('Locations Data'!$C:$C,'Locations Data'!$G:$G,$B8,'Locations Data'!$B:$B,JF$5)&gt;0,1,0)</f>
        <v>1</v>
      </c>
      <c r="JG8" s="6">
        <f>IF(SUMIFS('Locations Data'!$C:$C,'Locations Data'!$G:$G,$B8,'Locations Data'!$B:$B,JG$5)&gt;0,1,0)</f>
        <v>1</v>
      </c>
      <c r="JH8" s="6">
        <f>IF(SUMIFS('Locations Data'!$C:$C,'Locations Data'!$G:$G,$B8,'Locations Data'!$B:$B,JH$5)&gt;0,1,0)</f>
        <v>1</v>
      </c>
      <c r="JI8" s="6">
        <f>IF(SUMIFS('Locations Data'!$C:$C,'Locations Data'!$G:$G,$B8,'Locations Data'!$B:$B,JI$5)&gt;0,1,0)</f>
        <v>1</v>
      </c>
      <c r="JJ8" s="6">
        <f>IF(SUMIFS('Locations Data'!$C:$C,'Locations Data'!$G:$G,$B8,'Locations Data'!$B:$B,JJ$5)&gt;0,1,0)</f>
        <v>1</v>
      </c>
      <c r="JK8" s="6">
        <f>IF(SUMIFS('Locations Data'!$C:$C,'Locations Data'!$G:$G,$B8,'Locations Data'!$B:$B,JK$5)&gt;0,1,0)</f>
        <v>1</v>
      </c>
      <c r="JL8" s="6">
        <f>IF(SUMIFS('Locations Data'!$C:$C,'Locations Data'!$G:$G,$B8,'Locations Data'!$B:$B,JL$5)&gt;0,1,0)</f>
        <v>0</v>
      </c>
      <c r="JM8" s="6">
        <f>IF(SUMIFS('Locations Data'!$C:$C,'Locations Data'!$G:$G,$B8,'Locations Data'!$B:$B,JM$5)&gt;0,1,0)</f>
        <v>1</v>
      </c>
      <c r="JN8" s="6">
        <f>IF(SUMIFS('Locations Data'!$C:$C,'Locations Data'!$G:$G,$B8,'Locations Data'!$B:$B,JN$5)&gt;0,1,0)</f>
        <v>1</v>
      </c>
      <c r="JO8" s="6">
        <f>IF(SUMIFS('Locations Data'!$C:$C,'Locations Data'!$G:$G,$B8,'Locations Data'!$B:$B,JO$5)&gt;0,1,0)</f>
        <v>1</v>
      </c>
      <c r="JP8" s="6">
        <f>IF(SUMIFS('Locations Data'!$C:$C,'Locations Data'!$G:$G,$B8,'Locations Data'!$B:$B,JP$5)&gt;0,1,0)</f>
        <v>1</v>
      </c>
      <c r="JQ8" s="6">
        <f>IF(SUMIFS('Locations Data'!$C:$C,'Locations Data'!$G:$G,$B8,'Locations Data'!$B:$B,JQ$5)&gt;0,1,0)</f>
        <v>1</v>
      </c>
      <c r="JR8" s="6">
        <f>IF(SUMIFS('Locations Data'!$C:$C,'Locations Data'!$G:$G,$B8,'Locations Data'!$B:$B,JR$5)&gt;0,1,0)</f>
        <v>1</v>
      </c>
      <c r="JS8" s="6">
        <f>IF(SUMIFS('Locations Data'!$C:$C,'Locations Data'!$G:$G,$B8,'Locations Data'!$B:$B,JS$5)&gt;0,1,0)</f>
        <v>0</v>
      </c>
      <c r="JT8" s="6">
        <f>IF(SUMIFS('Locations Data'!$C:$C,'Locations Data'!$G:$G,$B8,'Locations Data'!$B:$B,JT$5)&gt;0,1,0)</f>
        <v>1</v>
      </c>
      <c r="JU8" s="6">
        <f>IF(SUMIFS('Locations Data'!$C:$C,'Locations Data'!$G:$G,$B8,'Locations Data'!$B:$B,JU$5)&gt;0,1,0)</f>
        <v>1</v>
      </c>
      <c r="JV8" s="6">
        <f>IF(SUMIFS('Locations Data'!$C:$C,'Locations Data'!$G:$G,$B8,'Locations Data'!$B:$B,JV$5)&gt;0,1,0)</f>
        <v>1</v>
      </c>
      <c r="JW8" s="6">
        <f>IF(SUMIFS('Locations Data'!$C:$C,'Locations Data'!$G:$G,$B8,'Locations Data'!$B:$B,JW$5)&gt;0,1,0)</f>
        <v>1</v>
      </c>
      <c r="JX8" s="6">
        <f>IF(SUMIFS('Locations Data'!$C:$C,'Locations Data'!$G:$G,$B8,'Locations Data'!$B:$B,JX$5)&gt;0,1,0)</f>
        <v>1</v>
      </c>
      <c r="JY8" s="6">
        <f>IF(SUMIFS('Locations Data'!$C:$C,'Locations Data'!$G:$G,$B8,'Locations Data'!$B:$B,JY$5)&gt;0,1,0)</f>
        <v>1</v>
      </c>
      <c r="JZ8" s="6">
        <f>IF(SUMIFS('Locations Data'!$C:$C,'Locations Data'!$G:$G,$B8,'Locations Data'!$B:$B,JZ$5)&gt;0,1,0)</f>
        <v>0</v>
      </c>
      <c r="KA8" s="6">
        <f>IF(SUMIFS('Locations Data'!$C:$C,'Locations Data'!$G:$G,$B8,'Locations Data'!$B:$B,KA$5)&gt;0,1,0)</f>
        <v>1</v>
      </c>
      <c r="KB8" s="6">
        <f>IF(SUMIFS('Locations Data'!$C:$C,'Locations Data'!$G:$G,$B8,'Locations Data'!$B:$B,KB$5)&gt;0,1,0)</f>
        <v>1</v>
      </c>
      <c r="KC8" s="6">
        <f>IF(SUMIFS('Locations Data'!$C:$C,'Locations Data'!$G:$G,$B8,'Locations Data'!$B:$B,KC$5)&gt;0,1,0)</f>
        <v>1</v>
      </c>
      <c r="KD8" s="6">
        <f>IF(SUMIFS('Locations Data'!$C:$C,'Locations Data'!$G:$G,$B8,'Locations Data'!$B:$B,KD$5)&gt;0,1,0)</f>
        <v>1</v>
      </c>
      <c r="KE8" s="6">
        <f>IF(SUMIFS('Locations Data'!$C:$C,'Locations Data'!$G:$G,$B8,'Locations Data'!$B:$B,KE$5)&gt;0,1,0)</f>
        <v>1</v>
      </c>
      <c r="KF8" s="6">
        <f>IF(SUMIFS('Locations Data'!$C:$C,'Locations Data'!$G:$G,$B8,'Locations Data'!$B:$B,KF$5)&gt;0,1,0)</f>
        <v>1</v>
      </c>
      <c r="KG8" s="6">
        <f>IF(SUMIFS('Locations Data'!$C:$C,'Locations Data'!$G:$G,$B8,'Locations Data'!$B:$B,KG$5)&gt;0,1,0)</f>
        <v>0</v>
      </c>
      <c r="KH8" s="6">
        <f>IF(SUMIFS('Locations Data'!$C:$C,'Locations Data'!$G:$G,$B8,'Locations Data'!$B:$B,KH$5)&gt;0,1,0)</f>
        <v>1</v>
      </c>
      <c r="KI8" s="6">
        <f>IF(SUMIFS('Locations Data'!$C:$C,'Locations Data'!$G:$G,$B8,'Locations Data'!$B:$B,KI$5)&gt;0,1,0)</f>
        <v>1</v>
      </c>
      <c r="KJ8" s="6">
        <f>IF(SUMIFS('Locations Data'!$C:$C,'Locations Data'!$G:$G,$B8,'Locations Data'!$B:$B,KJ$5)&gt;0,1,0)</f>
        <v>1</v>
      </c>
      <c r="KK8" s="6">
        <f>IF(SUMIFS('Locations Data'!$C:$C,'Locations Data'!$G:$G,$B8,'Locations Data'!$B:$B,KK$5)&gt;0,1,0)</f>
        <v>1</v>
      </c>
      <c r="KL8" s="6">
        <f>IF(SUMIFS('Locations Data'!$C:$C,'Locations Data'!$G:$G,$B8,'Locations Data'!$B:$B,KL$5)&gt;0,1,0)</f>
        <v>1</v>
      </c>
      <c r="KM8" s="6">
        <f>IF(SUMIFS('Locations Data'!$C:$C,'Locations Data'!$G:$G,$B8,'Locations Data'!$B:$B,KM$5)&gt;0,1,0)</f>
        <v>1</v>
      </c>
      <c r="KN8" s="6">
        <f>IF(SUMIFS('Locations Data'!$C:$C,'Locations Data'!$G:$G,$B8,'Locations Data'!$B:$B,KN$5)&gt;0,1,0)</f>
        <v>0</v>
      </c>
      <c r="KO8" s="6">
        <f>IF(SUMIFS('Locations Data'!$C:$C,'Locations Data'!$G:$G,$B8,'Locations Data'!$B:$B,KO$5)&gt;0,1,0)</f>
        <v>1</v>
      </c>
      <c r="KP8" s="6">
        <f>IF(SUMIFS('Locations Data'!$C:$C,'Locations Data'!$G:$G,$B8,'Locations Data'!$B:$B,KP$5)&gt;0,1,0)</f>
        <v>1</v>
      </c>
      <c r="KQ8" s="6">
        <f>IF(SUMIFS('Locations Data'!$C:$C,'Locations Data'!$G:$G,$B8,'Locations Data'!$B:$B,KQ$5)&gt;0,1,0)</f>
        <v>1</v>
      </c>
      <c r="KR8" s="6">
        <f>IF(SUMIFS('Locations Data'!$C:$C,'Locations Data'!$G:$G,$B8,'Locations Data'!$B:$B,KR$5)&gt;0,1,0)</f>
        <v>1</v>
      </c>
      <c r="KS8" s="6">
        <f>IF(SUMIFS('Locations Data'!$C:$C,'Locations Data'!$G:$G,$B8,'Locations Data'!$B:$B,KS$5)&gt;0,1,0)</f>
        <v>1</v>
      </c>
      <c r="KT8" s="6">
        <f>IF(SUMIFS('Locations Data'!$C:$C,'Locations Data'!$G:$G,$B8,'Locations Data'!$B:$B,KT$5)&gt;0,1,0)</f>
        <v>1</v>
      </c>
      <c r="KU8" s="6">
        <f>IF(SUMIFS('Locations Data'!$C:$C,'Locations Data'!$G:$G,$B8,'Locations Data'!$B:$B,KU$5)&gt;0,1,0)</f>
        <v>0</v>
      </c>
      <c r="KV8" s="6">
        <f>IF(SUMIFS('Locations Data'!$C:$C,'Locations Data'!$G:$G,$B8,'Locations Data'!$B:$B,KV$5)&gt;0,1,0)</f>
        <v>1</v>
      </c>
      <c r="KW8" s="6">
        <f>IF(SUMIFS('Locations Data'!$C:$C,'Locations Data'!$G:$G,$B8,'Locations Data'!$B:$B,KW$5)&gt;0,1,0)</f>
        <v>1</v>
      </c>
      <c r="KX8" s="6">
        <f>IF(SUMIFS('Locations Data'!$C:$C,'Locations Data'!$G:$G,$B8,'Locations Data'!$B:$B,KX$5)&gt;0,1,0)</f>
        <v>1</v>
      </c>
      <c r="KY8" s="6">
        <f>IF(SUMIFS('Locations Data'!$C:$C,'Locations Data'!$G:$G,$B8,'Locations Data'!$B:$B,KY$5)&gt;0,1,0)</f>
        <v>1</v>
      </c>
      <c r="KZ8" s="6">
        <f>IF(SUMIFS('Locations Data'!$C:$C,'Locations Data'!$G:$G,$B8,'Locations Data'!$B:$B,KZ$5)&gt;0,1,0)</f>
        <v>1</v>
      </c>
      <c r="LA8" s="6">
        <f>IF(SUMIFS('Locations Data'!$C:$C,'Locations Data'!$G:$G,$B8,'Locations Data'!$B:$B,LA$5)&gt;0,1,0)</f>
        <v>1</v>
      </c>
      <c r="LB8" s="6">
        <f>IF(SUMIFS('Locations Data'!$C:$C,'Locations Data'!$G:$G,$B8,'Locations Data'!$B:$B,LB$5)&gt;0,1,0)</f>
        <v>0</v>
      </c>
      <c r="LC8" s="6">
        <f>IF(SUMIFS('Locations Data'!$C:$C,'Locations Data'!$G:$G,$B8,'Locations Data'!$B:$B,LC$5)&gt;0,1,0)</f>
        <v>1</v>
      </c>
      <c r="LD8" s="6">
        <f>IF(SUMIFS('Locations Data'!$C:$C,'Locations Data'!$G:$G,$B8,'Locations Data'!$B:$B,LD$5)&gt;0,1,0)</f>
        <v>1</v>
      </c>
      <c r="LE8" s="6">
        <f>IF(SUMIFS('Locations Data'!$C:$C,'Locations Data'!$G:$G,$B8,'Locations Data'!$B:$B,LE$5)&gt;0,1,0)</f>
        <v>1</v>
      </c>
      <c r="LF8" s="6">
        <f>IF(SUMIFS('Locations Data'!$C:$C,'Locations Data'!$G:$G,$B8,'Locations Data'!$B:$B,LF$5)&gt;0,1,0)</f>
        <v>1</v>
      </c>
      <c r="LG8" s="6">
        <f>IF(SUMIFS('Locations Data'!$C:$C,'Locations Data'!$G:$G,$B8,'Locations Data'!$B:$B,LG$5)&gt;0,1,0)</f>
        <v>1</v>
      </c>
      <c r="LH8" s="6">
        <f>IF(SUMIFS('Locations Data'!$C:$C,'Locations Data'!$G:$G,$B8,'Locations Data'!$B:$B,LH$5)&gt;0,1,0)</f>
        <v>1</v>
      </c>
      <c r="LI8" s="6">
        <f>IF(SUMIFS('Locations Data'!$C:$C,'Locations Data'!$G:$G,$B8,'Locations Data'!$B:$B,LI$5)&gt;0,1,0)</f>
        <v>0</v>
      </c>
      <c r="LJ8" s="6">
        <f>IF(SUMIFS('Locations Data'!$C:$C,'Locations Data'!$G:$G,$B8,'Locations Data'!$B:$B,LJ$5)&gt;0,1,0)</f>
        <v>1</v>
      </c>
      <c r="LK8" s="6">
        <f>IF(SUMIFS('Locations Data'!$C:$C,'Locations Data'!$G:$G,$B8,'Locations Data'!$B:$B,LK$5)&gt;0,1,0)</f>
        <v>1</v>
      </c>
      <c r="LL8" s="6">
        <f>IF(SUMIFS('Locations Data'!$C:$C,'Locations Data'!$G:$G,$B8,'Locations Data'!$B:$B,LL$5)&gt;0,1,0)</f>
        <v>1</v>
      </c>
      <c r="LM8" s="6">
        <f>IF(SUMIFS('Locations Data'!$C:$C,'Locations Data'!$G:$G,$B8,'Locations Data'!$B:$B,LM$5)&gt;0,1,0)</f>
        <v>1</v>
      </c>
      <c r="LN8" s="6">
        <f>IF(SUMIFS('Locations Data'!$C:$C,'Locations Data'!$G:$G,$B8,'Locations Data'!$B:$B,LN$5)&gt;0,1,0)</f>
        <v>1</v>
      </c>
      <c r="LO8" s="6">
        <f>IF(SUMIFS('Locations Data'!$C:$C,'Locations Data'!$G:$G,$B8,'Locations Data'!$B:$B,LO$5)&gt;0,1,0)</f>
        <v>1</v>
      </c>
      <c r="LP8" s="6">
        <f>IF(SUMIFS('Locations Data'!$C:$C,'Locations Data'!$G:$G,$B8,'Locations Data'!$B:$B,LP$5)&gt;0,1,0)</f>
        <v>0</v>
      </c>
      <c r="LQ8" s="6">
        <f>IF(SUMIFS('Locations Data'!$C:$C,'Locations Data'!$G:$G,$B8,'Locations Data'!$B:$B,LQ$5)&gt;0,1,0)</f>
        <v>1</v>
      </c>
      <c r="LR8" s="6">
        <f>IF(SUMIFS('Locations Data'!$C:$C,'Locations Data'!$G:$G,$B8,'Locations Data'!$B:$B,LR$5)&gt;0,1,0)</f>
        <v>1</v>
      </c>
      <c r="LS8" s="6">
        <f>IF(SUMIFS('Locations Data'!$C:$C,'Locations Data'!$G:$G,$B8,'Locations Data'!$B:$B,LS$5)&gt;0,1,0)</f>
        <v>1</v>
      </c>
      <c r="LT8" s="6">
        <f>IF(SUMIFS('Locations Data'!$C:$C,'Locations Data'!$G:$G,$B8,'Locations Data'!$B:$B,LT$5)&gt;0,1,0)</f>
        <v>1</v>
      </c>
      <c r="LU8" s="6">
        <f>IF(SUMIFS('Locations Data'!$C:$C,'Locations Data'!$G:$G,$B8,'Locations Data'!$B:$B,LU$5)&gt;0,1,0)</f>
        <v>1</v>
      </c>
      <c r="LV8" s="6">
        <f>IF(SUMIFS('Locations Data'!$C:$C,'Locations Data'!$G:$G,$B8,'Locations Data'!$B:$B,LV$5)&gt;0,1,0)</f>
        <v>1</v>
      </c>
      <c r="LW8" s="6">
        <f>IF(SUMIFS('Locations Data'!$C:$C,'Locations Data'!$G:$G,$B8,'Locations Data'!$B:$B,LW$5)&gt;0,1,0)</f>
        <v>0</v>
      </c>
      <c r="LX8" s="6">
        <f>IF(SUMIFS('Locations Data'!$C:$C,'Locations Data'!$G:$G,$B8,'Locations Data'!$B:$B,LX$5)&gt;0,1,0)</f>
        <v>1</v>
      </c>
      <c r="LY8" s="6">
        <f>IF(SUMIFS('Locations Data'!$C:$C,'Locations Data'!$G:$G,$B8,'Locations Data'!$B:$B,LY$5)&gt;0,1,0)</f>
        <v>1</v>
      </c>
      <c r="LZ8" s="6">
        <f>IF(SUMIFS('Locations Data'!$C:$C,'Locations Data'!$G:$G,$B8,'Locations Data'!$B:$B,LZ$5)&gt;0,1,0)</f>
        <v>1</v>
      </c>
      <c r="MA8" s="6">
        <f>IF(SUMIFS('Locations Data'!$C:$C,'Locations Data'!$G:$G,$B8,'Locations Data'!$B:$B,MA$5)&gt;0,1,0)</f>
        <v>1</v>
      </c>
      <c r="MB8" s="6">
        <f>IF(SUMIFS('Locations Data'!$C:$C,'Locations Data'!$G:$G,$B8,'Locations Data'!$B:$B,MB$5)&gt;0,1,0)</f>
        <v>1</v>
      </c>
      <c r="MC8" s="6">
        <f>IF(SUMIFS('Locations Data'!$C:$C,'Locations Data'!$G:$G,$B8,'Locations Data'!$B:$B,MC$5)&gt;0,1,0)</f>
        <v>1</v>
      </c>
      <c r="MD8" s="6">
        <f>IF(SUMIFS('Locations Data'!$C:$C,'Locations Data'!$G:$G,$B8,'Locations Data'!$B:$B,MD$5)&gt;0,1,0)</f>
        <v>0</v>
      </c>
      <c r="ME8" s="6">
        <f>IF(SUMIFS('Locations Data'!$C:$C,'Locations Data'!$G:$G,$B8,'Locations Data'!$B:$B,ME$5)&gt;0,1,0)</f>
        <v>1</v>
      </c>
      <c r="MF8" s="6">
        <f>IF(SUMIFS('Locations Data'!$C:$C,'Locations Data'!$G:$G,$B8,'Locations Data'!$B:$B,MF$5)&gt;0,1,0)</f>
        <v>1</v>
      </c>
      <c r="MG8" s="6">
        <f>IF(SUMIFS('Locations Data'!$C:$C,'Locations Data'!$G:$G,$B8,'Locations Data'!$B:$B,MG$5)&gt;0,1,0)</f>
        <v>1</v>
      </c>
      <c r="MH8" s="6">
        <f>IF(SUMIFS('Locations Data'!$C:$C,'Locations Data'!$G:$G,$B8,'Locations Data'!$B:$B,MH$5)&gt;0,1,0)</f>
        <v>1</v>
      </c>
      <c r="MI8" s="6">
        <f>IF(SUMIFS('Locations Data'!$C:$C,'Locations Data'!$G:$G,$B8,'Locations Data'!$B:$B,MI$5)&gt;0,1,0)</f>
        <v>1</v>
      </c>
      <c r="MJ8" s="6">
        <f>IF(SUMIFS('Locations Data'!$C:$C,'Locations Data'!$G:$G,$B8,'Locations Data'!$B:$B,MJ$5)&gt;0,1,0)</f>
        <v>1</v>
      </c>
      <c r="MK8" s="6">
        <f>IF(SUMIFS('Locations Data'!$C:$C,'Locations Data'!$G:$G,$B8,'Locations Data'!$B:$B,MK$5)&gt;0,1,0)</f>
        <v>0</v>
      </c>
      <c r="ML8" s="6">
        <f>IF(SUMIFS('Locations Data'!$C:$C,'Locations Data'!$G:$G,$B8,'Locations Data'!$B:$B,ML$5)&gt;0,1,0)</f>
        <v>1</v>
      </c>
      <c r="MM8" s="6">
        <f>IF(SUMIFS('Locations Data'!$C:$C,'Locations Data'!$G:$G,$B8,'Locations Data'!$B:$B,MM$5)&gt;0,1,0)</f>
        <v>1</v>
      </c>
      <c r="MN8" s="6">
        <f>IF(SUMIFS('Locations Data'!$C:$C,'Locations Data'!$G:$G,$B8,'Locations Data'!$B:$B,MN$5)&gt;0,1,0)</f>
        <v>1</v>
      </c>
      <c r="MO8" s="6">
        <f>IF(SUMIFS('Locations Data'!$C:$C,'Locations Data'!$G:$G,$B8,'Locations Data'!$B:$B,MO$5)&gt;0,1,0)</f>
        <v>1</v>
      </c>
      <c r="MP8" s="6">
        <f>IF(SUMIFS('Locations Data'!$C:$C,'Locations Data'!$G:$G,$B8,'Locations Data'!$B:$B,MP$5)&gt;0,1,0)</f>
        <v>1</v>
      </c>
      <c r="MQ8" s="6">
        <f>IF(SUMIFS('Locations Data'!$C:$C,'Locations Data'!$G:$G,$B8,'Locations Data'!$B:$B,MQ$5)&gt;0,1,0)</f>
        <v>1</v>
      </c>
      <c r="MR8" s="6">
        <f>IF(SUMIFS('Locations Data'!$C:$C,'Locations Data'!$G:$G,$B8,'Locations Data'!$B:$B,MR$5)&gt;0,1,0)</f>
        <v>0</v>
      </c>
      <c r="MS8" s="6">
        <f>IF(SUMIFS('Locations Data'!$C:$C,'Locations Data'!$G:$G,$B8,'Locations Data'!$B:$B,MS$5)&gt;0,1,0)</f>
        <v>1</v>
      </c>
      <c r="MT8" s="6">
        <f>IF(SUMIFS('Locations Data'!$C:$C,'Locations Data'!$G:$G,$B8,'Locations Data'!$B:$B,MT$5)&gt;0,1,0)</f>
        <v>1</v>
      </c>
      <c r="MU8" s="6">
        <f>IF(SUMIFS('Locations Data'!$C:$C,'Locations Data'!$G:$G,$B8,'Locations Data'!$B:$B,MU$5)&gt;0,1,0)</f>
        <v>1</v>
      </c>
      <c r="MV8" s="6">
        <f>IF(SUMIFS('Locations Data'!$C:$C,'Locations Data'!$G:$G,$B8,'Locations Data'!$B:$B,MV$5)&gt;0,1,0)</f>
        <v>1</v>
      </c>
      <c r="MW8" s="26">
        <v>0</v>
      </c>
      <c r="MX8" s="6">
        <f>IF(SUMIFS('Locations Data'!$C:$C,'Locations Data'!$G:$G,$B8,'Locations Data'!$B:$B,MX$5)&gt;0,1,0)</f>
        <v>1</v>
      </c>
      <c r="MY8" s="6">
        <f>IF(SUMIFS('Locations Data'!$C:$C,'Locations Data'!$G:$G,$B8,'Locations Data'!$B:$B,MY$5)&gt;0,1,0)</f>
        <v>0</v>
      </c>
      <c r="MZ8" s="6">
        <f>IF(SUMIFS('Locations Data'!$C:$C,'Locations Data'!$G:$G,$B8,'Locations Data'!$B:$B,MZ$5)&gt;0,1,0)</f>
        <v>1</v>
      </c>
      <c r="NA8" s="6">
        <f>IF(SUMIFS('Locations Data'!$C:$C,'Locations Data'!$G:$G,$B8,'Locations Data'!$B:$B,NA$5)&gt;0,1,0)</f>
        <v>1</v>
      </c>
      <c r="NB8" s="6">
        <f>IF(SUMIFS('Locations Data'!$C:$C,'Locations Data'!$G:$G,$B8,'Locations Data'!$B:$B,NB$5)&gt;0,1,0)</f>
        <v>1</v>
      </c>
      <c r="NC8" s="6">
        <f>IF(SUMIFS('Locations Data'!$C:$C,'Locations Data'!$G:$G,$B8,'Locations Data'!$B:$B,NC$5)&gt;0,1,0)</f>
        <v>1</v>
      </c>
    </row>
    <row r="9" spans="2:367">
      <c r="B9" s="20" t="s">
        <v>303</v>
      </c>
      <c r="C9" s="6">
        <v>0</v>
      </c>
      <c r="D9" s="6">
        <f>IF(SUMIFS('Locations Data'!$C:$C,'Locations Data'!$G:$G,$B9,'Locations Data'!$B:$B,D$5)&gt;0,1,0)</f>
        <v>1</v>
      </c>
      <c r="E9" s="6">
        <f>IF(SUMIFS('Locations Data'!$C:$C,'Locations Data'!$G:$G,$B9,'Locations Data'!$B:$B,E$5)&gt;0,1,0)</f>
        <v>1</v>
      </c>
      <c r="F9" s="6">
        <f>IF(SUMIFS('Locations Data'!$C:$C,'Locations Data'!$G:$G,$B9,'Locations Data'!$B:$B,F$5)&gt;0,1,0)</f>
        <v>0</v>
      </c>
      <c r="G9" s="6">
        <f>IF(SUMIFS('Locations Data'!$C:$C,'Locations Data'!$G:$G,$B9,'Locations Data'!$B:$B,G$5)&gt;0,1,0)</f>
        <v>0</v>
      </c>
      <c r="H9" s="6">
        <f>IF(SUMIFS('Locations Data'!$C:$C,'Locations Data'!$G:$G,$B9,'Locations Data'!$B:$B,H$5)&gt;0,1,0)</f>
        <v>1</v>
      </c>
      <c r="I9" s="6">
        <f>IF(SUMIFS('Locations Data'!$C:$C,'Locations Data'!$G:$G,$B9,'Locations Data'!$B:$B,I$5)&gt;0,1,0)</f>
        <v>1</v>
      </c>
      <c r="J9" s="6">
        <f>IF(SUMIFS('Locations Data'!$C:$C,'Locations Data'!$G:$G,$B9,'Locations Data'!$B:$B,J$5)&gt;0,1,0)</f>
        <v>1</v>
      </c>
      <c r="K9" s="6">
        <f>IF(SUMIFS('Locations Data'!$C:$C,'Locations Data'!$G:$G,$B9,'Locations Data'!$B:$B,K$5)&gt;0,1,0)</f>
        <v>1</v>
      </c>
      <c r="L9" s="6">
        <f>IF(SUMIFS('Locations Data'!$C:$C,'Locations Data'!$G:$G,$B9,'Locations Data'!$B:$B,L$5)&gt;0,1,0)</f>
        <v>1</v>
      </c>
      <c r="M9" s="6">
        <f>IF(SUMIFS('Locations Data'!$C:$C,'Locations Data'!$G:$G,$B9,'Locations Data'!$B:$B,M$5)&gt;0,1,0)</f>
        <v>0</v>
      </c>
      <c r="N9" s="6">
        <f>IF(SUMIFS('Locations Data'!$C:$C,'Locations Data'!$G:$G,$B9,'Locations Data'!$B:$B,N$5)&gt;0,1,0)</f>
        <v>0</v>
      </c>
      <c r="O9" s="6">
        <f>IF(SUMIFS('Locations Data'!$C:$C,'Locations Data'!$G:$G,$B9,'Locations Data'!$B:$B,O$5)&gt;0,1,0)</f>
        <v>1</v>
      </c>
      <c r="P9" s="6">
        <f>IF(SUMIFS('Locations Data'!$C:$C,'Locations Data'!$G:$G,$B9,'Locations Data'!$B:$B,P$5)&gt;0,1,0)</f>
        <v>1</v>
      </c>
      <c r="Q9" s="6">
        <f>IF(SUMIFS('Locations Data'!$C:$C,'Locations Data'!$G:$G,$B9,'Locations Data'!$B:$B,Q$5)&gt;0,1,0)</f>
        <v>1</v>
      </c>
      <c r="R9" s="6">
        <f>IF(SUMIFS('Locations Data'!$C:$C,'Locations Data'!$G:$G,$B9,'Locations Data'!$B:$B,R$5)&gt;0,1,0)</f>
        <v>1</v>
      </c>
      <c r="S9" s="6">
        <f>IF(SUMIFS('Locations Data'!$C:$C,'Locations Data'!$G:$G,$B9,'Locations Data'!$B:$B,S$5)&gt;0,1,0)</f>
        <v>1</v>
      </c>
      <c r="T9" s="6">
        <f>IF(SUMIFS('Locations Data'!$C:$C,'Locations Data'!$G:$G,$B9,'Locations Data'!$B:$B,T$5)&gt;0,1,0)</f>
        <v>0</v>
      </c>
      <c r="U9" s="6">
        <f>IF(SUMIFS('Locations Data'!$C:$C,'Locations Data'!$G:$G,$B9,'Locations Data'!$B:$B,U$5)&gt;0,1,0)</f>
        <v>0</v>
      </c>
      <c r="V9" s="6">
        <f>IF(SUMIFS('Locations Data'!$C:$C,'Locations Data'!$G:$G,$B9,'Locations Data'!$B:$B,V$5)&gt;0,1,0)</f>
        <v>1</v>
      </c>
      <c r="W9" s="6">
        <f>IF(SUMIFS('Locations Data'!$C:$C,'Locations Data'!$G:$G,$B9,'Locations Data'!$B:$B,W$5)&gt;0,1,0)</f>
        <v>1</v>
      </c>
      <c r="X9" s="6">
        <f>IF(SUMIFS('Locations Data'!$C:$C,'Locations Data'!$G:$G,$B9,'Locations Data'!$B:$B,X$5)&gt;0,1,0)</f>
        <v>1</v>
      </c>
      <c r="Y9" s="6">
        <f>IF(SUMIFS('Locations Data'!$C:$C,'Locations Data'!$G:$G,$B9,'Locations Data'!$B:$B,Y$5)&gt;0,1,0)</f>
        <v>1</v>
      </c>
      <c r="Z9" s="6">
        <f>IF(SUMIFS('Locations Data'!$C:$C,'Locations Data'!$G:$G,$B9,'Locations Data'!$B:$B,Z$5)&gt;0,1,0)</f>
        <v>1</v>
      </c>
      <c r="AA9" s="6">
        <f>IF(SUMIFS('Locations Data'!$C:$C,'Locations Data'!$G:$G,$B9,'Locations Data'!$B:$B,AA$5)&gt;0,1,0)</f>
        <v>0</v>
      </c>
      <c r="AB9" s="6">
        <f>IF(SUMIFS('Locations Data'!$C:$C,'Locations Data'!$G:$G,$B9,'Locations Data'!$B:$B,AB$5)&gt;0,1,0)</f>
        <v>0</v>
      </c>
      <c r="AC9" s="6">
        <f>IF(SUMIFS('Locations Data'!$C:$C,'Locations Data'!$G:$G,$B9,'Locations Data'!$B:$B,AC$5)&gt;0,1,0)</f>
        <v>1</v>
      </c>
      <c r="AD9" s="6">
        <f>IF(SUMIFS('Locations Data'!$C:$C,'Locations Data'!$G:$G,$B9,'Locations Data'!$B:$B,AD$5)&gt;0,1,0)</f>
        <v>1</v>
      </c>
      <c r="AE9" s="6">
        <f>IF(SUMIFS('Locations Data'!$C:$C,'Locations Data'!$G:$G,$B9,'Locations Data'!$B:$B,AE$5)&gt;0,1,0)</f>
        <v>1</v>
      </c>
      <c r="AF9" s="6">
        <f>IF(SUMIFS('Locations Data'!$C:$C,'Locations Data'!$G:$G,$B9,'Locations Data'!$B:$B,AF$5)&gt;0,1,0)</f>
        <v>1</v>
      </c>
      <c r="AG9" s="6">
        <f>IF(SUMIFS('Locations Data'!$C:$C,'Locations Data'!$G:$G,$B9,'Locations Data'!$B:$B,AG$5)&gt;0,1,0)</f>
        <v>1</v>
      </c>
      <c r="AH9" s="6">
        <f>IF(SUMIFS('Locations Data'!$C:$C,'Locations Data'!$G:$G,$B9,'Locations Data'!$B:$B,AH$5)&gt;0,1,0)</f>
        <v>0</v>
      </c>
      <c r="AI9" s="6">
        <f>IF(SUMIFS('Locations Data'!$C:$C,'Locations Data'!$G:$G,$B9,'Locations Data'!$B:$B,AI$5)&gt;0,1,0)</f>
        <v>0</v>
      </c>
      <c r="AJ9" s="6">
        <f>IF(SUMIFS('Locations Data'!$C:$C,'Locations Data'!$G:$G,$B9,'Locations Data'!$B:$B,AJ$5)&gt;0,1,0)</f>
        <v>1</v>
      </c>
      <c r="AK9" s="6">
        <f>IF(SUMIFS('Locations Data'!$C:$C,'Locations Data'!$G:$G,$B9,'Locations Data'!$B:$B,AK$5)&gt;0,1,0)</f>
        <v>1</v>
      </c>
      <c r="AL9" s="6">
        <f>IF(SUMIFS('Locations Data'!$C:$C,'Locations Data'!$G:$G,$B9,'Locations Data'!$B:$B,AL$5)&gt;0,1,0)</f>
        <v>1</v>
      </c>
      <c r="AM9" s="6">
        <f>IF(SUMIFS('Locations Data'!$C:$C,'Locations Data'!$G:$G,$B9,'Locations Data'!$B:$B,AM$5)&gt;0,1,0)</f>
        <v>1</v>
      </c>
      <c r="AN9" s="6">
        <f>IF(SUMIFS('Locations Data'!$C:$C,'Locations Data'!$G:$G,$B9,'Locations Data'!$B:$B,AN$5)&gt;0,1,0)</f>
        <v>1</v>
      </c>
      <c r="AO9" s="6">
        <f>IF(SUMIFS('Locations Data'!$C:$C,'Locations Data'!$G:$G,$B9,'Locations Data'!$B:$B,AO$5)&gt;0,1,0)</f>
        <v>0</v>
      </c>
      <c r="AP9" s="6">
        <f>IF(SUMIFS('Locations Data'!$C:$C,'Locations Data'!$G:$G,$B9,'Locations Data'!$B:$B,AP$5)&gt;0,1,0)</f>
        <v>0</v>
      </c>
      <c r="AQ9" s="6">
        <f>IF(SUMIFS('Locations Data'!$C:$C,'Locations Data'!$G:$G,$B9,'Locations Data'!$B:$B,AQ$5)&gt;0,1,0)</f>
        <v>1</v>
      </c>
      <c r="AR9" s="6">
        <f>IF(SUMIFS('Locations Data'!$C:$C,'Locations Data'!$G:$G,$B9,'Locations Data'!$B:$B,AR$5)&gt;0,1,0)</f>
        <v>1</v>
      </c>
      <c r="AS9" s="6">
        <f>IF(SUMIFS('Locations Data'!$C:$C,'Locations Data'!$G:$G,$B9,'Locations Data'!$B:$B,AS$5)&gt;0,1,0)</f>
        <v>1</v>
      </c>
      <c r="AT9" s="6">
        <f>IF(SUMIFS('Locations Data'!$C:$C,'Locations Data'!$G:$G,$B9,'Locations Data'!$B:$B,AT$5)&gt;0,1,0)</f>
        <v>1</v>
      </c>
      <c r="AU9" s="6">
        <f>IF(SUMIFS('Locations Data'!$C:$C,'Locations Data'!$G:$G,$B9,'Locations Data'!$B:$B,AU$5)&gt;0,1,0)</f>
        <v>1</v>
      </c>
      <c r="AV9" s="6">
        <f>IF(SUMIFS('Locations Data'!$C:$C,'Locations Data'!$G:$G,$B9,'Locations Data'!$B:$B,AV$5)&gt;0,1,0)</f>
        <v>0</v>
      </c>
      <c r="AW9" s="6">
        <f>IF(SUMIFS('Locations Data'!$C:$C,'Locations Data'!$G:$G,$B9,'Locations Data'!$B:$B,AW$5)&gt;0,1,0)</f>
        <v>0</v>
      </c>
      <c r="AX9" s="6">
        <f>IF(SUMIFS('Locations Data'!$C:$C,'Locations Data'!$G:$G,$B9,'Locations Data'!$B:$B,AX$5)&gt;0,1,0)</f>
        <v>1</v>
      </c>
      <c r="AY9" s="6">
        <f>IF(SUMIFS('Locations Data'!$C:$C,'Locations Data'!$G:$G,$B9,'Locations Data'!$B:$B,AY$5)&gt;0,1,0)</f>
        <v>1</v>
      </c>
      <c r="AZ9" s="6">
        <f>IF(SUMIFS('Locations Data'!$C:$C,'Locations Data'!$G:$G,$B9,'Locations Data'!$B:$B,AZ$5)&gt;0,1,0)</f>
        <v>1</v>
      </c>
      <c r="BA9" s="6">
        <f>IF(SUMIFS('Locations Data'!$C:$C,'Locations Data'!$G:$G,$B9,'Locations Data'!$B:$B,BA$5)&gt;0,1,0)</f>
        <v>1</v>
      </c>
      <c r="BB9" s="6">
        <f>IF(SUMIFS('Locations Data'!$C:$C,'Locations Data'!$G:$G,$B9,'Locations Data'!$B:$B,BB$5)&gt;0,1,0)</f>
        <v>1</v>
      </c>
      <c r="BC9" s="6">
        <f>IF(SUMIFS('Locations Data'!$C:$C,'Locations Data'!$G:$G,$B9,'Locations Data'!$B:$B,BC$5)&gt;0,1,0)</f>
        <v>0</v>
      </c>
      <c r="BD9" s="6">
        <f>IF(SUMIFS('Locations Data'!$C:$C,'Locations Data'!$G:$G,$B9,'Locations Data'!$B:$B,BD$5)&gt;0,1,0)</f>
        <v>0</v>
      </c>
      <c r="BE9" s="6">
        <f>IF(SUMIFS('Locations Data'!$C:$C,'Locations Data'!$G:$G,$B9,'Locations Data'!$B:$B,BE$5)&gt;0,1,0)</f>
        <v>1</v>
      </c>
      <c r="BF9" s="6">
        <f>IF(SUMIFS('Locations Data'!$C:$C,'Locations Data'!$G:$G,$B9,'Locations Data'!$B:$B,BF$5)&gt;0,1,0)</f>
        <v>1</v>
      </c>
      <c r="BG9" s="6">
        <f>IF(SUMIFS('Locations Data'!$C:$C,'Locations Data'!$G:$G,$B9,'Locations Data'!$B:$B,BG$5)&gt;0,1,0)</f>
        <v>1</v>
      </c>
      <c r="BH9" s="6">
        <f>IF(SUMIFS('Locations Data'!$C:$C,'Locations Data'!$G:$G,$B9,'Locations Data'!$B:$B,BH$5)&gt;0,1,0)</f>
        <v>1</v>
      </c>
      <c r="BI9" s="6">
        <f>IF(SUMIFS('Locations Data'!$C:$C,'Locations Data'!$G:$G,$B9,'Locations Data'!$B:$B,BI$5)&gt;0,1,0)</f>
        <v>1</v>
      </c>
      <c r="BJ9" s="6">
        <f>IF(SUMIFS('Locations Data'!$C:$C,'Locations Data'!$G:$G,$B9,'Locations Data'!$B:$B,BJ$5)&gt;0,1,0)</f>
        <v>0</v>
      </c>
      <c r="BK9" s="6">
        <f>IF(SUMIFS('Locations Data'!$C:$C,'Locations Data'!$G:$G,$B9,'Locations Data'!$B:$B,BK$5)&gt;0,1,0)</f>
        <v>0</v>
      </c>
      <c r="BL9" s="6">
        <f>IF(SUMIFS('Locations Data'!$C:$C,'Locations Data'!$G:$G,$B9,'Locations Data'!$B:$B,BL$5)&gt;0,1,0)</f>
        <v>1</v>
      </c>
      <c r="BM9" s="6">
        <f>IF(SUMIFS('Locations Data'!$C:$C,'Locations Data'!$G:$G,$B9,'Locations Data'!$B:$B,BM$5)&gt;0,1,0)</f>
        <v>1</v>
      </c>
      <c r="BN9" s="6">
        <f>IF(SUMIFS('Locations Data'!$C:$C,'Locations Data'!$G:$G,$B9,'Locations Data'!$B:$B,BN$5)&gt;0,1,0)</f>
        <v>1</v>
      </c>
      <c r="BO9" s="6">
        <f>IF(SUMIFS('Locations Data'!$C:$C,'Locations Data'!$G:$G,$B9,'Locations Data'!$B:$B,BO$5)&gt;0,1,0)</f>
        <v>1</v>
      </c>
      <c r="BP9" s="6">
        <f>IF(SUMIFS('Locations Data'!$C:$C,'Locations Data'!$G:$G,$B9,'Locations Data'!$B:$B,BP$5)&gt;0,1,0)</f>
        <v>1</v>
      </c>
      <c r="BQ9" s="6">
        <f>IF(SUMIFS('Locations Data'!$C:$C,'Locations Data'!$G:$G,$B9,'Locations Data'!$B:$B,BQ$5)&gt;0,1,0)</f>
        <v>0</v>
      </c>
      <c r="BR9" s="6">
        <f>IF(SUMIFS('Locations Data'!$C:$C,'Locations Data'!$G:$G,$B9,'Locations Data'!$B:$B,BR$5)&gt;0,1,0)</f>
        <v>0</v>
      </c>
      <c r="BS9" s="6">
        <f>IF(SUMIFS('Locations Data'!$C:$C,'Locations Data'!$G:$G,$B9,'Locations Data'!$B:$B,BS$5)&gt;0,1,0)</f>
        <v>1</v>
      </c>
      <c r="BT9" s="6">
        <f>IF(SUMIFS('Locations Data'!$C:$C,'Locations Data'!$G:$G,$B9,'Locations Data'!$B:$B,BT$5)&gt;0,1,0)</f>
        <v>1</v>
      </c>
      <c r="BU9" s="6">
        <f>IF(SUMIFS('Locations Data'!$C:$C,'Locations Data'!$G:$G,$B9,'Locations Data'!$B:$B,BU$5)&gt;0,1,0)</f>
        <v>1</v>
      </c>
      <c r="BV9" s="6">
        <f>IF(SUMIFS('Locations Data'!$C:$C,'Locations Data'!$G:$G,$B9,'Locations Data'!$B:$B,BV$5)&gt;0,1,0)</f>
        <v>1</v>
      </c>
      <c r="BW9" s="6">
        <f>IF(SUMIFS('Locations Data'!$C:$C,'Locations Data'!$G:$G,$B9,'Locations Data'!$B:$B,BW$5)&gt;0,1,0)</f>
        <v>1</v>
      </c>
      <c r="BX9" s="6">
        <f>IF(SUMIFS('Locations Data'!$C:$C,'Locations Data'!$G:$G,$B9,'Locations Data'!$B:$B,BX$5)&gt;0,1,0)</f>
        <v>0</v>
      </c>
      <c r="BY9" s="6">
        <f>IF(SUMIFS('Locations Data'!$C:$C,'Locations Data'!$G:$G,$B9,'Locations Data'!$B:$B,BY$5)&gt;0,1,0)</f>
        <v>0</v>
      </c>
      <c r="BZ9" s="6">
        <f>IF(SUMIFS('Locations Data'!$C:$C,'Locations Data'!$G:$G,$B9,'Locations Data'!$B:$B,BZ$5)&gt;0,1,0)</f>
        <v>1</v>
      </c>
      <c r="CA9" s="6">
        <f>IF(SUMIFS('Locations Data'!$C:$C,'Locations Data'!$G:$G,$B9,'Locations Data'!$B:$B,CA$5)&gt;0,1,0)</f>
        <v>1</v>
      </c>
      <c r="CB9" s="6">
        <f>IF(SUMIFS('Locations Data'!$C:$C,'Locations Data'!$G:$G,$B9,'Locations Data'!$B:$B,CB$5)&gt;0,1,0)</f>
        <v>1</v>
      </c>
      <c r="CC9" s="6">
        <f>IF(SUMIFS('Locations Data'!$C:$C,'Locations Data'!$G:$G,$B9,'Locations Data'!$B:$B,CC$5)&gt;0,1,0)</f>
        <v>1</v>
      </c>
      <c r="CD9" s="6">
        <f>IF(SUMIFS('Locations Data'!$C:$C,'Locations Data'!$G:$G,$B9,'Locations Data'!$B:$B,CD$5)&gt;0,1,0)</f>
        <v>1</v>
      </c>
      <c r="CE9" s="6">
        <f>IF(SUMIFS('Locations Data'!$C:$C,'Locations Data'!$G:$G,$B9,'Locations Data'!$B:$B,CE$5)&gt;0,1,0)</f>
        <v>0</v>
      </c>
      <c r="CF9" s="6">
        <f>IF(SUMIFS('Locations Data'!$C:$C,'Locations Data'!$G:$G,$B9,'Locations Data'!$B:$B,CF$5)&gt;0,1,0)</f>
        <v>0</v>
      </c>
      <c r="CG9" s="6">
        <f>IF(SUMIFS('Locations Data'!$C:$C,'Locations Data'!$G:$G,$B9,'Locations Data'!$B:$B,CG$5)&gt;0,1,0)</f>
        <v>1</v>
      </c>
      <c r="CH9" s="6">
        <f>IF(SUMIFS('Locations Data'!$C:$C,'Locations Data'!$G:$G,$B9,'Locations Data'!$B:$B,CH$5)&gt;0,1,0)</f>
        <v>1</v>
      </c>
      <c r="CI9" s="6">
        <f>IF(SUMIFS('Locations Data'!$C:$C,'Locations Data'!$G:$G,$B9,'Locations Data'!$B:$B,CI$5)&gt;0,1,0)</f>
        <v>1</v>
      </c>
      <c r="CJ9" s="6">
        <f>IF(SUMIFS('Locations Data'!$C:$C,'Locations Data'!$G:$G,$B9,'Locations Data'!$B:$B,CJ$5)&gt;0,1,0)</f>
        <v>1</v>
      </c>
      <c r="CK9" s="6">
        <f>IF(SUMIFS('Locations Data'!$C:$C,'Locations Data'!$G:$G,$B9,'Locations Data'!$B:$B,CK$5)&gt;0,1,0)</f>
        <v>1</v>
      </c>
      <c r="CL9" s="6">
        <f>IF(SUMIFS('Locations Data'!$C:$C,'Locations Data'!$G:$G,$B9,'Locations Data'!$B:$B,CL$5)&gt;0,1,0)</f>
        <v>0</v>
      </c>
      <c r="CM9" s="6">
        <f>IF(SUMIFS('Locations Data'!$C:$C,'Locations Data'!$G:$G,$B9,'Locations Data'!$B:$B,CM$5)&gt;0,1,0)</f>
        <v>0</v>
      </c>
      <c r="CN9" s="6">
        <f>IF(SUMIFS('Locations Data'!$C:$C,'Locations Data'!$G:$G,$B9,'Locations Data'!$B:$B,CN$5)&gt;0,1,0)</f>
        <v>1</v>
      </c>
      <c r="CO9" s="6">
        <f>IF(SUMIFS('Locations Data'!$C:$C,'Locations Data'!$G:$G,$B9,'Locations Data'!$B:$B,CO$5)&gt;0,1,0)</f>
        <v>1</v>
      </c>
      <c r="CP9" s="6">
        <f>IF(SUMIFS('Locations Data'!$C:$C,'Locations Data'!$G:$G,$B9,'Locations Data'!$B:$B,CP$5)&gt;0,1,0)</f>
        <v>1</v>
      </c>
      <c r="CQ9" s="6">
        <f>IF(SUMIFS('Locations Data'!$C:$C,'Locations Data'!$G:$G,$B9,'Locations Data'!$B:$B,CQ$5)&gt;0,1,0)</f>
        <v>1</v>
      </c>
      <c r="CR9" s="6">
        <f>IF(SUMIFS('Locations Data'!$C:$C,'Locations Data'!$G:$G,$B9,'Locations Data'!$B:$B,CR$5)&gt;0,1,0)</f>
        <v>1</v>
      </c>
      <c r="CS9" s="6">
        <f>IF(SUMIFS('Locations Data'!$C:$C,'Locations Data'!$G:$G,$B9,'Locations Data'!$B:$B,CS$5)&gt;0,1,0)</f>
        <v>0</v>
      </c>
      <c r="CT9" s="6">
        <f>IF(SUMIFS('Locations Data'!$C:$C,'Locations Data'!$G:$G,$B9,'Locations Data'!$B:$B,CT$5)&gt;0,1,0)</f>
        <v>0</v>
      </c>
      <c r="CU9" s="6">
        <f>IF(SUMIFS('Locations Data'!$C:$C,'Locations Data'!$G:$G,$B9,'Locations Data'!$B:$B,CU$5)&gt;0,1,0)</f>
        <v>1</v>
      </c>
      <c r="CV9" s="6">
        <f>IF(SUMIFS('Locations Data'!$C:$C,'Locations Data'!$G:$G,$B9,'Locations Data'!$B:$B,CV$5)&gt;0,1,0)</f>
        <v>1</v>
      </c>
      <c r="CW9" s="6">
        <f>IF(SUMIFS('Locations Data'!$C:$C,'Locations Data'!$G:$G,$B9,'Locations Data'!$B:$B,CW$5)&gt;0,1,0)</f>
        <v>1</v>
      </c>
      <c r="CX9" s="6">
        <f>IF(SUMIFS('Locations Data'!$C:$C,'Locations Data'!$G:$G,$B9,'Locations Data'!$B:$B,CX$5)&gt;0,1,0)</f>
        <v>1</v>
      </c>
      <c r="CY9" s="6">
        <f>IF(SUMIFS('Locations Data'!$C:$C,'Locations Data'!$G:$G,$B9,'Locations Data'!$B:$B,CY$5)&gt;0,1,0)</f>
        <v>1</v>
      </c>
      <c r="CZ9" s="6">
        <f>IF(SUMIFS('Locations Data'!$C:$C,'Locations Data'!$G:$G,$B9,'Locations Data'!$B:$B,CZ$5)&gt;0,1,0)</f>
        <v>0</v>
      </c>
      <c r="DA9" s="6">
        <f>IF(SUMIFS('Locations Data'!$C:$C,'Locations Data'!$G:$G,$B9,'Locations Data'!$B:$B,DA$5)&gt;0,1,0)</f>
        <v>0</v>
      </c>
      <c r="DB9" s="6">
        <f>IF(SUMIFS('Locations Data'!$C:$C,'Locations Data'!$G:$G,$B9,'Locations Data'!$B:$B,DB$5)&gt;0,1,0)</f>
        <v>1</v>
      </c>
      <c r="DC9" s="6">
        <f>IF(SUMIFS('Locations Data'!$C:$C,'Locations Data'!$G:$G,$B9,'Locations Data'!$B:$B,DC$5)&gt;0,1,0)</f>
        <v>1</v>
      </c>
      <c r="DD9" s="6">
        <f>IF(SUMIFS('Locations Data'!$C:$C,'Locations Data'!$G:$G,$B9,'Locations Data'!$B:$B,DD$5)&gt;0,1,0)</f>
        <v>1</v>
      </c>
      <c r="DE9" s="6">
        <f>IF(SUMIFS('Locations Data'!$C:$C,'Locations Data'!$G:$G,$B9,'Locations Data'!$B:$B,DE$5)&gt;0,1,0)</f>
        <v>1</v>
      </c>
      <c r="DF9" s="6">
        <f>IF(SUMIFS('Locations Data'!$C:$C,'Locations Data'!$G:$G,$B9,'Locations Data'!$B:$B,DF$5)&gt;0,1,0)</f>
        <v>1</v>
      </c>
      <c r="DG9" s="6">
        <f>IF(SUMIFS('Locations Data'!$C:$C,'Locations Data'!$G:$G,$B9,'Locations Data'!$B:$B,DG$5)&gt;0,1,0)</f>
        <v>0</v>
      </c>
      <c r="DH9" s="6">
        <f>IF(SUMIFS('Locations Data'!$C:$C,'Locations Data'!$G:$G,$B9,'Locations Data'!$B:$B,DH$5)&gt;0,1,0)</f>
        <v>0</v>
      </c>
      <c r="DI9" s="6">
        <f>IF(SUMIFS('Locations Data'!$C:$C,'Locations Data'!$G:$G,$B9,'Locations Data'!$B:$B,DI$5)&gt;0,1,0)</f>
        <v>1</v>
      </c>
      <c r="DJ9" s="6">
        <f>IF(SUMIFS('Locations Data'!$C:$C,'Locations Data'!$G:$G,$B9,'Locations Data'!$B:$B,DJ$5)&gt;0,1,0)</f>
        <v>1</v>
      </c>
      <c r="DK9" s="6">
        <f>IF(SUMIFS('Locations Data'!$C:$C,'Locations Data'!$G:$G,$B9,'Locations Data'!$B:$B,DK$5)&gt;0,1,0)</f>
        <v>1</v>
      </c>
      <c r="DL9" s="6">
        <f>IF(SUMIFS('Locations Data'!$C:$C,'Locations Data'!$G:$G,$B9,'Locations Data'!$B:$B,DL$5)&gt;0,1,0)</f>
        <v>1</v>
      </c>
      <c r="DM9" s="6">
        <f>IF(SUMIFS('Locations Data'!$C:$C,'Locations Data'!$G:$G,$B9,'Locations Data'!$B:$B,DM$5)&gt;0,1,0)</f>
        <v>1</v>
      </c>
      <c r="DN9" s="6">
        <f>IF(SUMIFS('Locations Data'!$C:$C,'Locations Data'!$G:$G,$B9,'Locations Data'!$B:$B,DN$5)&gt;0,1,0)</f>
        <v>0</v>
      </c>
      <c r="DO9" s="6">
        <f>IF(SUMIFS('Locations Data'!$C:$C,'Locations Data'!$G:$G,$B9,'Locations Data'!$B:$B,DO$5)&gt;0,1,0)</f>
        <v>0</v>
      </c>
      <c r="DP9" s="6">
        <f>IF(SUMIFS('Locations Data'!$C:$C,'Locations Data'!$G:$G,$B9,'Locations Data'!$B:$B,DP$5)&gt;0,1,0)</f>
        <v>1</v>
      </c>
      <c r="DQ9" s="6">
        <f>IF(SUMIFS('Locations Data'!$C:$C,'Locations Data'!$G:$G,$B9,'Locations Data'!$B:$B,DQ$5)&gt;0,1,0)</f>
        <v>1</v>
      </c>
      <c r="DR9" s="6">
        <f>IF(SUMIFS('Locations Data'!$C:$C,'Locations Data'!$G:$G,$B9,'Locations Data'!$B:$B,DR$5)&gt;0,1,0)</f>
        <v>1</v>
      </c>
      <c r="DS9" s="6">
        <f>IF(SUMIFS('Locations Data'!$C:$C,'Locations Data'!$G:$G,$B9,'Locations Data'!$B:$B,DS$5)&gt;0,1,0)</f>
        <v>1</v>
      </c>
      <c r="DT9" s="6">
        <f>IF(SUMIFS('Locations Data'!$C:$C,'Locations Data'!$G:$G,$B9,'Locations Data'!$B:$B,DT$5)&gt;0,1,0)</f>
        <v>1</v>
      </c>
      <c r="DU9" s="6">
        <f>IF(SUMIFS('Locations Data'!$C:$C,'Locations Data'!$G:$G,$B9,'Locations Data'!$B:$B,DU$5)&gt;0,1,0)</f>
        <v>0</v>
      </c>
      <c r="DV9" s="6">
        <f>IF(SUMIFS('Locations Data'!$C:$C,'Locations Data'!$G:$G,$B9,'Locations Data'!$B:$B,DV$5)&gt;0,1,0)</f>
        <v>0</v>
      </c>
      <c r="DW9" s="6">
        <f>IF(SUMIFS('Locations Data'!$C:$C,'Locations Data'!$G:$G,$B9,'Locations Data'!$B:$B,DW$5)&gt;0,1,0)</f>
        <v>1</v>
      </c>
      <c r="DX9" s="6">
        <f>IF(SUMIFS('Locations Data'!$C:$C,'Locations Data'!$G:$G,$B9,'Locations Data'!$B:$B,DX$5)&gt;0,1,0)</f>
        <v>1</v>
      </c>
      <c r="DY9" s="6">
        <f>IF(SUMIFS('Locations Data'!$C:$C,'Locations Data'!$G:$G,$B9,'Locations Data'!$B:$B,DY$5)&gt;0,1,0)</f>
        <v>1</v>
      </c>
      <c r="DZ9" s="6">
        <f>IF(SUMIFS('Locations Data'!$C:$C,'Locations Data'!$G:$G,$B9,'Locations Data'!$B:$B,DZ$5)&gt;0,1,0)</f>
        <v>1</v>
      </c>
      <c r="EA9" s="6">
        <f>IF(SUMIFS('Locations Data'!$C:$C,'Locations Data'!$G:$G,$B9,'Locations Data'!$B:$B,EA$5)&gt;0,1,0)</f>
        <v>1</v>
      </c>
      <c r="EB9" s="6">
        <f>IF(SUMIFS('Locations Data'!$C:$C,'Locations Data'!$G:$G,$B9,'Locations Data'!$B:$B,EB$5)&gt;0,1,0)</f>
        <v>0</v>
      </c>
      <c r="EC9" s="6">
        <f>IF(SUMIFS('Locations Data'!$C:$C,'Locations Data'!$G:$G,$B9,'Locations Data'!$B:$B,EC$5)&gt;0,1,0)</f>
        <v>0</v>
      </c>
      <c r="ED9" s="6">
        <f>IF(SUMIFS('Locations Data'!$C:$C,'Locations Data'!$G:$G,$B9,'Locations Data'!$B:$B,ED$5)&gt;0,1,0)</f>
        <v>1</v>
      </c>
      <c r="EE9" s="6">
        <f>IF(SUMIFS('Locations Data'!$C:$C,'Locations Data'!$G:$G,$B9,'Locations Data'!$B:$B,EE$5)&gt;0,1,0)</f>
        <v>1</v>
      </c>
      <c r="EF9" s="6">
        <f>IF(SUMIFS('Locations Data'!$C:$C,'Locations Data'!$G:$G,$B9,'Locations Data'!$B:$B,EF$5)&gt;0,1,0)</f>
        <v>1</v>
      </c>
      <c r="EG9" s="6">
        <f>IF(SUMIFS('Locations Data'!$C:$C,'Locations Data'!$G:$G,$B9,'Locations Data'!$B:$B,EG$5)&gt;0,1,0)</f>
        <v>1</v>
      </c>
      <c r="EH9" s="6">
        <f>IF(SUMIFS('Locations Data'!$C:$C,'Locations Data'!$G:$G,$B9,'Locations Data'!$B:$B,EH$5)&gt;0,1,0)</f>
        <v>1</v>
      </c>
      <c r="EI9" s="6">
        <f>IF(SUMIFS('Locations Data'!$C:$C,'Locations Data'!$G:$G,$B9,'Locations Data'!$B:$B,EI$5)&gt;0,1,0)</f>
        <v>0</v>
      </c>
      <c r="EJ9" s="6">
        <f>IF(SUMIFS('Locations Data'!$C:$C,'Locations Data'!$G:$G,$B9,'Locations Data'!$B:$B,EJ$5)&gt;0,1,0)</f>
        <v>0</v>
      </c>
      <c r="EK9" s="6">
        <f>IF(SUMIFS('Locations Data'!$C:$C,'Locations Data'!$G:$G,$B9,'Locations Data'!$B:$B,EK$5)&gt;0,1,0)</f>
        <v>1</v>
      </c>
      <c r="EL9" s="6">
        <f>IF(SUMIFS('Locations Data'!$C:$C,'Locations Data'!$G:$G,$B9,'Locations Data'!$B:$B,EL$5)&gt;0,1,0)</f>
        <v>1</v>
      </c>
      <c r="EM9" s="6">
        <f>IF(SUMIFS('Locations Data'!$C:$C,'Locations Data'!$G:$G,$B9,'Locations Data'!$B:$B,EM$5)&gt;0,1,0)</f>
        <v>1</v>
      </c>
      <c r="EN9" s="6">
        <f>IF(SUMIFS('Locations Data'!$C:$C,'Locations Data'!$G:$G,$B9,'Locations Data'!$B:$B,EN$5)&gt;0,1,0)</f>
        <v>1</v>
      </c>
      <c r="EO9" s="6">
        <f>IF(SUMIFS('Locations Data'!$C:$C,'Locations Data'!$G:$G,$B9,'Locations Data'!$B:$B,EO$5)&gt;0,1,0)</f>
        <v>1</v>
      </c>
      <c r="EP9" s="6">
        <f>IF(SUMIFS('Locations Data'!$C:$C,'Locations Data'!$G:$G,$B9,'Locations Data'!$B:$B,EP$5)&gt;0,1,0)</f>
        <v>0</v>
      </c>
      <c r="EQ9" s="6">
        <f>IF(SUMIFS('Locations Data'!$C:$C,'Locations Data'!$G:$G,$B9,'Locations Data'!$B:$B,EQ$5)&gt;0,1,0)</f>
        <v>0</v>
      </c>
      <c r="ER9" s="6">
        <f>IF(SUMIFS('Locations Data'!$C:$C,'Locations Data'!$G:$G,$B9,'Locations Data'!$B:$B,ER$5)&gt;0,1,0)</f>
        <v>1</v>
      </c>
      <c r="ES9" s="6">
        <f>IF(SUMIFS('Locations Data'!$C:$C,'Locations Data'!$G:$G,$B9,'Locations Data'!$B:$B,ES$5)&gt;0,1,0)</f>
        <v>1</v>
      </c>
      <c r="ET9" s="6">
        <f>IF(SUMIFS('Locations Data'!$C:$C,'Locations Data'!$G:$G,$B9,'Locations Data'!$B:$B,ET$5)&gt;0,1,0)</f>
        <v>1</v>
      </c>
      <c r="EU9" s="6">
        <f>IF(SUMIFS('Locations Data'!$C:$C,'Locations Data'!$G:$G,$B9,'Locations Data'!$B:$B,EU$5)&gt;0,1,0)</f>
        <v>1</v>
      </c>
      <c r="EV9" s="6">
        <f>IF(SUMIFS('Locations Data'!$C:$C,'Locations Data'!$G:$G,$B9,'Locations Data'!$B:$B,EV$5)&gt;0,1,0)</f>
        <v>1</v>
      </c>
      <c r="EW9" s="6">
        <f>IF(SUMIFS('Locations Data'!$C:$C,'Locations Data'!$G:$G,$B9,'Locations Data'!$B:$B,EW$5)&gt;0,1,0)</f>
        <v>0</v>
      </c>
      <c r="EX9" s="6">
        <f>IF(SUMIFS('Locations Data'!$C:$C,'Locations Data'!$G:$G,$B9,'Locations Data'!$B:$B,EX$5)&gt;0,1,0)</f>
        <v>0</v>
      </c>
      <c r="EY9" s="6">
        <f>IF(SUMIFS('Locations Data'!$C:$C,'Locations Data'!$G:$G,$B9,'Locations Data'!$B:$B,EY$5)&gt;0,1,0)</f>
        <v>1</v>
      </c>
      <c r="EZ9" s="6">
        <f>IF(SUMIFS('Locations Data'!$C:$C,'Locations Data'!$G:$G,$B9,'Locations Data'!$B:$B,EZ$5)&gt;0,1,0)</f>
        <v>1</v>
      </c>
      <c r="FA9" s="6">
        <f>IF(SUMIFS('Locations Data'!$C:$C,'Locations Data'!$G:$G,$B9,'Locations Data'!$B:$B,FA$5)&gt;0,1,0)</f>
        <v>1</v>
      </c>
      <c r="FB9" s="6">
        <f>IF(SUMIFS('Locations Data'!$C:$C,'Locations Data'!$G:$G,$B9,'Locations Data'!$B:$B,FB$5)&gt;0,1,0)</f>
        <v>1</v>
      </c>
      <c r="FC9" s="6">
        <f>IF(SUMIFS('Locations Data'!$C:$C,'Locations Data'!$G:$G,$B9,'Locations Data'!$B:$B,FC$5)&gt;0,1,0)</f>
        <v>1</v>
      </c>
      <c r="FD9" s="6">
        <f>IF(SUMIFS('Locations Data'!$C:$C,'Locations Data'!$G:$G,$B9,'Locations Data'!$B:$B,FD$5)&gt;0,1,0)</f>
        <v>0</v>
      </c>
      <c r="FE9" s="6">
        <f>IF(SUMIFS('Locations Data'!$C:$C,'Locations Data'!$G:$G,$B9,'Locations Data'!$B:$B,FE$5)&gt;0,1,0)</f>
        <v>0</v>
      </c>
      <c r="FF9" s="6">
        <f>IF(SUMIFS('Locations Data'!$C:$C,'Locations Data'!$G:$G,$B9,'Locations Data'!$B:$B,FF$5)&gt;0,1,0)</f>
        <v>1</v>
      </c>
      <c r="FG9" s="6">
        <f>IF(SUMIFS('Locations Data'!$C:$C,'Locations Data'!$G:$G,$B9,'Locations Data'!$B:$B,FG$5)&gt;0,1,0)</f>
        <v>1</v>
      </c>
      <c r="FH9" s="6">
        <f>IF(SUMIFS('Locations Data'!$C:$C,'Locations Data'!$G:$G,$B9,'Locations Data'!$B:$B,FH$5)&gt;0,1,0)</f>
        <v>1</v>
      </c>
      <c r="FI9" s="6">
        <f>IF(SUMIFS('Locations Data'!$C:$C,'Locations Data'!$G:$G,$B9,'Locations Data'!$B:$B,FI$5)&gt;0,1,0)</f>
        <v>1</v>
      </c>
      <c r="FJ9" s="6">
        <f>IF(SUMIFS('Locations Data'!$C:$C,'Locations Data'!$G:$G,$B9,'Locations Data'!$B:$B,FJ$5)&gt;0,1,0)</f>
        <v>1</v>
      </c>
      <c r="FK9" s="6">
        <f>IF(SUMIFS('Locations Data'!$C:$C,'Locations Data'!$G:$G,$B9,'Locations Data'!$B:$B,FK$5)&gt;0,1,0)</f>
        <v>0</v>
      </c>
      <c r="FL9" s="6">
        <f>IF(SUMIFS('Locations Data'!$C:$C,'Locations Data'!$G:$G,$B9,'Locations Data'!$B:$B,FL$5)&gt;0,1,0)</f>
        <v>0</v>
      </c>
      <c r="FM9" s="6">
        <f>IF(SUMIFS('Locations Data'!$C:$C,'Locations Data'!$G:$G,$B9,'Locations Data'!$B:$B,FM$5)&gt;0,1,0)</f>
        <v>1</v>
      </c>
      <c r="FN9" s="6">
        <f>IF(SUMIFS('Locations Data'!$C:$C,'Locations Data'!$G:$G,$B9,'Locations Data'!$B:$B,FN$5)&gt;0,1,0)</f>
        <v>1</v>
      </c>
      <c r="FO9" s="6">
        <f>IF(SUMIFS('Locations Data'!$C:$C,'Locations Data'!$G:$G,$B9,'Locations Data'!$B:$B,FO$5)&gt;0,1,0)</f>
        <v>1</v>
      </c>
      <c r="FP9" s="6">
        <f>IF(SUMIFS('Locations Data'!$C:$C,'Locations Data'!$G:$G,$B9,'Locations Data'!$B:$B,FP$5)&gt;0,1,0)</f>
        <v>1</v>
      </c>
      <c r="FQ9" s="6">
        <f>IF(SUMIFS('Locations Data'!$C:$C,'Locations Data'!$G:$G,$B9,'Locations Data'!$B:$B,FQ$5)&gt;0,1,0)</f>
        <v>1</v>
      </c>
      <c r="FR9" s="6">
        <f>IF(SUMIFS('Locations Data'!$C:$C,'Locations Data'!$G:$G,$B9,'Locations Data'!$B:$B,FR$5)&gt;0,1,0)</f>
        <v>0</v>
      </c>
      <c r="FS9" s="6">
        <f>IF(SUMIFS('Locations Data'!$C:$C,'Locations Data'!$G:$G,$B9,'Locations Data'!$B:$B,FS$5)&gt;0,1,0)</f>
        <v>0</v>
      </c>
      <c r="FT9" s="6">
        <f>IF(SUMIFS('Locations Data'!$C:$C,'Locations Data'!$G:$G,$B9,'Locations Data'!$B:$B,FT$5)&gt;0,1,0)</f>
        <v>1</v>
      </c>
      <c r="FU9" s="6">
        <f>IF(SUMIFS('Locations Data'!$C:$C,'Locations Data'!$G:$G,$B9,'Locations Data'!$B:$B,FU$5)&gt;0,1,0)</f>
        <v>1</v>
      </c>
      <c r="FV9" s="6">
        <f>IF(SUMIFS('Locations Data'!$C:$C,'Locations Data'!$G:$G,$B9,'Locations Data'!$B:$B,FV$5)&gt;0,1,0)</f>
        <v>1</v>
      </c>
      <c r="FW9" s="6">
        <f>IF(SUMIFS('Locations Data'!$C:$C,'Locations Data'!$G:$G,$B9,'Locations Data'!$B:$B,FW$5)&gt;0,1,0)</f>
        <v>1</v>
      </c>
      <c r="FX9" s="6">
        <f>IF(SUMIFS('Locations Data'!$C:$C,'Locations Data'!$G:$G,$B9,'Locations Data'!$B:$B,FX$5)&gt;0,1,0)</f>
        <v>1</v>
      </c>
      <c r="FY9" s="6">
        <f>IF(SUMIFS('Locations Data'!$C:$C,'Locations Data'!$G:$G,$B9,'Locations Data'!$B:$B,FY$5)&gt;0,1,0)</f>
        <v>0</v>
      </c>
      <c r="FZ9" s="6">
        <f>IF(SUMIFS('Locations Data'!$C:$C,'Locations Data'!$G:$G,$B9,'Locations Data'!$B:$B,FZ$5)&gt;0,1,0)</f>
        <v>0</v>
      </c>
      <c r="GA9" s="6">
        <f>IF(SUMIFS('Locations Data'!$C:$C,'Locations Data'!$G:$G,$B9,'Locations Data'!$B:$B,GA$5)&gt;0,1,0)</f>
        <v>1</v>
      </c>
      <c r="GB9" s="6">
        <f>IF(SUMIFS('Locations Data'!$C:$C,'Locations Data'!$G:$G,$B9,'Locations Data'!$B:$B,GB$5)&gt;0,1,0)</f>
        <v>1</v>
      </c>
      <c r="GC9" s="6">
        <f>IF(SUMIFS('Locations Data'!$C:$C,'Locations Data'!$G:$G,$B9,'Locations Data'!$B:$B,GC$5)&gt;0,1,0)</f>
        <v>1</v>
      </c>
      <c r="GD9" s="6">
        <f>IF(SUMIFS('Locations Data'!$C:$C,'Locations Data'!$G:$G,$B9,'Locations Data'!$B:$B,GD$5)&gt;0,1,0)</f>
        <v>1</v>
      </c>
      <c r="GE9" s="6">
        <f>IF(SUMIFS('Locations Data'!$C:$C,'Locations Data'!$G:$G,$B9,'Locations Data'!$B:$B,GE$5)&gt;0,1,0)</f>
        <v>1</v>
      </c>
      <c r="GF9" s="6">
        <f>IF(SUMIFS('Locations Data'!$C:$C,'Locations Data'!$G:$G,$B9,'Locations Data'!$B:$B,GF$5)&gt;0,1,0)</f>
        <v>0</v>
      </c>
      <c r="GG9" s="6">
        <f>IF(SUMIFS('Locations Data'!$C:$C,'Locations Data'!$G:$G,$B9,'Locations Data'!$B:$B,GG$5)&gt;0,1,0)</f>
        <v>0</v>
      </c>
      <c r="GH9" s="6">
        <f>IF(SUMIFS('Locations Data'!$C:$C,'Locations Data'!$G:$G,$B9,'Locations Data'!$B:$B,GH$5)&gt;0,1,0)</f>
        <v>1</v>
      </c>
      <c r="GI9" s="6">
        <f>IF(SUMIFS('Locations Data'!$C:$C,'Locations Data'!$G:$G,$B9,'Locations Data'!$B:$B,GI$5)&gt;0,1,0)</f>
        <v>1</v>
      </c>
      <c r="GJ9" s="6">
        <f>IF(SUMIFS('Locations Data'!$C:$C,'Locations Data'!$G:$G,$B9,'Locations Data'!$B:$B,GJ$5)&gt;0,1,0)</f>
        <v>1</v>
      </c>
      <c r="GK9" s="6">
        <f>IF(SUMIFS('Locations Data'!$C:$C,'Locations Data'!$G:$G,$B9,'Locations Data'!$B:$B,GK$5)&gt;0,1,0)</f>
        <v>1</v>
      </c>
      <c r="GL9" s="6">
        <f>IF(SUMIFS('Locations Data'!$C:$C,'Locations Data'!$G:$G,$B9,'Locations Data'!$B:$B,GL$5)&gt;0,1,0)</f>
        <v>1</v>
      </c>
      <c r="GM9" s="6">
        <f>IF(SUMIFS('Locations Data'!$C:$C,'Locations Data'!$G:$G,$B9,'Locations Data'!$B:$B,GM$5)&gt;0,1,0)</f>
        <v>0</v>
      </c>
      <c r="GN9" s="6">
        <f>IF(SUMIFS('Locations Data'!$C:$C,'Locations Data'!$G:$G,$B9,'Locations Data'!$B:$B,GN$5)&gt;0,1,0)</f>
        <v>0</v>
      </c>
      <c r="GO9" s="6">
        <f>IF(SUMIFS('Locations Data'!$C:$C,'Locations Data'!$G:$G,$B9,'Locations Data'!$B:$B,GO$5)&gt;0,1,0)</f>
        <v>1</v>
      </c>
      <c r="GP9" s="6">
        <f>IF(SUMIFS('Locations Data'!$C:$C,'Locations Data'!$G:$G,$B9,'Locations Data'!$B:$B,GP$5)&gt;0,1,0)</f>
        <v>1</v>
      </c>
      <c r="GQ9" s="6">
        <f>IF(SUMIFS('Locations Data'!$C:$C,'Locations Data'!$G:$G,$B9,'Locations Data'!$B:$B,GQ$5)&gt;0,1,0)</f>
        <v>1</v>
      </c>
      <c r="GR9" s="6">
        <f>IF(SUMIFS('Locations Data'!$C:$C,'Locations Data'!$G:$G,$B9,'Locations Data'!$B:$B,GR$5)&gt;0,1,0)</f>
        <v>1</v>
      </c>
      <c r="GS9" s="6">
        <f>IF(SUMIFS('Locations Data'!$C:$C,'Locations Data'!$G:$G,$B9,'Locations Data'!$B:$B,GS$5)&gt;0,1,0)</f>
        <v>1</v>
      </c>
      <c r="GT9" s="6">
        <f>IF(SUMIFS('Locations Data'!$C:$C,'Locations Data'!$G:$G,$B9,'Locations Data'!$B:$B,GT$5)&gt;0,1,0)</f>
        <v>0</v>
      </c>
      <c r="GU9" s="6">
        <f>IF(SUMIFS('Locations Data'!$C:$C,'Locations Data'!$G:$G,$B9,'Locations Data'!$B:$B,GU$5)&gt;0,1,0)</f>
        <v>0</v>
      </c>
      <c r="GV9" s="6">
        <f>IF(SUMIFS('Locations Data'!$C:$C,'Locations Data'!$G:$G,$B9,'Locations Data'!$B:$B,GV$5)&gt;0,1,0)</f>
        <v>1</v>
      </c>
      <c r="GW9" s="6">
        <f>IF(SUMIFS('Locations Data'!$C:$C,'Locations Data'!$G:$G,$B9,'Locations Data'!$B:$B,GW$5)&gt;0,1,0)</f>
        <v>1</v>
      </c>
      <c r="GX9" s="6">
        <f>IF(SUMIFS('Locations Data'!$C:$C,'Locations Data'!$G:$G,$B9,'Locations Data'!$B:$B,GX$5)&gt;0,1,0)</f>
        <v>1</v>
      </c>
      <c r="GY9" s="6">
        <f>IF(SUMIFS('Locations Data'!$C:$C,'Locations Data'!$G:$G,$B9,'Locations Data'!$B:$B,GY$5)&gt;0,1,0)</f>
        <v>1</v>
      </c>
      <c r="GZ9" s="6">
        <f>IF(SUMIFS('Locations Data'!$C:$C,'Locations Data'!$G:$G,$B9,'Locations Data'!$B:$B,GZ$5)&gt;0,1,0)</f>
        <v>1</v>
      </c>
      <c r="HA9" s="6">
        <f>IF(SUMIFS('Locations Data'!$C:$C,'Locations Data'!$G:$G,$B9,'Locations Data'!$B:$B,HA$5)&gt;0,1,0)</f>
        <v>0</v>
      </c>
      <c r="HB9" s="6">
        <f>IF(SUMIFS('Locations Data'!$C:$C,'Locations Data'!$G:$G,$B9,'Locations Data'!$B:$B,HB$5)&gt;0,1,0)</f>
        <v>0</v>
      </c>
      <c r="HC9" s="6">
        <f>IF(SUMIFS('Locations Data'!$C:$C,'Locations Data'!$G:$G,$B9,'Locations Data'!$B:$B,HC$5)&gt;0,1,0)</f>
        <v>1</v>
      </c>
      <c r="HD9" s="6">
        <f>IF(SUMIFS('Locations Data'!$C:$C,'Locations Data'!$G:$G,$B9,'Locations Data'!$B:$B,HD$5)&gt;0,1,0)</f>
        <v>1</v>
      </c>
      <c r="HE9" s="6">
        <f>IF(SUMIFS('Locations Data'!$C:$C,'Locations Data'!$G:$G,$B9,'Locations Data'!$B:$B,HE$5)&gt;0,1,0)</f>
        <v>1</v>
      </c>
      <c r="HF9" s="6">
        <f>IF(SUMIFS('Locations Data'!$C:$C,'Locations Data'!$G:$G,$B9,'Locations Data'!$B:$B,HF$5)&gt;0,1,0)</f>
        <v>1</v>
      </c>
      <c r="HG9" s="6">
        <f>IF(SUMIFS('Locations Data'!$C:$C,'Locations Data'!$G:$G,$B9,'Locations Data'!$B:$B,HG$5)&gt;0,1,0)</f>
        <v>1</v>
      </c>
      <c r="HH9" s="6">
        <f>IF(SUMIFS('Locations Data'!$C:$C,'Locations Data'!$G:$G,$B9,'Locations Data'!$B:$B,HH$5)&gt;0,1,0)</f>
        <v>0</v>
      </c>
      <c r="HI9" s="6">
        <f>IF(SUMIFS('Locations Data'!$C:$C,'Locations Data'!$G:$G,$B9,'Locations Data'!$B:$B,HI$5)&gt;0,1,0)</f>
        <v>0</v>
      </c>
      <c r="HJ9" s="6">
        <f>IF(SUMIFS('Locations Data'!$C:$C,'Locations Data'!$G:$G,$B9,'Locations Data'!$B:$B,HJ$5)&gt;0,1,0)</f>
        <v>1</v>
      </c>
      <c r="HK9" s="6">
        <f>IF(SUMIFS('Locations Data'!$C:$C,'Locations Data'!$G:$G,$B9,'Locations Data'!$B:$B,HK$5)&gt;0,1,0)</f>
        <v>1</v>
      </c>
      <c r="HL9" s="6">
        <f>IF(SUMIFS('Locations Data'!$C:$C,'Locations Data'!$G:$G,$B9,'Locations Data'!$B:$B,HL$5)&gt;0,1,0)</f>
        <v>1</v>
      </c>
      <c r="HM9" s="6">
        <f>IF(SUMIFS('Locations Data'!$C:$C,'Locations Data'!$G:$G,$B9,'Locations Data'!$B:$B,HM$5)&gt;0,1,0)</f>
        <v>1</v>
      </c>
      <c r="HN9" s="6">
        <f>IF(SUMIFS('Locations Data'!$C:$C,'Locations Data'!$G:$G,$B9,'Locations Data'!$B:$B,HN$5)&gt;0,1,0)</f>
        <v>1</v>
      </c>
      <c r="HO9" s="6">
        <f>IF(SUMIFS('Locations Data'!$C:$C,'Locations Data'!$G:$G,$B9,'Locations Data'!$B:$B,HO$5)&gt;0,1,0)</f>
        <v>0</v>
      </c>
      <c r="HP9" s="6">
        <f>IF(SUMIFS('Locations Data'!$C:$C,'Locations Data'!$G:$G,$B9,'Locations Data'!$B:$B,HP$5)&gt;0,1,0)</f>
        <v>0</v>
      </c>
      <c r="HQ9" s="6">
        <f>IF(SUMIFS('Locations Data'!$C:$C,'Locations Data'!$G:$G,$B9,'Locations Data'!$B:$B,HQ$5)&gt;0,1,0)</f>
        <v>1</v>
      </c>
      <c r="HR9" s="6">
        <f>IF(SUMIFS('Locations Data'!$C:$C,'Locations Data'!$G:$G,$B9,'Locations Data'!$B:$B,HR$5)&gt;0,1,0)</f>
        <v>1</v>
      </c>
      <c r="HS9" s="6">
        <f>IF(SUMIFS('Locations Data'!$C:$C,'Locations Data'!$G:$G,$B9,'Locations Data'!$B:$B,HS$5)&gt;0,1,0)</f>
        <v>1</v>
      </c>
      <c r="HT9" s="6">
        <f>IF(SUMIFS('Locations Data'!$C:$C,'Locations Data'!$G:$G,$B9,'Locations Data'!$B:$B,HT$5)&gt;0,1,0)</f>
        <v>1</v>
      </c>
      <c r="HU9" s="6">
        <f>IF(SUMIFS('Locations Data'!$C:$C,'Locations Data'!$G:$G,$B9,'Locations Data'!$B:$B,HU$5)&gt;0,1,0)</f>
        <v>1</v>
      </c>
      <c r="HV9" s="6">
        <f>IF(SUMIFS('Locations Data'!$C:$C,'Locations Data'!$G:$G,$B9,'Locations Data'!$B:$B,HV$5)&gt;0,1,0)</f>
        <v>0</v>
      </c>
      <c r="HW9" s="6">
        <f>IF(SUMIFS('Locations Data'!$C:$C,'Locations Data'!$G:$G,$B9,'Locations Data'!$B:$B,HW$5)&gt;0,1,0)</f>
        <v>0</v>
      </c>
      <c r="HX9" s="6">
        <f>IF(SUMIFS('Locations Data'!$C:$C,'Locations Data'!$G:$G,$B9,'Locations Data'!$B:$B,HX$5)&gt;0,1,0)</f>
        <v>1</v>
      </c>
      <c r="HY9" s="6">
        <f>IF(SUMIFS('Locations Data'!$C:$C,'Locations Data'!$G:$G,$B9,'Locations Data'!$B:$B,HY$5)&gt;0,1,0)</f>
        <v>1</v>
      </c>
      <c r="HZ9" s="6">
        <f>IF(SUMIFS('Locations Data'!$C:$C,'Locations Data'!$G:$G,$B9,'Locations Data'!$B:$B,HZ$5)&gt;0,1,0)</f>
        <v>1</v>
      </c>
      <c r="IA9" s="6">
        <f>IF(SUMIFS('Locations Data'!$C:$C,'Locations Data'!$G:$G,$B9,'Locations Data'!$B:$B,IA$5)&gt;0,1,0)</f>
        <v>1</v>
      </c>
      <c r="IB9" s="6">
        <f>IF(SUMIFS('Locations Data'!$C:$C,'Locations Data'!$G:$G,$B9,'Locations Data'!$B:$B,IB$5)&gt;0,1,0)</f>
        <v>1</v>
      </c>
      <c r="IC9" s="6">
        <f>IF(SUMIFS('Locations Data'!$C:$C,'Locations Data'!$G:$G,$B9,'Locations Data'!$B:$B,IC$5)&gt;0,1,0)</f>
        <v>0</v>
      </c>
      <c r="ID9" s="6">
        <f>IF(SUMIFS('Locations Data'!$C:$C,'Locations Data'!$G:$G,$B9,'Locations Data'!$B:$B,ID$5)&gt;0,1,0)</f>
        <v>0</v>
      </c>
      <c r="IE9" s="6">
        <f>IF(SUMIFS('Locations Data'!$C:$C,'Locations Data'!$G:$G,$B9,'Locations Data'!$B:$B,IE$5)&gt;0,1,0)</f>
        <v>1</v>
      </c>
      <c r="IF9" s="6">
        <f>IF(SUMIFS('Locations Data'!$C:$C,'Locations Data'!$G:$G,$B9,'Locations Data'!$B:$B,IF$5)&gt;0,1,0)</f>
        <v>1</v>
      </c>
      <c r="IG9" s="6">
        <f>IF(SUMIFS('Locations Data'!$C:$C,'Locations Data'!$G:$G,$B9,'Locations Data'!$B:$B,IG$5)&gt;0,1,0)</f>
        <v>1</v>
      </c>
      <c r="IH9" s="6">
        <f>IF(SUMIFS('Locations Data'!$C:$C,'Locations Data'!$G:$G,$B9,'Locations Data'!$B:$B,IH$5)&gt;0,1,0)</f>
        <v>1</v>
      </c>
      <c r="II9" s="6">
        <f>IF(SUMIFS('Locations Data'!$C:$C,'Locations Data'!$G:$G,$B9,'Locations Data'!$B:$B,II$5)&gt;0,1,0)</f>
        <v>1</v>
      </c>
      <c r="IJ9" s="6">
        <f>IF(SUMIFS('Locations Data'!$C:$C,'Locations Data'!$G:$G,$B9,'Locations Data'!$B:$B,IJ$5)&gt;0,1,0)</f>
        <v>0</v>
      </c>
      <c r="IK9" s="6">
        <f>IF(SUMIFS('Locations Data'!$C:$C,'Locations Data'!$G:$G,$B9,'Locations Data'!$B:$B,IK$5)&gt;0,1,0)</f>
        <v>0</v>
      </c>
      <c r="IL9" s="6">
        <f>IF(SUMIFS('Locations Data'!$C:$C,'Locations Data'!$G:$G,$B9,'Locations Data'!$B:$B,IL$5)&gt;0,1,0)</f>
        <v>1</v>
      </c>
      <c r="IM9" s="6">
        <f>IF(SUMIFS('Locations Data'!$C:$C,'Locations Data'!$G:$G,$B9,'Locations Data'!$B:$B,IM$5)&gt;0,1,0)</f>
        <v>1</v>
      </c>
      <c r="IN9" s="6">
        <f>IF(SUMIFS('Locations Data'!$C:$C,'Locations Data'!$G:$G,$B9,'Locations Data'!$B:$B,IN$5)&gt;0,1,0)</f>
        <v>1</v>
      </c>
      <c r="IO9" s="6">
        <f>IF(SUMIFS('Locations Data'!$C:$C,'Locations Data'!$G:$G,$B9,'Locations Data'!$B:$B,IO$5)&gt;0,1,0)</f>
        <v>1</v>
      </c>
      <c r="IP9" s="6">
        <f>IF(SUMIFS('Locations Data'!$C:$C,'Locations Data'!$G:$G,$B9,'Locations Data'!$B:$B,IP$5)&gt;0,1,0)</f>
        <v>1</v>
      </c>
      <c r="IQ9" s="6">
        <f>IF(SUMIFS('Locations Data'!$C:$C,'Locations Data'!$G:$G,$B9,'Locations Data'!$B:$B,IQ$5)&gt;0,1,0)</f>
        <v>0</v>
      </c>
      <c r="IR9" s="6">
        <f>IF(SUMIFS('Locations Data'!$C:$C,'Locations Data'!$G:$G,$B9,'Locations Data'!$B:$B,IR$5)&gt;0,1,0)</f>
        <v>0</v>
      </c>
      <c r="IS9" s="6">
        <f>IF(SUMIFS('Locations Data'!$C:$C,'Locations Data'!$G:$G,$B9,'Locations Data'!$B:$B,IS$5)&gt;0,1,0)</f>
        <v>1</v>
      </c>
      <c r="IT9" s="6">
        <f>IF(SUMIFS('Locations Data'!$C:$C,'Locations Data'!$G:$G,$B9,'Locations Data'!$B:$B,IT$5)&gt;0,1,0)</f>
        <v>1</v>
      </c>
      <c r="IU9" s="6">
        <f>IF(SUMIFS('Locations Data'!$C:$C,'Locations Data'!$G:$G,$B9,'Locations Data'!$B:$B,IU$5)&gt;0,1,0)</f>
        <v>1</v>
      </c>
      <c r="IV9" s="6">
        <f>IF(SUMIFS('Locations Data'!$C:$C,'Locations Data'!$G:$G,$B9,'Locations Data'!$B:$B,IV$5)&gt;0,1,0)</f>
        <v>1</v>
      </c>
      <c r="IW9" s="6">
        <f>IF(SUMIFS('Locations Data'!$C:$C,'Locations Data'!$G:$G,$B9,'Locations Data'!$B:$B,IW$5)&gt;0,1,0)</f>
        <v>1</v>
      </c>
      <c r="IX9" s="6">
        <f>IF(SUMIFS('Locations Data'!$C:$C,'Locations Data'!$G:$G,$B9,'Locations Data'!$B:$B,IX$5)&gt;0,1,0)</f>
        <v>0</v>
      </c>
      <c r="IY9" s="6">
        <f>IF(SUMIFS('Locations Data'!$C:$C,'Locations Data'!$G:$G,$B9,'Locations Data'!$B:$B,IY$5)&gt;0,1,0)</f>
        <v>0</v>
      </c>
      <c r="IZ9" s="6">
        <f>IF(SUMIFS('Locations Data'!$C:$C,'Locations Data'!$G:$G,$B9,'Locations Data'!$B:$B,IZ$5)&gt;0,1,0)</f>
        <v>1</v>
      </c>
      <c r="JA9" s="6">
        <f>IF(SUMIFS('Locations Data'!$C:$C,'Locations Data'!$G:$G,$B9,'Locations Data'!$B:$B,JA$5)&gt;0,1,0)</f>
        <v>1</v>
      </c>
      <c r="JB9" s="6">
        <f>IF(SUMIFS('Locations Data'!$C:$C,'Locations Data'!$G:$G,$B9,'Locations Data'!$B:$B,JB$5)&gt;0,1,0)</f>
        <v>1</v>
      </c>
      <c r="JC9" s="6">
        <f>IF(SUMIFS('Locations Data'!$C:$C,'Locations Data'!$G:$G,$B9,'Locations Data'!$B:$B,JC$5)&gt;0,1,0)</f>
        <v>1</v>
      </c>
      <c r="JD9" s="6">
        <f>IF(SUMIFS('Locations Data'!$C:$C,'Locations Data'!$G:$G,$B9,'Locations Data'!$B:$B,JD$5)&gt;0,1,0)</f>
        <v>1</v>
      </c>
      <c r="JE9" s="6">
        <f>IF(SUMIFS('Locations Data'!$C:$C,'Locations Data'!$G:$G,$B9,'Locations Data'!$B:$B,JE$5)&gt;0,1,0)</f>
        <v>0</v>
      </c>
      <c r="JF9" s="6">
        <f>IF(SUMIFS('Locations Data'!$C:$C,'Locations Data'!$G:$G,$B9,'Locations Data'!$B:$B,JF$5)&gt;0,1,0)</f>
        <v>0</v>
      </c>
      <c r="JG9" s="6">
        <f>IF(SUMIFS('Locations Data'!$C:$C,'Locations Data'!$G:$G,$B9,'Locations Data'!$B:$B,JG$5)&gt;0,1,0)</f>
        <v>1</v>
      </c>
      <c r="JH9" s="6">
        <f>IF(SUMIFS('Locations Data'!$C:$C,'Locations Data'!$G:$G,$B9,'Locations Data'!$B:$B,JH$5)&gt;0,1,0)</f>
        <v>1</v>
      </c>
      <c r="JI9" s="6">
        <f>IF(SUMIFS('Locations Data'!$C:$C,'Locations Data'!$G:$G,$B9,'Locations Data'!$B:$B,JI$5)&gt;0,1,0)</f>
        <v>1</v>
      </c>
      <c r="JJ9" s="6">
        <f>IF(SUMIFS('Locations Data'!$C:$C,'Locations Data'!$G:$G,$B9,'Locations Data'!$B:$B,JJ$5)&gt;0,1,0)</f>
        <v>1</v>
      </c>
      <c r="JK9" s="6">
        <f>IF(SUMIFS('Locations Data'!$C:$C,'Locations Data'!$G:$G,$B9,'Locations Data'!$B:$B,JK$5)&gt;0,1,0)</f>
        <v>1</v>
      </c>
      <c r="JL9" s="6">
        <f>IF(SUMIFS('Locations Data'!$C:$C,'Locations Data'!$G:$G,$B9,'Locations Data'!$B:$B,JL$5)&gt;0,1,0)</f>
        <v>0</v>
      </c>
      <c r="JM9" s="6">
        <f>IF(SUMIFS('Locations Data'!$C:$C,'Locations Data'!$G:$G,$B9,'Locations Data'!$B:$B,JM$5)&gt;0,1,0)</f>
        <v>0</v>
      </c>
      <c r="JN9" s="6">
        <f>IF(SUMIFS('Locations Data'!$C:$C,'Locations Data'!$G:$G,$B9,'Locations Data'!$B:$B,JN$5)&gt;0,1,0)</f>
        <v>1</v>
      </c>
      <c r="JO9" s="6">
        <f>IF(SUMIFS('Locations Data'!$C:$C,'Locations Data'!$G:$G,$B9,'Locations Data'!$B:$B,JO$5)&gt;0,1,0)</f>
        <v>1</v>
      </c>
      <c r="JP9" s="6">
        <f>IF(SUMIFS('Locations Data'!$C:$C,'Locations Data'!$G:$G,$B9,'Locations Data'!$B:$B,JP$5)&gt;0,1,0)</f>
        <v>1</v>
      </c>
      <c r="JQ9" s="6">
        <f>IF(SUMIFS('Locations Data'!$C:$C,'Locations Data'!$G:$G,$B9,'Locations Data'!$B:$B,JQ$5)&gt;0,1,0)</f>
        <v>1</v>
      </c>
      <c r="JR9" s="6">
        <f>IF(SUMIFS('Locations Data'!$C:$C,'Locations Data'!$G:$G,$B9,'Locations Data'!$B:$B,JR$5)&gt;0,1,0)</f>
        <v>1</v>
      </c>
      <c r="JS9" s="6">
        <f>IF(SUMIFS('Locations Data'!$C:$C,'Locations Data'!$G:$G,$B9,'Locations Data'!$B:$B,JS$5)&gt;0,1,0)</f>
        <v>0</v>
      </c>
      <c r="JT9" s="6">
        <f>IF(SUMIFS('Locations Data'!$C:$C,'Locations Data'!$G:$G,$B9,'Locations Data'!$B:$B,JT$5)&gt;0,1,0)</f>
        <v>0</v>
      </c>
      <c r="JU9" s="6">
        <f>IF(SUMIFS('Locations Data'!$C:$C,'Locations Data'!$G:$G,$B9,'Locations Data'!$B:$B,JU$5)&gt;0,1,0)</f>
        <v>1</v>
      </c>
      <c r="JV9" s="6">
        <f>IF(SUMIFS('Locations Data'!$C:$C,'Locations Data'!$G:$G,$B9,'Locations Data'!$B:$B,JV$5)&gt;0,1,0)</f>
        <v>1</v>
      </c>
      <c r="JW9" s="6">
        <f>IF(SUMIFS('Locations Data'!$C:$C,'Locations Data'!$G:$G,$B9,'Locations Data'!$B:$B,JW$5)&gt;0,1,0)</f>
        <v>1</v>
      </c>
      <c r="JX9" s="6">
        <f>IF(SUMIFS('Locations Data'!$C:$C,'Locations Data'!$G:$G,$B9,'Locations Data'!$B:$B,JX$5)&gt;0,1,0)</f>
        <v>1</v>
      </c>
      <c r="JY9" s="6">
        <f>IF(SUMIFS('Locations Data'!$C:$C,'Locations Data'!$G:$G,$B9,'Locations Data'!$B:$B,JY$5)&gt;0,1,0)</f>
        <v>1</v>
      </c>
      <c r="JZ9" s="6">
        <f>IF(SUMIFS('Locations Data'!$C:$C,'Locations Data'!$G:$G,$B9,'Locations Data'!$B:$B,JZ$5)&gt;0,1,0)</f>
        <v>0</v>
      </c>
      <c r="KA9" s="6">
        <f>IF(SUMIFS('Locations Data'!$C:$C,'Locations Data'!$G:$G,$B9,'Locations Data'!$B:$B,KA$5)&gt;0,1,0)</f>
        <v>0</v>
      </c>
      <c r="KB9" s="6">
        <f>IF(SUMIFS('Locations Data'!$C:$C,'Locations Data'!$G:$G,$B9,'Locations Data'!$B:$B,KB$5)&gt;0,1,0)</f>
        <v>1</v>
      </c>
      <c r="KC9" s="6">
        <f>IF(SUMIFS('Locations Data'!$C:$C,'Locations Data'!$G:$G,$B9,'Locations Data'!$B:$B,KC$5)&gt;0,1,0)</f>
        <v>1</v>
      </c>
      <c r="KD9" s="6">
        <f>IF(SUMIFS('Locations Data'!$C:$C,'Locations Data'!$G:$G,$B9,'Locations Data'!$B:$B,KD$5)&gt;0,1,0)</f>
        <v>1</v>
      </c>
      <c r="KE9" s="6">
        <f>IF(SUMIFS('Locations Data'!$C:$C,'Locations Data'!$G:$G,$B9,'Locations Data'!$B:$B,KE$5)&gt;0,1,0)</f>
        <v>1</v>
      </c>
      <c r="KF9" s="6">
        <f>IF(SUMIFS('Locations Data'!$C:$C,'Locations Data'!$G:$G,$B9,'Locations Data'!$B:$B,KF$5)&gt;0,1,0)</f>
        <v>1</v>
      </c>
      <c r="KG9" s="6">
        <f>IF(SUMIFS('Locations Data'!$C:$C,'Locations Data'!$G:$G,$B9,'Locations Data'!$B:$B,KG$5)&gt;0,1,0)</f>
        <v>0</v>
      </c>
      <c r="KH9" s="6">
        <f>IF(SUMIFS('Locations Data'!$C:$C,'Locations Data'!$G:$G,$B9,'Locations Data'!$B:$B,KH$5)&gt;0,1,0)</f>
        <v>0</v>
      </c>
      <c r="KI9" s="6">
        <f>IF(SUMIFS('Locations Data'!$C:$C,'Locations Data'!$G:$G,$B9,'Locations Data'!$B:$B,KI$5)&gt;0,1,0)</f>
        <v>1</v>
      </c>
      <c r="KJ9" s="6">
        <f>IF(SUMIFS('Locations Data'!$C:$C,'Locations Data'!$G:$G,$B9,'Locations Data'!$B:$B,KJ$5)&gt;0,1,0)</f>
        <v>1</v>
      </c>
      <c r="KK9" s="6">
        <f>IF(SUMIFS('Locations Data'!$C:$C,'Locations Data'!$G:$G,$B9,'Locations Data'!$B:$B,KK$5)&gt;0,1,0)</f>
        <v>1</v>
      </c>
      <c r="KL9" s="6">
        <f>IF(SUMIFS('Locations Data'!$C:$C,'Locations Data'!$G:$G,$B9,'Locations Data'!$B:$B,KL$5)&gt;0,1,0)</f>
        <v>1</v>
      </c>
      <c r="KM9" s="6">
        <f>IF(SUMIFS('Locations Data'!$C:$C,'Locations Data'!$G:$G,$B9,'Locations Data'!$B:$B,KM$5)&gt;0,1,0)</f>
        <v>1</v>
      </c>
      <c r="KN9" s="6">
        <f>IF(SUMIFS('Locations Data'!$C:$C,'Locations Data'!$G:$G,$B9,'Locations Data'!$B:$B,KN$5)&gt;0,1,0)</f>
        <v>0</v>
      </c>
      <c r="KO9" s="6">
        <f>IF(SUMIFS('Locations Data'!$C:$C,'Locations Data'!$G:$G,$B9,'Locations Data'!$B:$B,KO$5)&gt;0,1,0)</f>
        <v>0</v>
      </c>
      <c r="KP9" s="6">
        <f>IF(SUMIFS('Locations Data'!$C:$C,'Locations Data'!$G:$G,$B9,'Locations Data'!$B:$B,KP$5)&gt;0,1,0)</f>
        <v>1</v>
      </c>
      <c r="KQ9" s="6">
        <f>IF(SUMIFS('Locations Data'!$C:$C,'Locations Data'!$G:$G,$B9,'Locations Data'!$B:$B,KQ$5)&gt;0,1,0)</f>
        <v>1</v>
      </c>
      <c r="KR9" s="6">
        <f>IF(SUMIFS('Locations Data'!$C:$C,'Locations Data'!$G:$G,$B9,'Locations Data'!$B:$B,KR$5)&gt;0,1,0)</f>
        <v>1</v>
      </c>
      <c r="KS9" s="6">
        <f>IF(SUMIFS('Locations Data'!$C:$C,'Locations Data'!$G:$G,$B9,'Locations Data'!$B:$B,KS$5)&gt;0,1,0)</f>
        <v>1</v>
      </c>
      <c r="KT9" s="6">
        <f>IF(SUMIFS('Locations Data'!$C:$C,'Locations Data'!$G:$G,$B9,'Locations Data'!$B:$B,KT$5)&gt;0,1,0)</f>
        <v>1</v>
      </c>
      <c r="KU9" s="6">
        <f>IF(SUMIFS('Locations Data'!$C:$C,'Locations Data'!$G:$G,$B9,'Locations Data'!$B:$B,KU$5)&gt;0,1,0)</f>
        <v>0</v>
      </c>
      <c r="KV9" s="6">
        <f>IF(SUMIFS('Locations Data'!$C:$C,'Locations Data'!$G:$G,$B9,'Locations Data'!$B:$B,KV$5)&gt;0,1,0)</f>
        <v>0</v>
      </c>
      <c r="KW9" s="6">
        <f>IF(SUMIFS('Locations Data'!$C:$C,'Locations Data'!$G:$G,$B9,'Locations Data'!$B:$B,KW$5)&gt;0,1,0)</f>
        <v>1</v>
      </c>
      <c r="KX9" s="6">
        <f>IF(SUMIFS('Locations Data'!$C:$C,'Locations Data'!$G:$G,$B9,'Locations Data'!$B:$B,KX$5)&gt;0,1,0)</f>
        <v>1</v>
      </c>
      <c r="KY9" s="6">
        <f>IF(SUMIFS('Locations Data'!$C:$C,'Locations Data'!$G:$G,$B9,'Locations Data'!$B:$B,KY$5)&gt;0,1,0)</f>
        <v>1</v>
      </c>
      <c r="KZ9" s="6">
        <f>IF(SUMIFS('Locations Data'!$C:$C,'Locations Data'!$G:$G,$B9,'Locations Data'!$B:$B,KZ$5)&gt;0,1,0)</f>
        <v>1</v>
      </c>
      <c r="LA9" s="6">
        <f>IF(SUMIFS('Locations Data'!$C:$C,'Locations Data'!$G:$G,$B9,'Locations Data'!$B:$B,LA$5)&gt;0,1,0)</f>
        <v>1</v>
      </c>
      <c r="LB9" s="6">
        <f>IF(SUMIFS('Locations Data'!$C:$C,'Locations Data'!$G:$G,$B9,'Locations Data'!$B:$B,LB$5)&gt;0,1,0)</f>
        <v>0</v>
      </c>
      <c r="LC9" s="6">
        <f>IF(SUMIFS('Locations Data'!$C:$C,'Locations Data'!$G:$G,$B9,'Locations Data'!$B:$B,LC$5)&gt;0,1,0)</f>
        <v>0</v>
      </c>
      <c r="LD9" s="6">
        <f>IF(SUMIFS('Locations Data'!$C:$C,'Locations Data'!$G:$G,$B9,'Locations Data'!$B:$B,LD$5)&gt;0,1,0)</f>
        <v>1</v>
      </c>
      <c r="LE9" s="6">
        <f>IF(SUMIFS('Locations Data'!$C:$C,'Locations Data'!$G:$G,$B9,'Locations Data'!$B:$B,LE$5)&gt;0,1,0)</f>
        <v>1</v>
      </c>
      <c r="LF9" s="6">
        <f>IF(SUMIFS('Locations Data'!$C:$C,'Locations Data'!$G:$G,$B9,'Locations Data'!$B:$B,LF$5)&gt;0,1,0)</f>
        <v>1</v>
      </c>
      <c r="LG9" s="6">
        <f>IF(SUMIFS('Locations Data'!$C:$C,'Locations Data'!$G:$G,$B9,'Locations Data'!$B:$B,LG$5)&gt;0,1,0)</f>
        <v>1</v>
      </c>
      <c r="LH9" s="6">
        <f>IF(SUMIFS('Locations Data'!$C:$C,'Locations Data'!$G:$G,$B9,'Locations Data'!$B:$B,LH$5)&gt;0,1,0)</f>
        <v>1</v>
      </c>
      <c r="LI9" s="6">
        <f>IF(SUMIFS('Locations Data'!$C:$C,'Locations Data'!$G:$G,$B9,'Locations Data'!$B:$B,LI$5)&gt;0,1,0)</f>
        <v>0</v>
      </c>
      <c r="LJ9" s="6">
        <f>IF(SUMIFS('Locations Data'!$C:$C,'Locations Data'!$G:$G,$B9,'Locations Data'!$B:$B,LJ$5)&gt;0,1,0)</f>
        <v>0</v>
      </c>
      <c r="LK9" s="6">
        <f>IF(SUMIFS('Locations Data'!$C:$C,'Locations Data'!$G:$G,$B9,'Locations Data'!$B:$B,LK$5)&gt;0,1,0)</f>
        <v>1</v>
      </c>
      <c r="LL9" s="6">
        <f>IF(SUMIFS('Locations Data'!$C:$C,'Locations Data'!$G:$G,$B9,'Locations Data'!$B:$B,LL$5)&gt;0,1,0)</f>
        <v>1</v>
      </c>
      <c r="LM9" s="6">
        <f>IF(SUMIFS('Locations Data'!$C:$C,'Locations Data'!$G:$G,$B9,'Locations Data'!$B:$B,LM$5)&gt;0,1,0)</f>
        <v>1</v>
      </c>
      <c r="LN9" s="6">
        <f>IF(SUMIFS('Locations Data'!$C:$C,'Locations Data'!$G:$G,$B9,'Locations Data'!$B:$B,LN$5)&gt;0,1,0)</f>
        <v>1</v>
      </c>
      <c r="LO9" s="6">
        <f>IF(SUMIFS('Locations Data'!$C:$C,'Locations Data'!$G:$G,$B9,'Locations Data'!$B:$B,LO$5)&gt;0,1,0)</f>
        <v>1</v>
      </c>
      <c r="LP9" s="6">
        <f>IF(SUMIFS('Locations Data'!$C:$C,'Locations Data'!$G:$G,$B9,'Locations Data'!$B:$B,LP$5)&gt;0,1,0)</f>
        <v>0</v>
      </c>
      <c r="LQ9" s="6">
        <f>IF(SUMIFS('Locations Data'!$C:$C,'Locations Data'!$G:$G,$B9,'Locations Data'!$B:$B,LQ$5)&gt;0,1,0)</f>
        <v>0</v>
      </c>
      <c r="LR9" s="6">
        <f>IF(SUMIFS('Locations Data'!$C:$C,'Locations Data'!$G:$G,$B9,'Locations Data'!$B:$B,LR$5)&gt;0,1,0)</f>
        <v>1</v>
      </c>
      <c r="LS9" s="6">
        <f>IF(SUMIFS('Locations Data'!$C:$C,'Locations Data'!$G:$G,$B9,'Locations Data'!$B:$B,LS$5)&gt;0,1,0)</f>
        <v>1</v>
      </c>
      <c r="LT9" s="6">
        <f>IF(SUMIFS('Locations Data'!$C:$C,'Locations Data'!$G:$G,$B9,'Locations Data'!$B:$B,LT$5)&gt;0,1,0)</f>
        <v>1</v>
      </c>
      <c r="LU9" s="6">
        <f>IF(SUMIFS('Locations Data'!$C:$C,'Locations Data'!$G:$G,$B9,'Locations Data'!$B:$B,LU$5)&gt;0,1,0)</f>
        <v>1</v>
      </c>
      <c r="LV9" s="6">
        <f>IF(SUMIFS('Locations Data'!$C:$C,'Locations Data'!$G:$G,$B9,'Locations Data'!$B:$B,LV$5)&gt;0,1,0)</f>
        <v>1</v>
      </c>
      <c r="LW9" s="6">
        <f>IF(SUMIFS('Locations Data'!$C:$C,'Locations Data'!$G:$G,$B9,'Locations Data'!$B:$B,LW$5)&gt;0,1,0)</f>
        <v>0</v>
      </c>
      <c r="LX9" s="6">
        <f>IF(SUMIFS('Locations Data'!$C:$C,'Locations Data'!$G:$G,$B9,'Locations Data'!$B:$B,LX$5)&gt;0,1,0)</f>
        <v>0</v>
      </c>
      <c r="LY9" s="6">
        <f>IF(SUMIFS('Locations Data'!$C:$C,'Locations Data'!$G:$G,$B9,'Locations Data'!$B:$B,LY$5)&gt;0,1,0)</f>
        <v>1</v>
      </c>
      <c r="LZ9" s="6">
        <f>IF(SUMIFS('Locations Data'!$C:$C,'Locations Data'!$G:$G,$B9,'Locations Data'!$B:$B,LZ$5)&gt;0,1,0)</f>
        <v>1</v>
      </c>
      <c r="MA9" s="6">
        <f>IF(SUMIFS('Locations Data'!$C:$C,'Locations Data'!$G:$G,$B9,'Locations Data'!$B:$B,MA$5)&gt;0,1,0)</f>
        <v>1</v>
      </c>
      <c r="MB9" s="6">
        <f>IF(SUMIFS('Locations Data'!$C:$C,'Locations Data'!$G:$G,$B9,'Locations Data'!$B:$B,MB$5)&gt;0,1,0)</f>
        <v>1</v>
      </c>
      <c r="MC9" s="6">
        <f>IF(SUMIFS('Locations Data'!$C:$C,'Locations Data'!$G:$G,$B9,'Locations Data'!$B:$B,MC$5)&gt;0,1,0)</f>
        <v>1</v>
      </c>
      <c r="MD9" s="6">
        <f>IF(SUMIFS('Locations Data'!$C:$C,'Locations Data'!$G:$G,$B9,'Locations Data'!$B:$B,MD$5)&gt;0,1,0)</f>
        <v>0</v>
      </c>
      <c r="ME9" s="6">
        <f>IF(SUMIFS('Locations Data'!$C:$C,'Locations Data'!$G:$G,$B9,'Locations Data'!$B:$B,ME$5)&gt;0,1,0)</f>
        <v>0</v>
      </c>
      <c r="MF9" s="6">
        <f>IF(SUMIFS('Locations Data'!$C:$C,'Locations Data'!$G:$G,$B9,'Locations Data'!$B:$B,MF$5)&gt;0,1,0)</f>
        <v>1</v>
      </c>
      <c r="MG9" s="6">
        <f>IF(SUMIFS('Locations Data'!$C:$C,'Locations Data'!$G:$G,$B9,'Locations Data'!$B:$B,MG$5)&gt;0,1,0)</f>
        <v>1</v>
      </c>
      <c r="MH9" s="6">
        <f>IF(SUMIFS('Locations Data'!$C:$C,'Locations Data'!$G:$G,$B9,'Locations Data'!$B:$B,MH$5)&gt;0,1,0)</f>
        <v>1</v>
      </c>
      <c r="MI9" s="6">
        <f>IF(SUMIFS('Locations Data'!$C:$C,'Locations Data'!$G:$G,$B9,'Locations Data'!$B:$B,MI$5)&gt;0,1,0)</f>
        <v>1</v>
      </c>
      <c r="MJ9" s="6">
        <f>IF(SUMIFS('Locations Data'!$C:$C,'Locations Data'!$G:$G,$B9,'Locations Data'!$B:$B,MJ$5)&gt;0,1,0)</f>
        <v>1</v>
      </c>
      <c r="MK9" s="6">
        <f>IF(SUMIFS('Locations Data'!$C:$C,'Locations Data'!$G:$G,$B9,'Locations Data'!$B:$B,MK$5)&gt;0,1,0)</f>
        <v>0</v>
      </c>
      <c r="ML9" s="6">
        <f>IF(SUMIFS('Locations Data'!$C:$C,'Locations Data'!$G:$G,$B9,'Locations Data'!$B:$B,ML$5)&gt;0,1,0)</f>
        <v>0</v>
      </c>
      <c r="MM9" s="6">
        <f>IF(SUMIFS('Locations Data'!$C:$C,'Locations Data'!$G:$G,$B9,'Locations Data'!$B:$B,MM$5)&gt;0,1,0)</f>
        <v>1</v>
      </c>
      <c r="MN9" s="6">
        <f>IF(SUMIFS('Locations Data'!$C:$C,'Locations Data'!$G:$G,$B9,'Locations Data'!$B:$B,MN$5)&gt;0,1,0)</f>
        <v>1</v>
      </c>
      <c r="MO9" s="6">
        <f>IF(SUMIFS('Locations Data'!$C:$C,'Locations Data'!$G:$G,$B9,'Locations Data'!$B:$B,MO$5)&gt;0,1,0)</f>
        <v>1</v>
      </c>
      <c r="MP9" s="6">
        <f>IF(SUMIFS('Locations Data'!$C:$C,'Locations Data'!$G:$G,$B9,'Locations Data'!$B:$B,MP$5)&gt;0,1,0)</f>
        <v>1</v>
      </c>
      <c r="MQ9" s="6">
        <f>IF(SUMIFS('Locations Data'!$C:$C,'Locations Data'!$G:$G,$B9,'Locations Data'!$B:$B,MQ$5)&gt;0,1,0)</f>
        <v>1</v>
      </c>
      <c r="MR9" s="6">
        <f>IF(SUMIFS('Locations Data'!$C:$C,'Locations Data'!$G:$G,$B9,'Locations Data'!$B:$B,MR$5)&gt;0,1,0)</f>
        <v>0</v>
      </c>
      <c r="MS9" s="6">
        <f>IF(SUMIFS('Locations Data'!$C:$C,'Locations Data'!$G:$G,$B9,'Locations Data'!$B:$B,MS$5)&gt;0,1,0)</f>
        <v>0</v>
      </c>
      <c r="MT9" s="6">
        <f>IF(SUMIFS('Locations Data'!$C:$C,'Locations Data'!$G:$G,$B9,'Locations Data'!$B:$B,MT$5)&gt;0,1,0)</f>
        <v>1</v>
      </c>
      <c r="MU9" s="6">
        <f>IF(SUMIFS('Locations Data'!$C:$C,'Locations Data'!$G:$G,$B9,'Locations Data'!$B:$B,MU$5)&gt;0,1,0)</f>
        <v>1</v>
      </c>
      <c r="MV9" s="6">
        <f>IF(SUMIFS('Locations Data'!$C:$C,'Locations Data'!$G:$G,$B9,'Locations Data'!$B:$B,MV$5)&gt;0,1,0)</f>
        <v>1</v>
      </c>
      <c r="MW9" s="26">
        <v>0</v>
      </c>
      <c r="MX9" s="6">
        <f>IF(SUMIFS('Locations Data'!$C:$C,'Locations Data'!$G:$G,$B9,'Locations Data'!$B:$B,MX$5)&gt;0,1,0)</f>
        <v>1</v>
      </c>
      <c r="MY9" s="6">
        <f>IF(SUMIFS('Locations Data'!$C:$C,'Locations Data'!$G:$G,$B9,'Locations Data'!$B:$B,MY$5)&gt;0,1,0)</f>
        <v>0</v>
      </c>
      <c r="MZ9" s="6">
        <f>IF(SUMIFS('Locations Data'!$C:$C,'Locations Data'!$G:$G,$B9,'Locations Data'!$B:$B,MZ$5)&gt;0,1,0)</f>
        <v>0</v>
      </c>
      <c r="NA9" s="6">
        <f>IF(SUMIFS('Locations Data'!$C:$C,'Locations Data'!$G:$G,$B9,'Locations Data'!$B:$B,NA$5)&gt;0,1,0)</f>
        <v>1</v>
      </c>
      <c r="NB9" s="6">
        <f>IF(SUMIFS('Locations Data'!$C:$C,'Locations Data'!$G:$G,$B9,'Locations Data'!$B:$B,NB$5)&gt;0,1,0)</f>
        <v>1</v>
      </c>
      <c r="NC9" s="6">
        <f>IF(SUMIFS('Locations Data'!$C:$C,'Locations Data'!$G:$G,$B9,'Locations Data'!$B:$B,NC$5)&gt;0,1,0)</f>
        <v>1</v>
      </c>
    </row>
    <row r="10" spans="2:367">
      <c r="B10" s="20" t="s">
        <v>304</v>
      </c>
      <c r="C10" s="6">
        <v>0</v>
      </c>
      <c r="D10" s="6">
        <f>IF(SUMIFS('Locations Data'!$C:$C,'Locations Data'!$G:$G,$B10,'Locations Data'!$B:$B,D$5)&gt;0,1,0)</f>
        <v>1</v>
      </c>
      <c r="E10" s="6">
        <f>IF(SUMIFS('Locations Data'!$C:$C,'Locations Data'!$G:$G,$B10,'Locations Data'!$B:$B,E$5)&gt;0,1,0)</f>
        <v>0</v>
      </c>
      <c r="F10" s="6">
        <f>IF(SUMIFS('Locations Data'!$C:$C,'Locations Data'!$G:$G,$B10,'Locations Data'!$B:$B,F$5)&gt;0,1,0)</f>
        <v>0</v>
      </c>
      <c r="G10" s="6">
        <f>IF(SUMIFS('Locations Data'!$C:$C,'Locations Data'!$G:$G,$B10,'Locations Data'!$B:$B,G$5)&gt;0,1,0)</f>
        <v>1</v>
      </c>
      <c r="H10" s="6">
        <f>IF(SUMIFS('Locations Data'!$C:$C,'Locations Data'!$G:$G,$B10,'Locations Data'!$B:$B,H$5)&gt;0,1,0)</f>
        <v>1</v>
      </c>
      <c r="I10" s="6">
        <f>IF(SUMIFS('Locations Data'!$C:$C,'Locations Data'!$G:$G,$B10,'Locations Data'!$B:$B,I$5)&gt;0,1,0)</f>
        <v>1</v>
      </c>
      <c r="J10" s="6">
        <f>IF(SUMIFS('Locations Data'!$C:$C,'Locations Data'!$G:$G,$B10,'Locations Data'!$B:$B,J$5)&gt;0,1,0)</f>
        <v>1</v>
      </c>
      <c r="K10" s="6">
        <f>IF(SUMIFS('Locations Data'!$C:$C,'Locations Data'!$G:$G,$B10,'Locations Data'!$B:$B,K$5)&gt;0,1,0)</f>
        <v>1</v>
      </c>
      <c r="L10" s="6">
        <f>IF(SUMIFS('Locations Data'!$C:$C,'Locations Data'!$G:$G,$B10,'Locations Data'!$B:$B,L$5)&gt;0,1,0)</f>
        <v>0</v>
      </c>
      <c r="M10" s="6">
        <f>IF(SUMIFS('Locations Data'!$C:$C,'Locations Data'!$G:$G,$B10,'Locations Data'!$B:$B,M$5)&gt;0,1,0)</f>
        <v>0</v>
      </c>
      <c r="N10" s="6">
        <f>IF(SUMIFS('Locations Data'!$C:$C,'Locations Data'!$G:$G,$B10,'Locations Data'!$B:$B,N$5)&gt;0,1,0)</f>
        <v>1</v>
      </c>
      <c r="O10" s="6">
        <f>IF(SUMIFS('Locations Data'!$C:$C,'Locations Data'!$G:$G,$B10,'Locations Data'!$B:$B,O$5)&gt;0,1,0)</f>
        <v>1</v>
      </c>
      <c r="P10" s="6">
        <f>IF(SUMIFS('Locations Data'!$C:$C,'Locations Data'!$G:$G,$B10,'Locations Data'!$B:$B,P$5)&gt;0,1,0)</f>
        <v>1</v>
      </c>
      <c r="Q10" s="6">
        <f>IF(SUMIFS('Locations Data'!$C:$C,'Locations Data'!$G:$G,$B10,'Locations Data'!$B:$B,Q$5)&gt;0,1,0)</f>
        <v>1</v>
      </c>
      <c r="R10" s="6">
        <f>IF(SUMIFS('Locations Data'!$C:$C,'Locations Data'!$G:$G,$B10,'Locations Data'!$B:$B,R$5)&gt;0,1,0)</f>
        <v>1</v>
      </c>
      <c r="S10" s="6">
        <f>IF(SUMIFS('Locations Data'!$C:$C,'Locations Data'!$G:$G,$B10,'Locations Data'!$B:$B,S$5)&gt;0,1,0)</f>
        <v>0</v>
      </c>
      <c r="T10" s="6">
        <f>IF(SUMIFS('Locations Data'!$C:$C,'Locations Data'!$G:$G,$B10,'Locations Data'!$B:$B,T$5)&gt;0,1,0)</f>
        <v>0</v>
      </c>
      <c r="U10" s="6">
        <f>IF(SUMIFS('Locations Data'!$C:$C,'Locations Data'!$G:$G,$B10,'Locations Data'!$B:$B,U$5)&gt;0,1,0)</f>
        <v>1</v>
      </c>
      <c r="V10" s="6">
        <f>IF(SUMIFS('Locations Data'!$C:$C,'Locations Data'!$G:$G,$B10,'Locations Data'!$B:$B,V$5)&gt;0,1,0)</f>
        <v>1</v>
      </c>
      <c r="W10" s="6">
        <f>IF(SUMIFS('Locations Data'!$C:$C,'Locations Data'!$G:$G,$B10,'Locations Data'!$B:$B,W$5)&gt;0,1,0)</f>
        <v>1</v>
      </c>
      <c r="X10" s="6">
        <f>IF(SUMIFS('Locations Data'!$C:$C,'Locations Data'!$G:$G,$B10,'Locations Data'!$B:$B,X$5)&gt;0,1,0)</f>
        <v>1</v>
      </c>
      <c r="Y10" s="6">
        <f>IF(SUMIFS('Locations Data'!$C:$C,'Locations Data'!$G:$G,$B10,'Locations Data'!$B:$B,Y$5)&gt;0,1,0)</f>
        <v>1</v>
      </c>
      <c r="Z10" s="6">
        <f>IF(SUMIFS('Locations Data'!$C:$C,'Locations Data'!$G:$G,$B10,'Locations Data'!$B:$B,Z$5)&gt;0,1,0)</f>
        <v>0</v>
      </c>
      <c r="AA10" s="6">
        <f>IF(SUMIFS('Locations Data'!$C:$C,'Locations Data'!$G:$G,$B10,'Locations Data'!$B:$B,AA$5)&gt;0,1,0)</f>
        <v>0</v>
      </c>
      <c r="AB10" s="6">
        <f>IF(SUMIFS('Locations Data'!$C:$C,'Locations Data'!$G:$G,$B10,'Locations Data'!$B:$B,AB$5)&gt;0,1,0)</f>
        <v>1</v>
      </c>
      <c r="AC10" s="6">
        <f>IF(SUMIFS('Locations Data'!$C:$C,'Locations Data'!$G:$G,$B10,'Locations Data'!$B:$B,AC$5)&gt;0,1,0)</f>
        <v>1</v>
      </c>
      <c r="AD10" s="6">
        <f>IF(SUMIFS('Locations Data'!$C:$C,'Locations Data'!$G:$G,$B10,'Locations Data'!$B:$B,AD$5)&gt;0,1,0)</f>
        <v>1</v>
      </c>
      <c r="AE10" s="6">
        <f>IF(SUMIFS('Locations Data'!$C:$C,'Locations Data'!$G:$G,$B10,'Locations Data'!$B:$B,AE$5)&gt;0,1,0)</f>
        <v>1</v>
      </c>
      <c r="AF10" s="6">
        <f>IF(SUMIFS('Locations Data'!$C:$C,'Locations Data'!$G:$G,$B10,'Locations Data'!$B:$B,AF$5)&gt;0,1,0)</f>
        <v>1</v>
      </c>
      <c r="AG10" s="6">
        <f>IF(SUMIFS('Locations Data'!$C:$C,'Locations Data'!$G:$G,$B10,'Locations Data'!$B:$B,AG$5)&gt;0,1,0)</f>
        <v>0</v>
      </c>
      <c r="AH10" s="6">
        <f>IF(SUMIFS('Locations Data'!$C:$C,'Locations Data'!$G:$G,$B10,'Locations Data'!$B:$B,AH$5)&gt;0,1,0)</f>
        <v>0</v>
      </c>
      <c r="AI10" s="6">
        <f>IF(SUMIFS('Locations Data'!$C:$C,'Locations Data'!$G:$G,$B10,'Locations Data'!$B:$B,AI$5)&gt;0,1,0)</f>
        <v>1</v>
      </c>
      <c r="AJ10" s="6">
        <f>IF(SUMIFS('Locations Data'!$C:$C,'Locations Data'!$G:$G,$B10,'Locations Data'!$B:$B,AJ$5)&gt;0,1,0)</f>
        <v>1</v>
      </c>
      <c r="AK10" s="6">
        <f>IF(SUMIFS('Locations Data'!$C:$C,'Locations Data'!$G:$G,$B10,'Locations Data'!$B:$B,AK$5)&gt;0,1,0)</f>
        <v>1</v>
      </c>
      <c r="AL10" s="6">
        <f>IF(SUMIFS('Locations Data'!$C:$C,'Locations Data'!$G:$G,$B10,'Locations Data'!$B:$B,AL$5)&gt;0,1,0)</f>
        <v>1</v>
      </c>
      <c r="AM10" s="6">
        <f>IF(SUMIFS('Locations Data'!$C:$C,'Locations Data'!$G:$G,$B10,'Locations Data'!$B:$B,AM$5)&gt;0,1,0)</f>
        <v>1</v>
      </c>
      <c r="AN10" s="6">
        <f>IF(SUMIFS('Locations Data'!$C:$C,'Locations Data'!$G:$G,$B10,'Locations Data'!$B:$B,AN$5)&gt;0,1,0)</f>
        <v>0</v>
      </c>
      <c r="AO10" s="6">
        <f>IF(SUMIFS('Locations Data'!$C:$C,'Locations Data'!$G:$G,$B10,'Locations Data'!$B:$B,AO$5)&gt;0,1,0)</f>
        <v>0</v>
      </c>
      <c r="AP10" s="6">
        <f>IF(SUMIFS('Locations Data'!$C:$C,'Locations Data'!$G:$G,$B10,'Locations Data'!$B:$B,AP$5)&gt;0,1,0)</f>
        <v>1</v>
      </c>
      <c r="AQ10" s="6">
        <f>IF(SUMIFS('Locations Data'!$C:$C,'Locations Data'!$G:$G,$B10,'Locations Data'!$B:$B,AQ$5)&gt;0,1,0)</f>
        <v>1</v>
      </c>
      <c r="AR10" s="6">
        <f>IF(SUMIFS('Locations Data'!$C:$C,'Locations Data'!$G:$G,$B10,'Locations Data'!$B:$B,AR$5)&gt;0,1,0)</f>
        <v>1</v>
      </c>
      <c r="AS10" s="6">
        <f>IF(SUMIFS('Locations Data'!$C:$C,'Locations Data'!$G:$G,$B10,'Locations Data'!$B:$B,AS$5)&gt;0,1,0)</f>
        <v>1</v>
      </c>
      <c r="AT10" s="6">
        <f>IF(SUMIFS('Locations Data'!$C:$C,'Locations Data'!$G:$G,$B10,'Locations Data'!$B:$B,AT$5)&gt;0,1,0)</f>
        <v>1</v>
      </c>
      <c r="AU10" s="6">
        <f>IF(SUMIFS('Locations Data'!$C:$C,'Locations Data'!$G:$G,$B10,'Locations Data'!$B:$B,AU$5)&gt;0,1,0)</f>
        <v>0</v>
      </c>
      <c r="AV10" s="6">
        <f>IF(SUMIFS('Locations Data'!$C:$C,'Locations Data'!$G:$G,$B10,'Locations Data'!$B:$B,AV$5)&gt;0,1,0)</f>
        <v>0</v>
      </c>
      <c r="AW10" s="6">
        <f>IF(SUMIFS('Locations Data'!$C:$C,'Locations Data'!$G:$G,$B10,'Locations Data'!$B:$B,AW$5)&gt;0,1,0)</f>
        <v>1</v>
      </c>
      <c r="AX10" s="6">
        <f>IF(SUMIFS('Locations Data'!$C:$C,'Locations Data'!$G:$G,$B10,'Locations Data'!$B:$B,AX$5)&gt;0,1,0)</f>
        <v>1</v>
      </c>
      <c r="AY10" s="6">
        <f>IF(SUMIFS('Locations Data'!$C:$C,'Locations Data'!$G:$G,$B10,'Locations Data'!$B:$B,AY$5)&gt;0,1,0)</f>
        <v>1</v>
      </c>
      <c r="AZ10" s="6">
        <f>IF(SUMIFS('Locations Data'!$C:$C,'Locations Data'!$G:$G,$B10,'Locations Data'!$B:$B,AZ$5)&gt;0,1,0)</f>
        <v>1</v>
      </c>
      <c r="BA10" s="6">
        <f>IF(SUMIFS('Locations Data'!$C:$C,'Locations Data'!$G:$G,$B10,'Locations Data'!$B:$B,BA$5)&gt;0,1,0)</f>
        <v>1</v>
      </c>
      <c r="BB10" s="6">
        <f>IF(SUMIFS('Locations Data'!$C:$C,'Locations Data'!$G:$G,$B10,'Locations Data'!$B:$B,BB$5)&gt;0,1,0)</f>
        <v>0</v>
      </c>
      <c r="BC10" s="6">
        <f>IF(SUMIFS('Locations Data'!$C:$C,'Locations Data'!$G:$G,$B10,'Locations Data'!$B:$B,BC$5)&gt;0,1,0)</f>
        <v>0</v>
      </c>
      <c r="BD10" s="6">
        <f>IF(SUMIFS('Locations Data'!$C:$C,'Locations Data'!$G:$G,$B10,'Locations Data'!$B:$B,BD$5)&gt;0,1,0)</f>
        <v>1</v>
      </c>
      <c r="BE10" s="6">
        <f>IF(SUMIFS('Locations Data'!$C:$C,'Locations Data'!$G:$G,$B10,'Locations Data'!$B:$B,BE$5)&gt;0,1,0)</f>
        <v>1</v>
      </c>
      <c r="BF10" s="6">
        <f>IF(SUMIFS('Locations Data'!$C:$C,'Locations Data'!$G:$G,$B10,'Locations Data'!$B:$B,BF$5)&gt;0,1,0)</f>
        <v>1</v>
      </c>
      <c r="BG10" s="6">
        <f>IF(SUMIFS('Locations Data'!$C:$C,'Locations Data'!$G:$G,$B10,'Locations Data'!$B:$B,BG$5)&gt;0,1,0)</f>
        <v>1</v>
      </c>
      <c r="BH10" s="6">
        <f>IF(SUMIFS('Locations Data'!$C:$C,'Locations Data'!$G:$G,$B10,'Locations Data'!$B:$B,BH$5)&gt;0,1,0)</f>
        <v>1</v>
      </c>
      <c r="BI10" s="6">
        <f>IF(SUMIFS('Locations Data'!$C:$C,'Locations Data'!$G:$G,$B10,'Locations Data'!$B:$B,BI$5)&gt;0,1,0)</f>
        <v>0</v>
      </c>
      <c r="BJ10" s="6">
        <f>IF(SUMIFS('Locations Data'!$C:$C,'Locations Data'!$G:$G,$B10,'Locations Data'!$B:$B,BJ$5)&gt;0,1,0)</f>
        <v>0</v>
      </c>
      <c r="BK10" s="6">
        <f>IF(SUMIFS('Locations Data'!$C:$C,'Locations Data'!$G:$G,$B10,'Locations Data'!$B:$B,BK$5)&gt;0,1,0)</f>
        <v>1</v>
      </c>
      <c r="BL10" s="6">
        <f>IF(SUMIFS('Locations Data'!$C:$C,'Locations Data'!$G:$G,$B10,'Locations Data'!$B:$B,BL$5)&gt;0,1,0)</f>
        <v>1</v>
      </c>
      <c r="BM10" s="6">
        <f>IF(SUMIFS('Locations Data'!$C:$C,'Locations Data'!$G:$G,$B10,'Locations Data'!$B:$B,BM$5)&gt;0,1,0)</f>
        <v>1</v>
      </c>
      <c r="BN10" s="6">
        <f>IF(SUMIFS('Locations Data'!$C:$C,'Locations Data'!$G:$G,$B10,'Locations Data'!$B:$B,BN$5)&gt;0,1,0)</f>
        <v>1</v>
      </c>
      <c r="BO10" s="6">
        <f>IF(SUMIFS('Locations Data'!$C:$C,'Locations Data'!$G:$G,$B10,'Locations Data'!$B:$B,BO$5)&gt;0,1,0)</f>
        <v>1</v>
      </c>
      <c r="BP10" s="6">
        <f>IF(SUMIFS('Locations Data'!$C:$C,'Locations Data'!$G:$G,$B10,'Locations Data'!$B:$B,BP$5)&gt;0,1,0)</f>
        <v>0</v>
      </c>
      <c r="BQ10" s="6">
        <f>IF(SUMIFS('Locations Data'!$C:$C,'Locations Data'!$G:$G,$B10,'Locations Data'!$B:$B,BQ$5)&gt;0,1,0)</f>
        <v>0</v>
      </c>
      <c r="BR10" s="6">
        <f>IF(SUMIFS('Locations Data'!$C:$C,'Locations Data'!$G:$G,$B10,'Locations Data'!$B:$B,BR$5)&gt;0,1,0)</f>
        <v>1</v>
      </c>
      <c r="BS10" s="6">
        <f>IF(SUMIFS('Locations Data'!$C:$C,'Locations Data'!$G:$G,$B10,'Locations Data'!$B:$B,BS$5)&gt;0,1,0)</f>
        <v>1</v>
      </c>
      <c r="BT10" s="6">
        <f>IF(SUMIFS('Locations Data'!$C:$C,'Locations Data'!$G:$G,$B10,'Locations Data'!$B:$B,BT$5)&gt;0,1,0)</f>
        <v>1</v>
      </c>
      <c r="BU10" s="6">
        <f>IF(SUMIFS('Locations Data'!$C:$C,'Locations Data'!$G:$G,$B10,'Locations Data'!$B:$B,BU$5)&gt;0,1,0)</f>
        <v>1</v>
      </c>
      <c r="BV10" s="6">
        <f>IF(SUMIFS('Locations Data'!$C:$C,'Locations Data'!$G:$G,$B10,'Locations Data'!$B:$B,BV$5)&gt;0,1,0)</f>
        <v>1</v>
      </c>
      <c r="BW10" s="6">
        <f>IF(SUMIFS('Locations Data'!$C:$C,'Locations Data'!$G:$G,$B10,'Locations Data'!$B:$B,BW$5)&gt;0,1,0)</f>
        <v>0</v>
      </c>
      <c r="BX10" s="6">
        <f>IF(SUMIFS('Locations Data'!$C:$C,'Locations Data'!$G:$G,$B10,'Locations Data'!$B:$B,BX$5)&gt;0,1,0)</f>
        <v>0</v>
      </c>
      <c r="BY10" s="6">
        <f>IF(SUMIFS('Locations Data'!$C:$C,'Locations Data'!$G:$G,$B10,'Locations Data'!$B:$B,BY$5)&gt;0,1,0)</f>
        <v>1</v>
      </c>
      <c r="BZ10" s="6">
        <f>IF(SUMIFS('Locations Data'!$C:$C,'Locations Data'!$G:$G,$B10,'Locations Data'!$B:$B,BZ$5)&gt;0,1,0)</f>
        <v>1</v>
      </c>
      <c r="CA10" s="6">
        <f>IF(SUMIFS('Locations Data'!$C:$C,'Locations Data'!$G:$G,$B10,'Locations Data'!$B:$B,CA$5)&gt;0,1,0)</f>
        <v>1</v>
      </c>
      <c r="CB10" s="6">
        <f>IF(SUMIFS('Locations Data'!$C:$C,'Locations Data'!$G:$G,$B10,'Locations Data'!$B:$B,CB$5)&gt;0,1,0)</f>
        <v>1</v>
      </c>
      <c r="CC10" s="6">
        <f>IF(SUMIFS('Locations Data'!$C:$C,'Locations Data'!$G:$G,$B10,'Locations Data'!$B:$B,CC$5)&gt;0,1,0)</f>
        <v>1</v>
      </c>
      <c r="CD10" s="6">
        <f>IF(SUMIFS('Locations Data'!$C:$C,'Locations Data'!$G:$G,$B10,'Locations Data'!$B:$B,CD$5)&gt;0,1,0)</f>
        <v>0</v>
      </c>
      <c r="CE10" s="6">
        <f>IF(SUMIFS('Locations Data'!$C:$C,'Locations Data'!$G:$G,$B10,'Locations Data'!$B:$B,CE$5)&gt;0,1,0)</f>
        <v>0</v>
      </c>
      <c r="CF10" s="6">
        <f>IF(SUMIFS('Locations Data'!$C:$C,'Locations Data'!$G:$G,$B10,'Locations Data'!$B:$B,CF$5)&gt;0,1,0)</f>
        <v>1</v>
      </c>
      <c r="CG10" s="6">
        <f>IF(SUMIFS('Locations Data'!$C:$C,'Locations Data'!$G:$G,$B10,'Locations Data'!$B:$B,CG$5)&gt;0,1,0)</f>
        <v>1</v>
      </c>
      <c r="CH10" s="6">
        <f>IF(SUMIFS('Locations Data'!$C:$C,'Locations Data'!$G:$G,$B10,'Locations Data'!$B:$B,CH$5)&gt;0,1,0)</f>
        <v>1</v>
      </c>
      <c r="CI10" s="6">
        <f>IF(SUMIFS('Locations Data'!$C:$C,'Locations Data'!$G:$G,$B10,'Locations Data'!$B:$B,CI$5)&gt;0,1,0)</f>
        <v>1</v>
      </c>
      <c r="CJ10" s="6">
        <f>IF(SUMIFS('Locations Data'!$C:$C,'Locations Data'!$G:$G,$B10,'Locations Data'!$B:$B,CJ$5)&gt;0,1,0)</f>
        <v>1</v>
      </c>
      <c r="CK10" s="6">
        <f>IF(SUMIFS('Locations Data'!$C:$C,'Locations Data'!$G:$G,$B10,'Locations Data'!$B:$B,CK$5)&gt;0,1,0)</f>
        <v>0</v>
      </c>
      <c r="CL10" s="6">
        <f>IF(SUMIFS('Locations Data'!$C:$C,'Locations Data'!$G:$G,$B10,'Locations Data'!$B:$B,CL$5)&gt;0,1,0)</f>
        <v>0</v>
      </c>
      <c r="CM10" s="6">
        <f>IF(SUMIFS('Locations Data'!$C:$C,'Locations Data'!$G:$G,$B10,'Locations Data'!$B:$B,CM$5)&gt;0,1,0)</f>
        <v>1</v>
      </c>
      <c r="CN10" s="6">
        <f>IF(SUMIFS('Locations Data'!$C:$C,'Locations Data'!$G:$G,$B10,'Locations Data'!$B:$B,CN$5)&gt;0,1,0)</f>
        <v>1</v>
      </c>
      <c r="CO10" s="6">
        <f>IF(SUMIFS('Locations Data'!$C:$C,'Locations Data'!$G:$G,$B10,'Locations Data'!$B:$B,CO$5)&gt;0,1,0)</f>
        <v>1</v>
      </c>
      <c r="CP10" s="6">
        <f>IF(SUMIFS('Locations Data'!$C:$C,'Locations Data'!$G:$G,$B10,'Locations Data'!$B:$B,CP$5)&gt;0,1,0)</f>
        <v>1</v>
      </c>
      <c r="CQ10" s="6">
        <f>IF(SUMIFS('Locations Data'!$C:$C,'Locations Data'!$G:$G,$B10,'Locations Data'!$B:$B,CQ$5)&gt;0,1,0)</f>
        <v>1</v>
      </c>
      <c r="CR10" s="6">
        <f>IF(SUMIFS('Locations Data'!$C:$C,'Locations Data'!$G:$G,$B10,'Locations Data'!$B:$B,CR$5)&gt;0,1,0)</f>
        <v>0</v>
      </c>
      <c r="CS10" s="6">
        <f>IF(SUMIFS('Locations Data'!$C:$C,'Locations Data'!$G:$G,$B10,'Locations Data'!$B:$B,CS$5)&gt;0,1,0)</f>
        <v>0</v>
      </c>
      <c r="CT10" s="6">
        <f>IF(SUMIFS('Locations Data'!$C:$C,'Locations Data'!$G:$G,$B10,'Locations Data'!$B:$B,CT$5)&gt;0,1,0)</f>
        <v>1</v>
      </c>
      <c r="CU10" s="6">
        <f>IF(SUMIFS('Locations Data'!$C:$C,'Locations Data'!$G:$G,$B10,'Locations Data'!$B:$B,CU$5)&gt;0,1,0)</f>
        <v>1</v>
      </c>
      <c r="CV10" s="6">
        <f>IF(SUMIFS('Locations Data'!$C:$C,'Locations Data'!$G:$G,$B10,'Locations Data'!$B:$B,CV$5)&gt;0,1,0)</f>
        <v>1</v>
      </c>
      <c r="CW10" s="6">
        <f>IF(SUMIFS('Locations Data'!$C:$C,'Locations Data'!$G:$G,$B10,'Locations Data'!$B:$B,CW$5)&gt;0,1,0)</f>
        <v>1</v>
      </c>
      <c r="CX10" s="6">
        <f>IF(SUMIFS('Locations Data'!$C:$C,'Locations Data'!$G:$G,$B10,'Locations Data'!$B:$B,CX$5)&gt;0,1,0)</f>
        <v>1</v>
      </c>
      <c r="CY10" s="6">
        <f>IF(SUMIFS('Locations Data'!$C:$C,'Locations Data'!$G:$G,$B10,'Locations Data'!$B:$B,CY$5)&gt;0,1,0)</f>
        <v>0</v>
      </c>
      <c r="CZ10" s="6">
        <f>IF(SUMIFS('Locations Data'!$C:$C,'Locations Data'!$G:$G,$B10,'Locations Data'!$B:$B,CZ$5)&gt;0,1,0)</f>
        <v>0</v>
      </c>
      <c r="DA10" s="6">
        <f>IF(SUMIFS('Locations Data'!$C:$C,'Locations Data'!$G:$G,$B10,'Locations Data'!$B:$B,DA$5)&gt;0,1,0)</f>
        <v>1</v>
      </c>
      <c r="DB10" s="6">
        <f>IF(SUMIFS('Locations Data'!$C:$C,'Locations Data'!$G:$G,$B10,'Locations Data'!$B:$B,DB$5)&gt;0,1,0)</f>
        <v>1</v>
      </c>
      <c r="DC10" s="6">
        <f>IF(SUMIFS('Locations Data'!$C:$C,'Locations Data'!$G:$G,$B10,'Locations Data'!$B:$B,DC$5)&gt;0,1,0)</f>
        <v>1</v>
      </c>
      <c r="DD10" s="6">
        <f>IF(SUMIFS('Locations Data'!$C:$C,'Locations Data'!$G:$G,$B10,'Locations Data'!$B:$B,DD$5)&gt;0,1,0)</f>
        <v>1</v>
      </c>
      <c r="DE10" s="6">
        <f>IF(SUMIFS('Locations Data'!$C:$C,'Locations Data'!$G:$G,$B10,'Locations Data'!$B:$B,DE$5)&gt;0,1,0)</f>
        <v>1</v>
      </c>
      <c r="DF10" s="6">
        <f>IF(SUMIFS('Locations Data'!$C:$C,'Locations Data'!$G:$G,$B10,'Locations Data'!$B:$B,DF$5)&gt;0,1,0)</f>
        <v>0</v>
      </c>
      <c r="DG10" s="6">
        <f>IF(SUMIFS('Locations Data'!$C:$C,'Locations Data'!$G:$G,$B10,'Locations Data'!$B:$B,DG$5)&gt;0,1,0)</f>
        <v>0</v>
      </c>
      <c r="DH10" s="6">
        <f>IF(SUMIFS('Locations Data'!$C:$C,'Locations Data'!$G:$G,$B10,'Locations Data'!$B:$B,DH$5)&gt;0,1,0)</f>
        <v>1</v>
      </c>
      <c r="DI10" s="6">
        <f>IF(SUMIFS('Locations Data'!$C:$C,'Locations Data'!$G:$G,$B10,'Locations Data'!$B:$B,DI$5)&gt;0,1,0)</f>
        <v>1</v>
      </c>
      <c r="DJ10" s="6">
        <f>IF(SUMIFS('Locations Data'!$C:$C,'Locations Data'!$G:$G,$B10,'Locations Data'!$B:$B,DJ$5)&gt;0,1,0)</f>
        <v>1</v>
      </c>
      <c r="DK10" s="6">
        <f>IF(SUMIFS('Locations Data'!$C:$C,'Locations Data'!$G:$G,$B10,'Locations Data'!$B:$B,DK$5)&gt;0,1,0)</f>
        <v>1</v>
      </c>
      <c r="DL10" s="6">
        <f>IF(SUMIFS('Locations Data'!$C:$C,'Locations Data'!$G:$G,$B10,'Locations Data'!$B:$B,DL$5)&gt;0,1,0)</f>
        <v>1</v>
      </c>
      <c r="DM10" s="6">
        <f>IF(SUMIFS('Locations Data'!$C:$C,'Locations Data'!$G:$G,$B10,'Locations Data'!$B:$B,DM$5)&gt;0,1,0)</f>
        <v>0</v>
      </c>
      <c r="DN10" s="6">
        <f>IF(SUMIFS('Locations Data'!$C:$C,'Locations Data'!$G:$G,$B10,'Locations Data'!$B:$B,DN$5)&gt;0,1,0)</f>
        <v>0</v>
      </c>
      <c r="DO10" s="6">
        <f>IF(SUMIFS('Locations Data'!$C:$C,'Locations Data'!$G:$G,$B10,'Locations Data'!$B:$B,DO$5)&gt;0,1,0)</f>
        <v>1</v>
      </c>
      <c r="DP10" s="6">
        <f>IF(SUMIFS('Locations Data'!$C:$C,'Locations Data'!$G:$G,$B10,'Locations Data'!$B:$B,DP$5)&gt;0,1,0)</f>
        <v>1</v>
      </c>
      <c r="DQ10" s="6">
        <f>IF(SUMIFS('Locations Data'!$C:$C,'Locations Data'!$G:$G,$B10,'Locations Data'!$B:$B,DQ$5)&gt;0,1,0)</f>
        <v>1</v>
      </c>
      <c r="DR10" s="6">
        <f>IF(SUMIFS('Locations Data'!$C:$C,'Locations Data'!$G:$G,$B10,'Locations Data'!$B:$B,DR$5)&gt;0,1,0)</f>
        <v>1</v>
      </c>
      <c r="DS10" s="6">
        <f>IF(SUMIFS('Locations Data'!$C:$C,'Locations Data'!$G:$G,$B10,'Locations Data'!$B:$B,DS$5)&gt;0,1,0)</f>
        <v>1</v>
      </c>
      <c r="DT10" s="6">
        <f>IF(SUMIFS('Locations Data'!$C:$C,'Locations Data'!$G:$G,$B10,'Locations Data'!$B:$B,DT$5)&gt;0,1,0)</f>
        <v>0</v>
      </c>
      <c r="DU10" s="6">
        <f>IF(SUMIFS('Locations Data'!$C:$C,'Locations Data'!$G:$G,$B10,'Locations Data'!$B:$B,DU$5)&gt;0,1,0)</f>
        <v>0</v>
      </c>
      <c r="DV10" s="6">
        <f>IF(SUMIFS('Locations Data'!$C:$C,'Locations Data'!$G:$G,$B10,'Locations Data'!$B:$B,DV$5)&gt;0,1,0)</f>
        <v>1</v>
      </c>
      <c r="DW10" s="6">
        <f>IF(SUMIFS('Locations Data'!$C:$C,'Locations Data'!$G:$G,$B10,'Locations Data'!$B:$B,DW$5)&gt;0,1,0)</f>
        <v>1</v>
      </c>
      <c r="DX10" s="6">
        <f>IF(SUMIFS('Locations Data'!$C:$C,'Locations Data'!$G:$G,$B10,'Locations Data'!$B:$B,DX$5)&gt;0,1,0)</f>
        <v>1</v>
      </c>
      <c r="DY10" s="6">
        <f>IF(SUMIFS('Locations Data'!$C:$C,'Locations Data'!$G:$G,$B10,'Locations Data'!$B:$B,DY$5)&gt;0,1,0)</f>
        <v>1</v>
      </c>
      <c r="DZ10" s="6">
        <f>IF(SUMIFS('Locations Data'!$C:$C,'Locations Data'!$G:$G,$B10,'Locations Data'!$B:$B,DZ$5)&gt;0,1,0)</f>
        <v>1</v>
      </c>
      <c r="EA10" s="6">
        <f>IF(SUMIFS('Locations Data'!$C:$C,'Locations Data'!$G:$G,$B10,'Locations Data'!$B:$B,EA$5)&gt;0,1,0)</f>
        <v>0</v>
      </c>
      <c r="EB10" s="6">
        <f>IF(SUMIFS('Locations Data'!$C:$C,'Locations Data'!$G:$G,$B10,'Locations Data'!$B:$B,EB$5)&gt;0,1,0)</f>
        <v>0</v>
      </c>
      <c r="EC10" s="6">
        <f>IF(SUMIFS('Locations Data'!$C:$C,'Locations Data'!$G:$G,$B10,'Locations Data'!$B:$B,EC$5)&gt;0,1,0)</f>
        <v>1</v>
      </c>
      <c r="ED10" s="6">
        <f>IF(SUMIFS('Locations Data'!$C:$C,'Locations Data'!$G:$G,$B10,'Locations Data'!$B:$B,ED$5)&gt;0,1,0)</f>
        <v>1</v>
      </c>
      <c r="EE10" s="6">
        <f>IF(SUMIFS('Locations Data'!$C:$C,'Locations Data'!$G:$G,$B10,'Locations Data'!$B:$B,EE$5)&gt;0,1,0)</f>
        <v>1</v>
      </c>
      <c r="EF10" s="6">
        <f>IF(SUMIFS('Locations Data'!$C:$C,'Locations Data'!$G:$G,$B10,'Locations Data'!$B:$B,EF$5)&gt;0,1,0)</f>
        <v>1</v>
      </c>
      <c r="EG10" s="6">
        <f>IF(SUMIFS('Locations Data'!$C:$C,'Locations Data'!$G:$G,$B10,'Locations Data'!$B:$B,EG$5)&gt;0,1,0)</f>
        <v>1</v>
      </c>
      <c r="EH10" s="6">
        <f>IF(SUMIFS('Locations Data'!$C:$C,'Locations Data'!$G:$G,$B10,'Locations Data'!$B:$B,EH$5)&gt;0,1,0)</f>
        <v>0</v>
      </c>
      <c r="EI10" s="6">
        <f>IF(SUMIFS('Locations Data'!$C:$C,'Locations Data'!$G:$G,$B10,'Locations Data'!$B:$B,EI$5)&gt;0,1,0)</f>
        <v>0</v>
      </c>
      <c r="EJ10" s="6">
        <f>IF(SUMIFS('Locations Data'!$C:$C,'Locations Data'!$G:$G,$B10,'Locations Data'!$B:$B,EJ$5)&gt;0,1,0)</f>
        <v>1</v>
      </c>
      <c r="EK10" s="6">
        <f>IF(SUMIFS('Locations Data'!$C:$C,'Locations Data'!$G:$G,$B10,'Locations Data'!$B:$B,EK$5)&gt;0,1,0)</f>
        <v>1</v>
      </c>
      <c r="EL10" s="6">
        <f>IF(SUMIFS('Locations Data'!$C:$C,'Locations Data'!$G:$G,$B10,'Locations Data'!$B:$B,EL$5)&gt;0,1,0)</f>
        <v>1</v>
      </c>
      <c r="EM10" s="6">
        <f>IF(SUMIFS('Locations Data'!$C:$C,'Locations Data'!$G:$G,$B10,'Locations Data'!$B:$B,EM$5)&gt;0,1,0)</f>
        <v>1</v>
      </c>
      <c r="EN10" s="6">
        <f>IF(SUMIFS('Locations Data'!$C:$C,'Locations Data'!$G:$G,$B10,'Locations Data'!$B:$B,EN$5)&gt;0,1,0)</f>
        <v>1</v>
      </c>
      <c r="EO10" s="6">
        <f>IF(SUMIFS('Locations Data'!$C:$C,'Locations Data'!$G:$G,$B10,'Locations Data'!$B:$B,EO$5)&gt;0,1,0)</f>
        <v>0</v>
      </c>
      <c r="EP10" s="6">
        <f>IF(SUMIFS('Locations Data'!$C:$C,'Locations Data'!$G:$G,$B10,'Locations Data'!$B:$B,EP$5)&gt;0,1,0)</f>
        <v>0</v>
      </c>
      <c r="EQ10" s="6">
        <f>IF(SUMIFS('Locations Data'!$C:$C,'Locations Data'!$G:$G,$B10,'Locations Data'!$B:$B,EQ$5)&gt;0,1,0)</f>
        <v>1</v>
      </c>
      <c r="ER10" s="6">
        <f>IF(SUMIFS('Locations Data'!$C:$C,'Locations Data'!$G:$G,$B10,'Locations Data'!$B:$B,ER$5)&gt;0,1,0)</f>
        <v>1</v>
      </c>
      <c r="ES10" s="6">
        <f>IF(SUMIFS('Locations Data'!$C:$C,'Locations Data'!$G:$G,$B10,'Locations Data'!$B:$B,ES$5)&gt;0,1,0)</f>
        <v>1</v>
      </c>
      <c r="ET10" s="6">
        <f>IF(SUMIFS('Locations Data'!$C:$C,'Locations Data'!$G:$G,$B10,'Locations Data'!$B:$B,ET$5)&gt;0,1,0)</f>
        <v>1</v>
      </c>
      <c r="EU10" s="6">
        <f>IF(SUMIFS('Locations Data'!$C:$C,'Locations Data'!$G:$G,$B10,'Locations Data'!$B:$B,EU$5)&gt;0,1,0)</f>
        <v>1</v>
      </c>
      <c r="EV10" s="6">
        <f>IF(SUMIFS('Locations Data'!$C:$C,'Locations Data'!$G:$G,$B10,'Locations Data'!$B:$B,EV$5)&gt;0,1,0)</f>
        <v>0</v>
      </c>
      <c r="EW10" s="6">
        <f>IF(SUMIFS('Locations Data'!$C:$C,'Locations Data'!$G:$G,$B10,'Locations Data'!$B:$B,EW$5)&gt;0,1,0)</f>
        <v>0</v>
      </c>
      <c r="EX10" s="6">
        <f>IF(SUMIFS('Locations Data'!$C:$C,'Locations Data'!$G:$G,$B10,'Locations Data'!$B:$B,EX$5)&gt;0,1,0)</f>
        <v>1</v>
      </c>
      <c r="EY10" s="6">
        <f>IF(SUMIFS('Locations Data'!$C:$C,'Locations Data'!$G:$G,$B10,'Locations Data'!$B:$B,EY$5)&gt;0,1,0)</f>
        <v>1</v>
      </c>
      <c r="EZ10" s="6">
        <f>IF(SUMIFS('Locations Data'!$C:$C,'Locations Data'!$G:$G,$B10,'Locations Data'!$B:$B,EZ$5)&gt;0,1,0)</f>
        <v>1</v>
      </c>
      <c r="FA10" s="6">
        <f>IF(SUMIFS('Locations Data'!$C:$C,'Locations Data'!$G:$G,$B10,'Locations Data'!$B:$B,FA$5)&gt;0,1,0)</f>
        <v>1</v>
      </c>
      <c r="FB10" s="6">
        <f>IF(SUMIFS('Locations Data'!$C:$C,'Locations Data'!$G:$G,$B10,'Locations Data'!$B:$B,FB$5)&gt;0,1,0)</f>
        <v>1</v>
      </c>
      <c r="FC10" s="6">
        <f>IF(SUMIFS('Locations Data'!$C:$C,'Locations Data'!$G:$G,$B10,'Locations Data'!$B:$B,FC$5)&gt;0,1,0)</f>
        <v>0</v>
      </c>
      <c r="FD10" s="6">
        <f>IF(SUMIFS('Locations Data'!$C:$C,'Locations Data'!$G:$G,$B10,'Locations Data'!$B:$B,FD$5)&gt;0,1,0)</f>
        <v>0</v>
      </c>
      <c r="FE10" s="6">
        <f>IF(SUMIFS('Locations Data'!$C:$C,'Locations Data'!$G:$G,$B10,'Locations Data'!$B:$B,FE$5)&gt;0,1,0)</f>
        <v>1</v>
      </c>
      <c r="FF10" s="6">
        <f>IF(SUMIFS('Locations Data'!$C:$C,'Locations Data'!$G:$G,$B10,'Locations Data'!$B:$B,FF$5)&gt;0,1,0)</f>
        <v>1</v>
      </c>
      <c r="FG10" s="6">
        <f>IF(SUMIFS('Locations Data'!$C:$C,'Locations Data'!$G:$G,$B10,'Locations Data'!$B:$B,FG$5)&gt;0,1,0)</f>
        <v>1</v>
      </c>
      <c r="FH10" s="6">
        <f>IF(SUMIFS('Locations Data'!$C:$C,'Locations Data'!$G:$G,$B10,'Locations Data'!$B:$B,FH$5)&gt;0,1,0)</f>
        <v>1</v>
      </c>
      <c r="FI10" s="6">
        <f>IF(SUMIFS('Locations Data'!$C:$C,'Locations Data'!$G:$G,$B10,'Locations Data'!$B:$B,FI$5)&gt;0,1,0)</f>
        <v>1</v>
      </c>
      <c r="FJ10" s="6">
        <f>IF(SUMIFS('Locations Data'!$C:$C,'Locations Data'!$G:$G,$B10,'Locations Data'!$B:$B,FJ$5)&gt;0,1,0)</f>
        <v>0</v>
      </c>
      <c r="FK10" s="6">
        <f>IF(SUMIFS('Locations Data'!$C:$C,'Locations Data'!$G:$G,$B10,'Locations Data'!$B:$B,FK$5)&gt;0,1,0)</f>
        <v>0</v>
      </c>
      <c r="FL10" s="6">
        <f>IF(SUMIFS('Locations Data'!$C:$C,'Locations Data'!$G:$G,$B10,'Locations Data'!$B:$B,FL$5)&gt;0,1,0)</f>
        <v>1</v>
      </c>
      <c r="FM10" s="6">
        <f>IF(SUMIFS('Locations Data'!$C:$C,'Locations Data'!$G:$G,$B10,'Locations Data'!$B:$B,FM$5)&gt;0,1,0)</f>
        <v>1</v>
      </c>
      <c r="FN10" s="6">
        <f>IF(SUMIFS('Locations Data'!$C:$C,'Locations Data'!$G:$G,$B10,'Locations Data'!$B:$B,FN$5)&gt;0,1,0)</f>
        <v>1</v>
      </c>
      <c r="FO10" s="6">
        <f>IF(SUMIFS('Locations Data'!$C:$C,'Locations Data'!$G:$G,$B10,'Locations Data'!$B:$B,FO$5)&gt;0,1,0)</f>
        <v>1</v>
      </c>
      <c r="FP10" s="6">
        <f>IF(SUMIFS('Locations Data'!$C:$C,'Locations Data'!$G:$G,$B10,'Locations Data'!$B:$B,FP$5)&gt;0,1,0)</f>
        <v>1</v>
      </c>
      <c r="FQ10" s="6">
        <f>IF(SUMIFS('Locations Data'!$C:$C,'Locations Data'!$G:$G,$B10,'Locations Data'!$B:$B,FQ$5)&gt;0,1,0)</f>
        <v>0</v>
      </c>
      <c r="FR10" s="6">
        <f>IF(SUMIFS('Locations Data'!$C:$C,'Locations Data'!$G:$G,$B10,'Locations Data'!$B:$B,FR$5)&gt;0,1,0)</f>
        <v>0</v>
      </c>
      <c r="FS10" s="6">
        <f>IF(SUMIFS('Locations Data'!$C:$C,'Locations Data'!$G:$G,$B10,'Locations Data'!$B:$B,FS$5)&gt;0,1,0)</f>
        <v>1</v>
      </c>
      <c r="FT10" s="6">
        <f>IF(SUMIFS('Locations Data'!$C:$C,'Locations Data'!$G:$G,$B10,'Locations Data'!$B:$B,FT$5)&gt;0,1,0)</f>
        <v>1</v>
      </c>
      <c r="FU10" s="6">
        <f>IF(SUMIFS('Locations Data'!$C:$C,'Locations Data'!$G:$G,$B10,'Locations Data'!$B:$B,FU$5)&gt;0,1,0)</f>
        <v>1</v>
      </c>
      <c r="FV10" s="6">
        <f>IF(SUMIFS('Locations Data'!$C:$C,'Locations Data'!$G:$G,$B10,'Locations Data'!$B:$B,FV$5)&gt;0,1,0)</f>
        <v>1</v>
      </c>
      <c r="FW10" s="6">
        <f>IF(SUMIFS('Locations Data'!$C:$C,'Locations Data'!$G:$G,$B10,'Locations Data'!$B:$B,FW$5)&gt;0,1,0)</f>
        <v>1</v>
      </c>
      <c r="FX10" s="6">
        <f>IF(SUMIFS('Locations Data'!$C:$C,'Locations Data'!$G:$G,$B10,'Locations Data'!$B:$B,FX$5)&gt;0,1,0)</f>
        <v>0</v>
      </c>
      <c r="FY10" s="6">
        <f>IF(SUMIFS('Locations Data'!$C:$C,'Locations Data'!$G:$G,$B10,'Locations Data'!$B:$B,FY$5)&gt;0,1,0)</f>
        <v>0</v>
      </c>
      <c r="FZ10" s="6">
        <f>IF(SUMIFS('Locations Data'!$C:$C,'Locations Data'!$G:$G,$B10,'Locations Data'!$B:$B,FZ$5)&gt;0,1,0)</f>
        <v>1</v>
      </c>
      <c r="GA10" s="6">
        <f>IF(SUMIFS('Locations Data'!$C:$C,'Locations Data'!$G:$G,$B10,'Locations Data'!$B:$B,GA$5)&gt;0,1,0)</f>
        <v>1</v>
      </c>
      <c r="GB10" s="6">
        <f>IF(SUMIFS('Locations Data'!$C:$C,'Locations Data'!$G:$G,$B10,'Locations Data'!$B:$B,GB$5)&gt;0,1,0)</f>
        <v>1</v>
      </c>
      <c r="GC10" s="6">
        <f>IF(SUMIFS('Locations Data'!$C:$C,'Locations Data'!$G:$G,$B10,'Locations Data'!$B:$B,GC$5)&gt;0,1,0)</f>
        <v>1</v>
      </c>
      <c r="GD10" s="6">
        <f>IF(SUMIFS('Locations Data'!$C:$C,'Locations Data'!$G:$G,$B10,'Locations Data'!$B:$B,GD$5)&gt;0,1,0)</f>
        <v>1</v>
      </c>
      <c r="GE10" s="6">
        <f>IF(SUMIFS('Locations Data'!$C:$C,'Locations Data'!$G:$G,$B10,'Locations Data'!$B:$B,GE$5)&gt;0,1,0)</f>
        <v>0</v>
      </c>
      <c r="GF10" s="6">
        <f>IF(SUMIFS('Locations Data'!$C:$C,'Locations Data'!$G:$G,$B10,'Locations Data'!$B:$B,GF$5)&gt;0,1,0)</f>
        <v>0</v>
      </c>
      <c r="GG10" s="6">
        <f>IF(SUMIFS('Locations Data'!$C:$C,'Locations Data'!$G:$G,$B10,'Locations Data'!$B:$B,GG$5)&gt;0,1,0)</f>
        <v>1</v>
      </c>
      <c r="GH10" s="6">
        <f>IF(SUMIFS('Locations Data'!$C:$C,'Locations Data'!$G:$G,$B10,'Locations Data'!$B:$B,GH$5)&gt;0,1,0)</f>
        <v>1</v>
      </c>
      <c r="GI10" s="6">
        <f>IF(SUMIFS('Locations Data'!$C:$C,'Locations Data'!$G:$G,$B10,'Locations Data'!$B:$B,GI$5)&gt;0,1,0)</f>
        <v>1</v>
      </c>
      <c r="GJ10" s="6">
        <f>IF(SUMIFS('Locations Data'!$C:$C,'Locations Data'!$G:$G,$B10,'Locations Data'!$B:$B,GJ$5)&gt;0,1,0)</f>
        <v>1</v>
      </c>
      <c r="GK10" s="6">
        <f>IF(SUMIFS('Locations Data'!$C:$C,'Locations Data'!$G:$G,$B10,'Locations Data'!$B:$B,GK$5)&gt;0,1,0)</f>
        <v>1</v>
      </c>
      <c r="GL10" s="6">
        <f>IF(SUMIFS('Locations Data'!$C:$C,'Locations Data'!$G:$G,$B10,'Locations Data'!$B:$B,GL$5)&gt;0,1,0)</f>
        <v>0</v>
      </c>
      <c r="GM10" s="6">
        <f>IF(SUMIFS('Locations Data'!$C:$C,'Locations Data'!$G:$G,$B10,'Locations Data'!$B:$B,GM$5)&gt;0,1,0)</f>
        <v>0</v>
      </c>
      <c r="GN10" s="6">
        <f>IF(SUMIFS('Locations Data'!$C:$C,'Locations Data'!$G:$G,$B10,'Locations Data'!$B:$B,GN$5)&gt;0,1,0)</f>
        <v>1</v>
      </c>
      <c r="GO10" s="6">
        <f>IF(SUMIFS('Locations Data'!$C:$C,'Locations Data'!$G:$G,$B10,'Locations Data'!$B:$B,GO$5)&gt;0,1,0)</f>
        <v>1</v>
      </c>
      <c r="GP10" s="6">
        <f>IF(SUMIFS('Locations Data'!$C:$C,'Locations Data'!$G:$G,$B10,'Locations Data'!$B:$B,GP$5)&gt;0,1,0)</f>
        <v>1</v>
      </c>
      <c r="GQ10" s="6">
        <f>IF(SUMIFS('Locations Data'!$C:$C,'Locations Data'!$G:$G,$B10,'Locations Data'!$B:$B,GQ$5)&gt;0,1,0)</f>
        <v>1</v>
      </c>
      <c r="GR10" s="6">
        <f>IF(SUMIFS('Locations Data'!$C:$C,'Locations Data'!$G:$G,$B10,'Locations Data'!$B:$B,GR$5)&gt;0,1,0)</f>
        <v>1</v>
      </c>
      <c r="GS10" s="6">
        <f>IF(SUMIFS('Locations Data'!$C:$C,'Locations Data'!$G:$G,$B10,'Locations Data'!$B:$B,GS$5)&gt;0,1,0)</f>
        <v>0</v>
      </c>
      <c r="GT10" s="6">
        <f>IF(SUMIFS('Locations Data'!$C:$C,'Locations Data'!$G:$G,$B10,'Locations Data'!$B:$B,GT$5)&gt;0,1,0)</f>
        <v>0</v>
      </c>
      <c r="GU10" s="6">
        <f>IF(SUMIFS('Locations Data'!$C:$C,'Locations Data'!$G:$G,$B10,'Locations Data'!$B:$B,GU$5)&gt;0,1,0)</f>
        <v>1</v>
      </c>
      <c r="GV10" s="6">
        <f>IF(SUMIFS('Locations Data'!$C:$C,'Locations Data'!$G:$G,$B10,'Locations Data'!$B:$B,GV$5)&gt;0,1,0)</f>
        <v>1</v>
      </c>
      <c r="GW10" s="6">
        <f>IF(SUMIFS('Locations Data'!$C:$C,'Locations Data'!$G:$G,$B10,'Locations Data'!$B:$B,GW$5)&gt;0,1,0)</f>
        <v>1</v>
      </c>
      <c r="GX10" s="6">
        <f>IF(SUMIFS('Locations Data'!$C:$C,'Locations Data'!$G:$G,$B10,'Locations Data'!$B:$B,GX$5)&gt;0,1,0)</f>
        <v>1</v>
      </c>
      <c r="GY10" s="6">
        <f>IF(SUMIFS('Locations Data'!$C:$C,'Locations Data'!$G:$G,$B10,'Locations Data'!$B:$B,GY$5)&gt;0,1,0)</f>
        <v>1</v>
      </c>
      <c r="GZ10" s="6">
        <f>IF(SUMIFS('Locations Data'!$C:$C,'Locations Data'!$G:$G,$B10,'Locations Data'!$B:$B,GZ$5)&gt;0,1,0)</f>
        <v>0</v>
      </c>
      <c r="HA10" s="6">
        <f>IF(SUMIFS('Locations Data'!$C:$C,'Locations Data'!$G:$G,$B10,'Locations Data'!$B:$B,HA$5)&gt;0,1,0)</f>
        <v>0</v>
      </c>
      <c r="HB10" s="6">
        <f>IF(SUMIFS('Locations Data'!$C:$C,'Locations Data'!$G:$G,$B10,'Locations Data'!$B:$B,HB$5)&gt;0,1,0)</f>
        <v>1</v>
      </c>
      <c r="HC10" s="6">
        <f>IF(SUMIFS('Locations Data'!$C:$C,'Locations Data'!$G:$G,$B10,'Locations Data'!$B:$B,HC$5)&gt;0,1,0)</f>
        <v>1</v>
      </c>
      <c r="HD10" s="6">
        <f>IF(SUMIFS('Locations Data'!$C:$C,'Locations Data'!$G:$G,$B10,'Locations Data'!$B:$B,HD$5)&gt;0,1,0)</f>
        <v>1</v>
      </c>
      <c r="HE10" s="6">
        <f>IF(SUMIFS('Locations Data'!$C:$C,'Locations Data'!$G:$G,$B10,'Locations Data'!$B:$B,HE$5)&gt;0,1,0)</f>
        <v>1</v>
      </c>
      <c r="HF10" s="6">
        <f>IF(SUMIFS('Locations Data'!$C:$C,'Locations Data'!$G:$G,$B10,'Locations Data'!$B:$B,HF$5)&gt;0,1,0)</f>
        <v>1</v>
      </c>
      <c r="HG10" s="6">
        <f>IF(SUMIFS('Locations Data'!$C:$C,'Locations Data'!$G:$G,$B10,'Locations Data'!$B:$B,HG$5)&gt;0,1,0)</f>
        <v>0</v>
      </c>
      <c r="HH10" s="6">
        <f>IF(SUMIFS('Locations Data'!$C:$C,'Locations Data'!$G:$G,$B10,'Locations Data'!$B:$B,HH$5)&gt;0,1,0)</f>
        <v>0</v>
      </c>
      <c r="HI10" s="6">
        <f>IF(SUMIFS('Locations Data'!$C:$C,'Locations Data'!$G:$G,$B10,'Locations Data'!$B:$B,HI$5)&gt;0,1,0)</f>
        <v>1</v>
      </c>
      <c r="HJ10" s="6">
        <f>IF(SUMIFS('Locations Data'!$C:$C,'Locations Data'!$G:$G,$B10,'Locations Data'!$B:$B,HJ$5)&gt;0,1,0)</f>
        <v>1</v>
      </c>
      <c r="HK10" s="6">
        <f>IF(SUMIFS('Locations Data'!$C:$C,'Locations Data'!$G:$G,$B10,'Locations Data'!$B:$B,HK$5)&gt;0,1,0)</f>
        <v>1</v>
      </c>
      <c r="HL10" s="6">
        <f>IF(SUMIFS('Locations Data'!$C:$C,'Locations Data'!$G:$G,$B10,'Locations Data'!$B:$B,HL$5)&gt;0,1,0)</f>
        <v>1</v>
      </c>
      <c r="HM10" s="6">
        <f>IF(SUMIFS('Locations Data'!$C:$C,'Locations Data'!$G:$G,$B10,'Locations Data'!$B:$B,HM$5)&gt;0,1,0)</f>
        <v>1</v>
      </c>
      <c r="HN10" s="6">
        <f>IF(SUMIFS('Locations Data'!$C:$C,'Locations Data'!$G:$G,$B10,'Locations Data'!$B:$B,HN$5)&gt;0,1,0)</f>
        <v>0</v>
      </c>
      <c r="HO10" s="6">
        <f>IF(SUMIFS('Locations Data'!$C:$C,'Locations Data'!$G:$G,$B10,'Locations Data'!$B:$B,HO$5)&gt;0,1,0)</f>
        <v>0</v>
      </c>
      <c r="HP10" s="6">
        <f>IF(SUMIFS('Locations Data'!$C:$C,'Locations Data'!$G:$G,$B10,'Locations Data'!$B:$B,HP$5)&gt;0,1,0)</f>
        <v>1</v>
      </c>
      <c r="HQ10" s="6">
        <f>IF(SUMIFS('Locations Data'!$C:$C,'Locations Data'!$G:$G,$B10,'Locations Data'!$B:$B,HQ$5)&gt;0,1,0)</f>
        <v>1</v>
      </c>
      <c r="HR10" s="6">
        <f>IF(SUMIFS('Locations Data'!$C:$C,'Locations Data'!$G:$G,$B10,'Locations Data'!$B:$B,HR$5)&gt;0,1,0)</f>
        <v>1</v>
      </c>
      <c r="HS10" s="6">
        <f>IF(SUMIFS('Locations Data'!$C:$C,'Locations Data'!$G:$G,$B10,'Locations Data'!$B:$B,HS$5)&gt;0,1,0)</f>
        <v>1</v>
      </c>
      <c r="HT10" s="6">
        <f>IF(SUMIFS('Locations Data'!$C:$C,'Locations Data'!$G:$G,$B10,'Locations Data'!$B:$B,HT$5)&gt;0,1,0)</f>
        <v>1</v>
      </c>
      <c r="HU10" s="6">
        <f>IF(SUMIFS('Locations Data'!$C:$C,'Locations Data'!$G:$G,$B10,'Locations Data'!$B:$B,HU$5)&gt;0,1,0)</f>
        <v>0</v>
      </c>
      <c r="HV10" s="6">
        <f>IF(SUMIFS('Locations Data'!$C:$C,'Locations Data'!$G:$G,$B10,'Locations Data'!$B:$B,HV$5)&gt;0,1,0)</f>
        <v>0</v>
      </c>
      <c r="HW10" s="6">
        <f>IF(SUMIFS('Locations Data'!$C:$C,'Locations Data'!$G:$G,$B10,'Locations Data'!$B:$B,HW$5)&gt;0,1,0)</f>
        <v>1</v>
      </c>
      <c r="HX10" s="6">
        <f>IF(SUMIFS('Locations Data'!$C:$C,'Locations Data'!$G:$G,$B10,'Locations Data'!$B:$B,HX$5)&gt;0,1,0)</f>
        <v>1</v>
      </c>
      <c r="HY10" s="6">
        <f>IF(SUMIFS('Locations Data'!$C:$C,'Locations Data'!$G:$G,$B10,'Locations Data'!$B:$B,HY$5)&gt;0,1,0)</f>
        <v>1</v>
      </c>
      <c r="HZ10" s="6">
        <f>IF(SUMIFS('Locations Data'!$C:$C,'Locations Data'!$G:$G,$B10,'Locations Data'!$B:$B,HZ$5)&gt;0,1,0)</f>
        <v>1</v>
      </c>
      <c r="IA10" s="6">
        <f>IF(SUMIFS('Locations Data'!$C:$C,'Locations Data'!$G:$G,$B10,'Locations Data'!$B:$B,IA$5)&gt;0,1,0)</f>
        <v>1</v>
      </c>
      <c r="IB10" s="6">
        <f>IF(SUMIFS('Locations Data'!$C:$C,'Locations Data'!$G:$G,$B10,'Locations Data'!$B:$B,IB$5)&gt;0,1,0)</f>
        <v>0</v>
      </c>
      <c r="IC10" s="6">
        <f>IF(SUMIFS('Locations Data'!$C:$C,'Locations Data'!$G:$G,$B10,'Locations Data'!$B:$B,IC$5)&gt;0,1,0)</f>
        <v>0</v>
      </c>
      <c r="ID10" s="6">
        <f>IF(SUMIFS('Locations Data'!$C:$C,'Locations Data'!$G:$G,$B10,'Locations Data'!$B:$B,ID$5)&gt;0,1,0)</f>
        <v>1</v>
      </c>
      <c r="IE10" s="6">
        <f>IF(SUMIFS('Locations Data'!$C:$C,'Locations Data'!$G:$G,$B10,'Locations Data'!$B:$B,IE$5)&gt;0,1,0)</f>
        <v>1</v>
      </c>
      <c r="IF10" s="6">
        <f>IF(SUMIFS('Locations Data'!$C:$C,'Locations Data'!$G:$G,$B10,'Locations Data'!$B:$B,IF$5)&gt;0,1,0)</f>
        <v>1</v>
      </c>
      <c r="IG10" s="6">
        <f>IF(SUMIFS('Locations Data'!$C:$C,'Locations Data'!$G:$G,$B10,'Locations Data'!$B:$B,IG$5)&gt;0,1,0)</f>
        <v>1</v>
      </c>
      <c r="IH10" s="6">
        <f>IF(SUMIFS('Locations Data'!$C:$C,'Locations Data'!$G:$G,$B10,'Locations Data'!$B:$B,IH$5)&gt;0,1,0)</f>
        <v>1</v>
      </c>
      <c r="II10" s="6">
        <f>IF(SUMIFS('Locations Data'!$C:$C,'Locations Data'!$G:$G,$B10,'Locations Data'!$B:$B,II$5)&gt;0,1,0)</f>
        <v>0</v>
      </c>
      <c r="IJ10" s="6">
        <f>IF(SUMIFS('Locations Data'!$C:$C,'Locations Data'!$G:$G,$B10,'Locations Data'!$B:$B,IJ$5)&gt;0,1,0)</f>
        <v>0</v>
      </c>
      <c r="IK10" s="6">
        <f>IF(SUMIFS('Locations Data'!$C:$C,'Locations Data'!$G:$G,$B10,'Locations Data'!$B:$B,IK$5)&gt;0,1,0)</f>
        <v>1</v>
      </c>
      <c r="IL10" s="6">
        <f>IF(SUMIFS('Locations Data'!$C:$C,'Locations Data'!$G:$G,$B10,'Locations Data'!$B:$B,IL$5)&gt;0,1,0)</f>
        <v>1</v>
      </c>
      <c r="IM10" s="6">
        <f>IF(SUMIFS('Locations Data'!$C:$C,'Locations Data'!$G:$G,$B10,'Locations Data'!$B:$B,IM$5)&gt;0,1,0)</f>
        <v>1</v>
      </c>
      <c r="IN10" s="6">
        <f>IF(SUMIFS('Locations Data'!$C:$C,'Locations Data'!$G:$G,$B10,'Locations Data'!$B:$B,IN$5)&gt;0,1,0)</f>
        <v>1</v>
      </c>
      <c r="IO10" s="6">
        <f>IF(SUMIFS('Locations Data'!$C:$C,'Locations Data'!$G:$G,$B10,'Locations Data'!$B:$B,IO$5)&gt;0,1,0)</f>
        <v>1</v>
      </c>
      <c r="IP10" s="6">
        <f>IF(SUMIFS('Locations Data'!$C:$C,'Locations Data'!$G:$G,$B10,'Locations Data'!$B:$B,IP$5)&gt;0,1,0)</f>
        <v>0</v>
      </c>
      <c r="IQ10" s="6">
        <f>IF(SUMIFS('Locations Data'!$C:$C,'Locations Data'!$G:$G,$B10,'Locations Data'!$B:$B,IQ$5)&gt;0,1,0)</f>
        <v>0</v>
      </c>
      <c r="IR10" s="6">
        <f>IF(SUMIFS('Locations Data'!$C:$C,'Locations Data'!$G:$G,$B10,'Locations Data'!$B:$B,IR$5)&gt;0,1,0)</f>
        <v>1</v>
      </c>
      <c r="IS10" s="6">
        <f>IF(SUMIFS('Locations Data'!$C:$C,'Locations Data'!$G:$G,$B10,'Locations Data'!$B:$B,IS$5)&gt;0,1,0)</f>
        <v>1</v>
      </c>
      <c r="IT10" s="6">
        <f>IF(SUMIFS('Locations Data'!$C:$C,'Locations Data'!$G:$G,$B10,'Locations Data'!$B:$B,IT$5)&gt;0,1,0)</f>
        <v>1</v>
      </c>
      <c r="IU10" s="6">
        <f>IF(SUMIFS('Locations Data'!$C:$C,'Locations Data'!$G:$G,$B10,'Locations Data'!$B:$B,IU$5)&gt;0,1,0)</f>
        <v>1</v>
      </c>
      <c r="IV10" s="6">
        <f>IF(SUMIFS('Locations Data'!$C:$C,'Locations Data'!$G:$G,$B10,'Locations Data'!$B:$B,IV$5)&gt;0,1,0)</f>
        <v>1</v>
      </c>
      <c r="IW10" s="6">
        <f>IF(SUMIFS('Locations Data'!$C:$C,'Locations Data'!$G:$G,$B10,'Locations Data'!$B:$B,IW$5)&gt;0,1,0)</f>
        <v>0</v>
      </c>
      <c r="IX10" s="6">
        <f>IF(SUMIFS('Locations Data'!$C:$C,'Locations Data'!$G:$G,$B10,'Locations Data'!$B:$B,IX$5)&gt;0,1,0)</f>
        <v>0</v>
      </c>
      <c r="IY10" s="6">
        <f>IF(SUMIFS('Locations Data'!$C:$C,'Locations Data'!$G:$G,$B10,'Locations Data'!$B:$B,IY$5)&gt;0,1,0)</f>
        <v>1</v>
      </c>
      <c r="IZ10" s="6">
        <f>IF(SUMIFS('Locations Data'!$C:$C,'Locations Data'!$G:$G,$B10,'Locations Data'!$B:$B,IZ$5)&gt;0,1,0)</f>
        <v>1</v>
      </c>
      <c r="JA10" s="6">
        <f>IF(SUMIFS('Locations Data'!$C:$C,'Locations Data'!$G:$G,$B10,'Locations Data'!$B:$B,JA$5)&gt;0,1,0)</f>
        <v>1</v>
      </c>
      <c r="JB10" s="6">
        <f>IF(SUMIFS('Locations Data'!$C:$C,'Locations Data'!$G:$G,$B10,'Locations Data'!$B:$B,JB$5)&gt;0,1,0)</f>
        <v>1</v>
      </c>
      <c r="JC10" s="6">
        <f>IF(SUMIFS('Locations Data'!$C:$C,'Locations Data'!$G:$G,$B10,'Locations Data'!$B:$B,JC$5)&gt;0,1,0)</f>
        <v>1</v>
      </c>
      <c r="JD10" s="6">
        <f>IF(SUMIFS('Locations Data'!$C:$C,'Locations Data'!$G:$G,$B10,'Locations Data'!$B:$B,JD$5)&gt;0,1,0)</f>
        <v>0</v>
      </c>
      <c r="JE10" s="6">
        <f>IF(SUMIFS('Locations Data'!$C:$C,'Locations Data'!$G:$G,$B10,'Locations Data'!$B:$B,JE$5)&gt;0,1,0)</f>
        <v>0</v>
      </c>
      <c r="JF10" s="6">
        <f>IF(SUMIFS('Locations Data'!$C:$C,'Locations Data'!$G:$G,$B10,'Locations Data'!$B:$B,JF$5)&gt;0,1,0)</f>
        <v>1</v>
      </c>
      <c r="JG10" s="6">
        <f>IF(SUMIFS('Locations Data'!$C:$C,'Locations Data'!$G:$G,$B10,'Locations Data'!$B:$B,JG$5)&gt;0,1,0)</f>
        <v>1</v>
      </c>
      <c r="JH10" s="6">
        <f>IF(SUMIFS('Locations Data'!$C:$C,'Locations Data'!$G:$G,$B10,'Locations Data'!$B:$B,JH$5)&gt;0,1,0)</f>
        <v>1</v>
      </c>
      <c r="JI10" s="6">
        <f>IF(SUMIFS('Locations Data'!$C:$C,'Locations Data'!$G:$G,$B10,'Locations Data'!$B:$B,JI$5)&gt;0,1,0)</f>
        <v>1</v>
      </c>
      <c r="JJ10" s="6">
        <f>IF(SUMIFS('Locations Data'!$C:$C,'Locations Data'!$G:$G,$B10,'Locations Data'!$B:$B,JJ$5)&gt;0,1,0)</f>
        <v>1</v>
      </c>
      <c r="JK10" s="6">
        <f>IF(SUMIFS('Locations Data'!$C:$C,'Locations Data'!$G:$G,$B10,'Locations Data'!$B:$B,JK$5)&gt;0,1,0)</f>
        <v>0</v>
      </c>
      <c r="JL10" s="6">
        <f>IF(SUMIFS('Locations Data'!$C:$C,'Locations Data'!$G:$G,$B10,'Locations Data'!$B:$B,JL$5)&gt;0,1,0)</f>
        <v>0</v>
      </c>
      <c r="JM10" s="6">
        <f>IF(SUMIFS('Locations Data'!$C:$C,'Locations Data'!$G:$G,$B10,'Locations Data'!$B:$B,JM$5)&gt;0,1,0)</f>
        <v>1</v>
      </c>
      <c r="JN10" s="6">
        <f>IF(SUMIFS('Locations Data'!$C:$C,'Locations Data'!$G:$G,$B10,'Locations Data'!$B:$B,JN$5)&gt;0,1,0)</f>
        <v>1</v>
      </c>
      <c r="JO10" s="6">
        <f>IF(SUMIFS('Locations Data'!$C:$C,'Locations Data'!$G:$G,$B10,'Locations Data'!$B:$B,JO$5)&gt;0,1,0)</f>
        <v>1</v>
      </c>
      <c r="JP10" s="6">
        <f>IF(SUMIFS('Locations Data'!$C:$C,'Locations Data'!$G:$G,$B10,'Locations Data'!$B:$B,JP$5)&gt;0,1,0)</f>
        <v>1</v>
      </c>
      <c r="JQ10" s="6">
        <f>IF(SUMIFS('Locations Data'!$C:$C,'Locations Data'!$G:$G,$B10,'Locations Data'!$B:$B,JQ$5)&gt;0,1,0)</f>
        <v>1</v>
      </c>
      <c r="JR10" s="6">
        <f>IF(SUMIFS('Locations Data'!$C:$C,'Locations Data'!$G:$G,$B10,'Locations Data'!$B:$B,JR$5)&gt;0,1,0)</f>
        <v>0</v>
      </c>
      <c r="JS10" s="6">
        <f>IF(SUMIFS('Locations Data'!$C:$C,'Locations Data'!$G:$G,$B10,'Locations Data'!$B:$B,JS$5)&gt;0,1,0)</f>
        <v>0</v>
      </c>
      <c r="JT10" s="6">
        <f>IF(SUMIFS('Locations Data'!$C:$C,'Locations Data'!$G:$G,$B10,'Locations Data'!$B:$B,JT$5)&gt;0,1,0)</f>
        <v>1</v>
      </c>
      <c r="JU10" s="6">
        <f>IF(SUMIFS('Locations Data'!$C:$C,'Locations Data'!$G:$G,$B10,'Locations Data'!$B:$B,JU$5)&gt;0,1,0)</f>
        <v>1</v>
      </c>
      <c r="JV10" s="6">
        <f>IF(SUMIFS('Locations Data'!$C:$C,'Locations Data'!$G:$G,$B10,'Locations Data'!$B:$B,JV$5)&gt;0,1,0)</f>
        <v>1</v>
      </c>
      <c r="JW10" s="6">
        <f>IF(SUMIFS('Locations Data'!$C:$C,'Locations Data'!$G:$G,$B10,'Locations Data'!$B:$B,JW$5)&gt;0,1,0)</f>
        <v>1</v>
      </c>
      <c r="JX10" s="6">
        <f>IF(SUMIFS('Locations Data'!$C:$C,'Locations Data'!$G:$G,$B10,'Locations Data'!$B:$B,JX$5)&gt;0,1,0)</f>
        <v>1</v>
      </c>
      <c r="JY10" s="6">
        <f>IF(SUMIFS('Locations Data'!$C:$C,'Locations Data'!$G:$G,$B10,'Locations Data'!$B:$B,JY$5)&gt;0,1,0)</f>
        <v>0</v>
      </c>
      <c r="JZ10" s="6">
        <f>IF(SUMIFS('Locations Data'!$C:$C,'Locations Data'!$G:$G,$B10,'Locations Data'!$B:$B,JZ$5)&gt;0,1,0)</f>
        <v>0</v>
      </c>
      <c r="KA10" s="6">
        <f>IF(SUMIFS('Locations Data'!$C:$C,'Locations Data'!$G:$G,$B10,'Locations Data'!$B:$B,KA$5)&gt;0,1,0)</f>
        <v>1</v>
      </c>
      <c r="KB10" s="6">
        <f>IF(SUMIFS('Locations Data'!$C:$C,'Locations Data'!$G:$G,$B10,'Locations Data'!$B:$B,KB$5)&gt;0,1,0)</f>
        <v>1</v>
      </c>
      <c r="KC10" s="6">
        <f>IF(SUMIFS('Locations Data'!$C:$C,'Locations Data'!$G:$G,$B10,'Locations Data'!$B:$B,KC$5)&gt;0,1,0)</f>
        <v>1</v>
      </c>
      <c r="KD10" s="6">
        <f>IF(SUMIFS('Locations Data'!$C:$C,'Locations Data'!$G:$G,$B10,'Locations Data'!$B:$B,KD$5)&gt;0,1,0)</f>
        <v>1</v>
      </c>
      <c r="KE10" s="6">
        <f>IF(SUMIFS('Locations Data'!$C:$C,'Locations Data'!$G:$G,$B10,'Locations Data'!$B:$B,KE$5)&gt;0,1,0)</f>
        <v>1</v>
      </c>
      <c r="KF10" s="6">
        <f>IF(SUMIFS('Locations Data'!$C:$C,'Locations Data'!$G:$G,$B10,'Locations Data'!$B:$B,KF$5)&gt;0,1,0)</f>
        <v>0</v>
      </c>
      <c r="KG10" s="6">
        <f>IF(SUMIFS('Locations Data'!$C:$C,'Locations Data'!$G:$G,$B10,'Locations Data'!$B:$B,KG$5)&gt;0,1,0)</f>
        <v>0</v>
      </c>
      <c r="KH10" s="6">
        <f>IF(SUMIFS('Locations Data'!$C:$C,'Locations Data'!$G:$G,$B10,'Locations Data'!$B:$B,KH$5)&gt;0,1,0)</f>
        <v>1</v>
      </c>
      <c r="KI10" s="6">
        <f>IF(SUMIFS('Locations Data'!$C:$C,'Locations Data'!$G:$G,$B10,'Locations Data'!$B:$B,KI$5)&gt;0,1,0)</f>
        <v>1</v>
      </c>
      <c r="KJ10" s="6">
        <f>IF(SUMIFS('Locations Data'!$C:$C,'Locations Data'!$G:$G,$B10,'Locations Data'!$B:$B,KJ$5)&gt;0,1,0)</f>
        <v>1</v>
      </c>
      <c r="KK10" s="6">
        <f>IF(SUMIFS('Locations Data'!$C:$C,'Locations Data'!$G:$G,$B10,'Locations Data'!$B:$B,KK$5)&gt;0,1,0)</f>
        <v>1</v>
      </c>
      <c r="KL10" s="6">
        <f>IF(SUMIFS('Locations Data'!$C:$C,'Locations Data'!$G:$G,$B10,'Locations Data'!$B:$B,KL$5)&gt;0,1,0)</f>
        <v>1</v>
      </c>
      <c r="KM10" s="6">
        <f>IF(SUMIFS('Locations Data'!$C:$C,'Locations Data'!$G:$G,$B10,'Locations Data'!$B:$B,KM$5)&gt;0,1,0)</f>
        <v>0</v>
      </c>
      <c r="KN10" s="6">
        <f>IF(SUMIFS('Locations Data'!$C:$C,'Locations Data'!$G:$G,$B10,'Locations Data'!$B:$B,KN$5)&gt;0,1,0)</f>
        <v>0</v>
      </c>
      <c r="KO10" s="6">
        <f>IF(SUMIFS('Locations Data'!$C:$C,'Locations Data'!$G:$G,$B10,'Locations Data'!$B:$B,KO$5)&gt;0,1,0)</f>
        <v>1</v>
      </c>
      <c r="KP10" s="6">
        <f>IF(SUMIFS('Locations Data'!$C:$C,'Locations Data'!$G:$G,$B10,'Locations Data'!$B:$B,KP$5)&gt;0,1,0)</f>
        <v>1</v>
      </c>
      <c r="KQ10" s="6">
        <f>IF(SUMIFS('Locations Data'!$C:$C,'Locations Data'!$G:$G,$B10,'Locations Data'!$B:$B,KQ$5)&gt;0,1,0)</f>
        <v>1</v>
      </c>
      <c r="KR10" s="6">
        <f>IF(SUMIFS('Locations Data'!$C:$C,'Locations Data'!$G:$G,$B10,'Locations Data'!$B:$B,KR$5)&gt;0,1,0)</f>
        <v>1</v>
      </c>
      <c r="KS10" s="6">
        <f>IF(SUMIFS('Locations Data'!$C:$C,'Locations Data'!$G:$G,$B10,'Locations Data'!$B:$B,KS$5)&gt;0,1,0)</f>
        <v>1</v>
      </c>
      <c r="KT10" s="6">
        <f>IF(SUMIFS('Locations Data'!$C:$C,'Locations Data'!$G:$G,$B10,'Locations Data'!$B:$B,KT$5)&gt;0,1,0)</f>
        <v>0</v>
      </c>
      <c r="KU10" s="6">
        <f>IF(SUMIFS('Locations Data'!$C:$C,'Locations Data'!$G:$G,$B10,'Locations Data'!$B:$B,KU$5)&gt;0,1,0)</f>
        <v>0</v>
      </c>
      <c r="KV10" s="6">
        <f>IF(SUMIFS('Locations Data'!$C:$C,'Locations Data'!$G:$G,$B10,'Locations Data'!$B:$B,KV$5)&gt;0,1,0)</f>
        <v>1</v>
      </c>
      <c r="KW10" s="6">
        <f>IF(SUMIFS('Locations Data'!$C:$C,'Locations Data'!$G:$G,$B10,'Locations Data'!$B:$B,KW$5)&gt;0,1,0)</f>
        <v>1</v>
      </c>
      <c r="KX10" s="6">
        <f>IF(SUMIFS('Locations Data'!$C:$C,'Locations Data'!$G:$G,$B10,'Locations Data'!$B:$B,KX$5)&gt;0,1,0)</f>
        <v>1</v>
      </c>
      <c r="KY10" s="6">
        <f>IF(SUMIFS('Locations Data'!$C:$C,'Locations Data'!$G:$G,$B10,'Locations Data'!$B:$B,KY$5)&gt;0,1,0)</f>
        <v>1</v>
      </c>
      <c r="KZ10" s="6">
        <f>IF(SUMIFS('Locations Data'!$C:$C,'Locations Data'!$G:$G,$B10,'Locations Data'!$B:$B,KZ$5)&gt;0,1,0)</f>
        <v>1</v>
      </c>
      <c r="LA10" s="6">
        <f>IF(SUMIFS('Locations Data'!$C:$C,'Locations Data'!$G:$G,$B10,'Locations Data'!$B:$B,LA$5)&gt;0,1,0)</f>
        <v>0</v>
      </c>
      <c r="LB10" s="6">
        <f>IF(SUMIFS('Locations Data'!$C:$C,'Locations Data'!$G:$G,$B10,'Locations Data'!$B:$B,LB$5)&gt;0,1,0)</f>
        <v>0</v>
      </c>
      <c r="LC10" s="6">
        <f>IF(SUMIFS('Locations Data'!$C:$C,'Locations Data'!$G:$G,$B10,'Locations Data'!$B:$B,LC$5)&gt;0,1,0)</f>
        <v>1</v>
      </c>
      <c r="LD10" s="6">
        <f>IF(SUMIFS('Locations Data'!$C:$C,'Locations Data'!$G:$G,$B10,'Locations Data'!$B:$B,LD$5)&gt;0,1,0)</f>
        <v>1</v>
      </c>
      <c r="LE10" s="6">
        <f>IF(SUMIFS('Locations Data'!$C:$C,'Locations Data'!$G:$G,$B10,'Locations Data'!$B:$B,LE$5)&gt;0,1,0)</f>
        <v>1</v>
      </c>
      <c r="LF10" s="6">
        <f>IF(SUMIFS('Locations Data'!$C:$C,'Locations Data'!$G:$G,$B10,'Locations Data'!$B:$B,LF$5)&gt;0,1,0)</f>
        <v>1</v>
      </c>
      <c r="LG10" s="6">
        <f>IF(SUMIFS('Locations Data'!$C:$C,'Locations Data'!$G:$G,$B10,'Locations Data'!$B:$B,LG$5)&gt;0,1,0)</f>
        <v>1</v>
      </c>
      <c r="LH10" s="6">
        <f>IF(SUMIFS('Locations Data'!$C:$C,'Locations Data'!$G:$G,$B10,'Locations Data'!$B:$B,LH$5)&gt;0,1,0)</f>
        <v>0</v>
      </c>
      <c r="LI10" s="6">
        <f>IF(SUMIFS('Locations Data'!$C:$C,'Locations Data'!$G:$G,$B10,'Locations Data'!$B:$B,LI$5)&gt;0,1,0)</f>
        <v>0</v>
      </c>
      <c r="LJ10" s="6">
        <f>IF(SUMIFS('Locations Data'!$C:$C,'Locations Data'!$G:$G,$B10,'Locations Data'!$B:$B,LJ$5)&gt;0,1,0)</f>
        <v>1</v>
      </c>
      <c r="LK10" s="6">
        <f>IF(SUMIFS('Locations Data'!$C:$C,'Locations Data'!$G:$G,$B10,'Locations Data'!$B:$B,LK$5)&gt;0,1,0)</f>
        <v>1</v>
      </c>
      <c r="LL10" s="6">
        <f>IF(SUMIFS('Locations Data'!$C:$C,'Locations Data'!$G:$G,$B10,'Locations Data'!$B:$B,LL$5)&gt;0,1,0)</f>
        <v>1</v>
      </c>
      <c r="LM10" s="6">
        <f>IF(SUMIFS('Locations Data'!$C:$C,'Locations Data'!$G:$G,$B10,'Locations Data'!$B:$B,LM$5)&gt;0,1,0)</f>
        <v>1</v>
      </c>
      <c r="LN10" s="6">
        <f>IF(SUMIFS('Locations Data'!$C:$C,'Locations Data'!$G:$G,$B10,'Locations Data'!$B:$B,LN$5)&gt;0,1,0)</f>
        <v>1</v>
      </c>
      <c r="LO10" s="6">
        <f>IF(SUMIFS('Locations Data'!$C:$C,'Locations Data'!$G:$G,$B10,'Locations Data'!$B:$B,LO$5)&gt;0,1,0)</f>
        <v>0</v>
      </c>
      <c r="LP10" s="6">
        <f>IF(SUMIFS('Locations Data'!$C:$C,'Locations Data'!$G:$G,$B10,'Locations Data'!$B:$B,LP$5)&gt;0,1,0)</f>
        <v>0</v>
      </c>
      <c r="LQ10" s="6">
        <f>IF(SUMIFS('Locations Data'!$C:$C,'Locations Data'!$G:$G,$B10,'Locations Data'!$B:$B,LQ$5)&gt;0,1,0)</f>
        <v>1</v>
      </c>
      <c r="LR10" s="6">
        <f>IF(SUMIFS('Locations Data'!$C:$C,'Locations Data'!$G:$G,$B10,'Locations Data'!$B:$B,LR$5)&gt;0,1,0)</f>
        <v>1</v>
      </c>
      <c r="LS10" s="6">
        <f>IF(SUMIFS('Locations Data'!$C:$C,'Locations Data'!$G:$G,$B10,'Locations Data'!$B:$B,LS$5)&gt;0,1,0)</f>
        <v>1</v>
      </c>
      <c r="LT10" s="6">
        <f>IF(SUMIFS('Locations Data'!$C:$C,'Locations Data'!$G:$G,$B10,'Locations Data'!$B:$B,LT$5)&gt;0,1,0)</f>
        <v>1</v>
      </c>
      <c r="LU10" s="6">
        <f>IF(SUMIFS('Locations Data'!$C:$C,'Locations Data'!$G:$G,$B10,'Locations Data'!$B:$B,LU$5)&gt;0,1,0)</f>
        <v>1</v>
      </c>
      <c r="LV10" s="6">
        <f>IF(SUMIFS('Locations Data'!$C:$C,'Locations Data'!$G:$G,$B10,'Locations Data'!$B:$B,LV$5)&gt;0,1,0)</f>
        <v>0</v>
      </c>
      <c r="LW10" s="6">
        <f>IF(SUMIFS('Locations Data'!$C:$C,'Locations Data'!$G:$G,$B10,'Locations Data'!$B:$B,LW$5)&gt;0,1,0)</f>
        <v>0</v>
      </c>
      <c r="LX10" s="6">
        <f>IF(SUMIFS('Locations Data'!$C:$C,'Locations Data'!$G:$G,$B10,'Locations Data'!$B:$B,LX$5)&gt;0,1,0)</f>
        <v>1</v>
      </c>
      <c r="LY10" s="6">
        <f>IF(SUMIFS('Locations Data'!$C:$C,'Locations Data'!$G:$G,$B10,'Locations Data'!$B:$B,LY$5)&gt;0,1,0)</f>
        <v>1</v>
      </c>
      <c r="LZ10" s="6">
        <f>IF(SUMIFS('Locations Data'!$C:$C,'Locations Data'!$G:$G,$B10,'Locations Data'!$B:$B,LZ$5)&gt;0,1,0)</f>
        <v>1</v>
      </c>
      <c r="MA10" s="6">
        <f>IF(SUMIFS('Locations Data'!$C:$C,'Locations Data'!$G:$G,$B10,'Locations Data'!$B:$B,MA$5)&gt;0,1,0)</f>
        <v>1</v>
      </c>
      <c r="MB10" s="6">
        <f>IF(SUMIFS('Locations Data'!$C:$C,'Locations Data'!$G:$G,$B10,'Locations Data'!$B:$B,MB$5)&gt;0,1,0)</f>
        <v>1</v>
      </c>
      <c r="MC10" s="6">
        <f>IF(SUMIFS('Locations Data'!$C:$C,'Locations Data'!$G:$G,$B10,'Locations Data'!$B:$B,MC$5)&gt;0,1,0)</f>
        <v>0</v>
      </c>
      <c r="MD10" s="6">
        <f>IF(SUMIFS('Locations Data'!$C:$C,'Locations Data'!$G:$G,$B10,'Locations Data'!$B:$B,MD$5)&gt;0,1,0)</f>
        <v>0</v>
      </c>
      <c r="ME10" s="6">
        <f>IF(SUMIFS('Locations Data'!$C:$C,'Locations Data'!$G:$G,$B10,'Locations Data'!$B:$B,ME$5)&gt;0,1,0)</f>
        <v>1</v>
      </c>
      <c r="MF10" s="6">
        <f>IF(SUMIFS('Locations Data'!$C:$C,'Locations Data'!$G:$G,$B10,'Locations Data'!$B:$B,MF$5)&gt;0,1,0)</f>
        <v>1</v>
      </c>
      <c r="MG10" s="6">
        <f>IF(SUMIFS('Locations Data'!$C:$C,'Locations Data'!$G:$G,$B10,'Locations Data'!$B:$B,MG$5)&gt;0,1,0)</f>
        <v>1</v>
      </c>
      <c r="MH10" s="6">
        <f>IF(SUMIFS('Locations Data'!$C:$C,'Locations Data'!$G:$G,$B10,'Locations Data'!$B:$B,MH$5)&gt;0,1,0)</f>
        <v>1</v>
      </c>
      <c r="MI10" s="6">
        <f>IF(SUMIFS('Locations Data'!$C:$C,'Locations Data'!$G:$G,$B10,'Locations Data'!$B:$B,MI$5)&gt;0,1,0)</f>
        <v>1</v>
      </c>
      <c r="MJ10" s="6">
        <f>IF(SUMIFS('Locations Data'!$C:$C,'Locations Data'!$G:$G,$B10,'Locations Data'!$B:$B,MJ$5)&gt;0,1,0)</f>
        <v>0</v>
      </c>
      <c r="MK10" s="6">
        <f>IF(SUMIFS('Locations Data'!$C:$C,'Locations Data'!$G:$G,$B10,'Locations Data'!$B:$B,MK$5)&gt;0,1,0)</f>
        <v>0</v>
      </c>
      <c r="ML10" s="6">
        <f>IF(SUMIFS('Locations Data'!$C:$C,'Locations Data'!$G:$G,$B10,'Locations Data'!$B:$B,ML$5)&gt;0,1,0)</f>
        <v>1</v>
      </c>
      <c r="MM10" s="6">
        <f>IF(SUMIFS('Locations Data'!$C:$C,'Locations Data'!$G:$G,$B10,'Locations Data'!$B:$B,MM$5)&gt;0,1,0)</f>
        <v>1</v>
      </c>
      <c r="MN10" s="6">
        <f>IF(SUMIFS('Locations Data'!$C:$C,'Locations Data'!$G:$G,$B10,'Locations Data'!$B:$B,MN$5)&gt;0,1,0)</f>
        <v>1</v>
      </c>
      <c r="MO10" s="6">
        <f>IF(SUMIFS('Locations Data'!$C:$C,'Locations Data'!$G:$G,$B10,'Locations Data'!$B:$B,MO$5)&gt;0,1,0)</f>
        <v>1</v>
      </c>
      <c r="MP10" s="6">
        <f>IF(SUMIFS('Locations Data'!$C:$C,'Locations Data'!$G:$G,$B10,'Locations Data'!$B:$B,MP$5)&gt;0,1,0)</f>
        <v>1</v>
      </c>
      <c r="MQ10" s="6">
        <f>IF(SUMIFS('Locations Data'!$C:$C,'Locations Data'!$G:$G,$B10,'Locations Data'!$B:$B,MQ$5)&gt;0,1,0)</f>
        <v>0</v>
      </c>
      <c r="MR10" s="6">
        <f>IF(SUMIFS('Locations Data'!$C:$C,'Locations Data'!$G:$G,$B10,'Locations Data'!$B:$B,MR$5)&gt;0,1,0)</f>
        <v>0</v>
      </c>
      <c r="MS10" s="6">
        <f>IF(SUMIFS('Locations Data'!$C:$C,'Locations Data'!$G:$G,$B10,'Locations Data'!$B:$B,MS$5)&gt;0,1,0)</f>
        <v>1</v>
      </c>
      <c r="MT10" s="6">
        <f>IF(SUMIFS('Locations Data'!$C:$C,'Locations Data'!$G:$G,$B10,'Locations Data'!$B:$B,MT$5)&gt;0,1,0)</f>
        <v>1</v>
      </c>
      <c r="MU10" s="6">
        <f>IF(SUMIFS('Locations Data'!$C:$C,'Locations Data'!$G:$G,$B10,'Locations Data'!$B:$B,MU$5)&gt;0,1,0)</f>
        <v>1</v>
      </c>
      <c r="MV10" s="6">
        <f>IF(SUMIFS('Locations Data'!$C:$C,'Locations Data'!$G:$G,$B10,'Locations Data'!$B:$B,MV$5)&gt;0,1,0)</f>
        <v>1</v>
      </c>
      <c r="MW10" s="26">
        <v>0</v>
      </c>
      <c r="MX10" s="6">
        <f>IF(SUMIFS('Locations Data'!$C:$C,'Locations Data'!$G:$G,$B10,'Locations Data'!$B:$B,MX$5)&gt;0,1,0)</f>
        <v>0</v>
      </c>
      <c r="MY10" s="6">
        <f>IF(SUMIFS('Locations Data'!$C:$C,'Locations Data'!$G:$G,$B10,'Locations Data'!$B:$B,MY$5)&gt;0,1,0)</f>
        <v>0</v>
      </c>
      <c r="MZ10" s="6">
        <f>IF(SUMIFS('Locations Data'!$C:$C,'Locations Data'!$G:$G,$B10,'Locations Data'!$B:$B,MZ$5)&gt;0,1,0)</f>
        <v>1</v>
      </c>
      <c r="NA10" s="6">
        <f>IF(SUMIFS('Locations Data'!$C:$C,'Locations Data'!$G:$G,$B10,'Locations Data'!$B:$B,NA$5)&gt;0,1,0)</f>
        <v>1</v>
      </c>
      <c r="NB10" s="6">
        <f>IF(SUMIFS('Locations Data'!$C:$C,'Locations Data'!$G:$G,$B10,'Locations Data'!$B:$B,NB$5)&gt;0,1,0)</f>
        <v>1</v>
      </c>
      <c r="NC10" s="6">
        <f>IF(SUMIFS('Locations Data'!$C:$C,'Locations Data'!$G:$G,$B10,'Locations Data'!$B:$B,NC$5)&gt;0,1,0)</f>
        <v>1</v>
      </c>
    </row>
    <row r="11" spans="2:367">
      <c r="B11" s="20" t="s">
        <v>305</v>
      </c>
      <c r="C11" s="6">
        <v>0</v>
      </c>
      <c r="D11" s="6">
        <f>IF(SUMIFS('Locations Data'!$C:$C,'Locations Data'!$G:$G,$B11,'Locations Data'!$B:$B,D$5)&gt;0,1,0)</f>
        <v>1</v>
      </c>
      <c r="E11" s="6">
        <f>IF(SUMIFS('Locations Data'!$C:$C,'Locations Data'!$G:$G,$B11,'Locations Data'!$B:$B,E$5)&gt;0,1,0)</f>
        <v>1</v>
      </c>
      <c r="F11" s="6">
        <f>IF(SUMIFS('Locations Data'!$C:$C,'Locations Data'!$G:$G,$B11,'Locations Data'!$B:$B,F$5)&gt;0,1,0)</f>
        <v>0</v>
      </c>
      <c r="G11" s="6">
        <f>IF(SUMIFS('Locations Data'!$C:$C,'Locations Data'!$G:$G,$B11,'Locations Data'!$B:$B,G$5)&gt;0,1,0)</f>
        <v>0</v>
      </c>
      <c r="H11" s="6">
        <f>IF(SUMIFS('Locations Data'!$C:$C,'Locations Data'!$G:$G,$B11,'Locations Data'!$B:$B,H$5)&gt;0,1,0)</f>
        <v>1</v>
      </c>
      <c r="I11" s="6">
        <f>IF(SUMIFS('Locations Data'!$C:$C,'Locations Data'!$G:$G,$B11,'Locations Data'!$B:$B,I$5)&gt;0,1,0)</f>
        <v>1</v>
      </c>
      <c r="J11" s="6">
        <f>IF(SUMIFS('Locations Data'!$C:$C,'Locations Data'!$G:$G,$B11,'Locations Data'!$B:$B,J$5)&gt;0,1,0)</f>
        <v>1</v>
      </c>
      <c r="K11" s="6">
        <f>IF(SUMIFS('Locations Data'!$C:$C,'Locations Data'!$G:$G,$B11,'Locations Data'!$B:$B,K$5)&gt;0,1,0)</f>
        <v>1</v>
      </c>
      <c r="L11" s="6">
        <f>IF(SUMIFS('Locations Data'!$C:$C,'Locations Data'!$G:$G,$B11,'Locations Data'!$B:$B,L$5)&gt;0,1,0)</f>
        <v>1</v>
      </c>
      <c r="M11" s="6">
        <f>IF(SUMIFS('Locations Data'!$C:$C,'Locations Data'!$G:$G,$B11,'Locations Data'!$B:$B,M$5)&gt;0,1,0)</f>
        <v>0</v>
      </c>
      <c r="N11" s="6">
        <f>IF(SUMIFS('Locations Data'!$C:$C,'Locations Data'!$G:$G,$B11,'Locations Data'!$B:$B,N$5)&gt;0,1,0)</f>
        <v>0</v>
      </c>
      <c r="O11" s="6">
        <f>IF(SUMIFS('Locations Data'!$C:$C,'Locations Data'!$G:$G,$B11,'Locations Data'!$B:$B,O$5)&gt;0,1,0)</f>
        <v>1</v>
      </c>
      <c r="P11" s="6">
        <f>IF(SUMIFS('Locations Data'!$C:$C,'Locations Data'!$G:$G,$B11,'Locations Data'!$B:$B,P$5)&gt;0,1,0)</f>
        <v>1</v>
      </c>
      <c r="Q11" s="6">
        <f>IF(SUMIFS('Locations Data'!$C:$C,'Locations Data'!$G:$G,$B11,'Locations Data'!$B:$B,Q$5)&gt;0,1,0)</f>
        <v>1</v>
      </c>
      <c r="R11" s="6">
        <f>IF(SUMIFS('Locations Data'!$C:$C,'Locations Data'!$G:$G,$B11,'Locations Data'!$B:$B,R$5)&gt;0,1,0)</f>
        <v>1</v>
      </c>
      <c r="S11" s="6">
        <f>IF(SUMIFS('Locations Data'!$C:$C,'Locations Data'!$G:$G,$B11,'Locations Data'!$B:$B,S$5)&gt;0,1,0)</f>
        <v>1</v>
      </c>
      <c r="T11" s="6">
        <f>IF(SUMIFS('Locations Data'!$C:$C,'Locations Data'!$G:$G,$B11,'Locations Data'!$B:$B,T$5)&gt;0,1,0)</f>
        <v>0</v>
      </c>
      <c r="U11" s="6">
        <f>IF(SUMIFS('Locations Data'!$C:$C,'Locations Data'!$G:$G,$B11,'Locations Data'!$B:$B,U$5)&gt;0,1,0)</f>
        <v>0</v>
      </c>
      <c r="V11" s="6">
        <f>IF(SUMIFS('Locations Data'!$C:$C,'Locations Data'!$G:$G,$B11,'Locations Data'!$B:$B,V$5)&gt;0,1,0)</f>
        <v>1</v>
      </c>
      <c r="W11" s="6">
        <f>IF(SUMIFS('Locations Data'!$C:$C,'Locations Data'!$G:$G,$B11,'Locations Data'!$B:$B,W$5)&gt;0,1,0)</f>
        <v>1</v>
      </c>
      <c r="X11" s="6">
        <f>IF(SUMIFS('Locations Data'!$C:$C,'Locations Data'!$G:$G,$B11,'Locations Data'!$B:$B,X$5)&gt;0,1,0)</f>
        <v>1</v>
      </c>
      <c r="Y11" s="6">
        <f>IF(SUMIFS('Locations Data'!$C:$C,'Locations Data'!$G:$G,$B11,'Locations Data'!$B:$B,Y$5)&gt;0,1,0)</f>
        <v>1</v>
      </c>
      <c r="Z11" s="6">
        <f>IF(SUMIFS('Locations Data'!$C:$C,'Locations Data'!$G:$G,$B11,'Locations Data'!$B:$B,Z$5)&gt;0,1,0)</f>
        <v>1</v>
      </c>
      <c r="AA11" s="6">
        <f>IF(SUMIFS('Locations Data'!$C:$C,'Locations Data'!$G:$G,$B11,'Locations Data'!$B:$B,AA$5)&gt;0,1,0)</f>
        <v>0</v>
      </c>
      <c r="AB11" s="6">
        <f>IF(SUMIFS('Locations Data'!$C:$C,'Locations Data'!$G:$G,$B11,'Locations Data'!$B:$B,AB$5)&gt;0,1,0)</f>
        <v>0</v>
      </c>
      <c r="AC11" s="6">
        <f>IF(SUMIFS('Locations Data'!$C:$C,'Locations Data'!$G:$G,$B11,'Locations Data'!$B:$B,AC$5)&gt;0,1,0)</f>
        <v>1</v>
      </c>
      <c r="AD11" s="6">
        <f>IF(SUMIFS('Locations Data'!$C:$C,'Locations Data'!$G:$G,$B11,'Locations Data'!$B:$B,AD$5)&gt;0,1,0)</f>
        <v>1</v>
      </c>
      <c r="AE11" s="6">
        <f>IF(SUMIFS('Locations Data'!$C:$C,'Locations Data'!$G:$G,$B11,'Locations Data'!$B:$B,AE$5)&gt;0,1,0)</f>
        <v>1</v>
      </c>
      <c r="AF11" s="6">
        <f>IF(SUMIFS('Locations Data'!$C:$C,'Locations Data'!$G:$G,$B11,'Locations Data'!$B:$B,AF$5)&gt;0,1,0)</f>
        <v>1</v>
      </c>
      <c r="AG11" s="6">
        <f>IF(SUMIFS('Locations Data'!$C:$C,'Locations Data'!$G:$G,$B11,'Locations Data'!$B:$B,AG$5)&gt;0,1,0)</f>
        <v>1</v>
      </c>
      <c r="AH11" s="6">
        <f>IF(SUMIFS('Locations Data'!$C:$C,'Locations Data'!$G:$G,$B11,'Locations Data'!$B:$B,AH$5)&gt;0,1,0)</f>
        <v>0</v>
      </c>
      <c r="AI11" s="6">
        <f>IF(SUMIFS('Locations Data'!$C:$C,'Locations Data'!$G:$G,$B11,'Locations Data'!$B:$B,AI$5)&gt;0,1,0)</f>
        <v>0</v>
      </c>
      <c r="AJ11" s="6">
        <f>IF(SUMIFS('Locations Data'!$C:$C,'Locations Data'!$G:$G,$B11,'Locations Data'!$B:$B,AJ$5)&gt;0,1,0)</f>
        <v>1</v>
      </c>
      <c r="AK11" s="6">
        <f>IF(SUMIFS('Locations Data'!$C:$C,'Locations Data'!$G:$G,$B11,'Locations Data'!$B:$B,AK$5)&gt;0,1,0)</f>
        <v>1</v>
      </c>
      <c r="AL11" s="6">
        <f>IF(SUMIFS('Locations Data'!$C:$C,'Locations Data'!$G:$G,$B11,'Locations Data'!$B:$B,AL$5)&gt;0,1,0)</f>
        <v>1</v>
      </c>
      <c r="AM11" s="6">
        <f>IF(SUMIFS('Locations Data'!$C:$C,'Locations Data'!$G:$G,$B11,'Locations Data'!$B:$B,AM$5)&gt;0,1,0)</f>
        <v>1</v>
      </c>
      <c r="AN11" s="6">
        <f>IF(SUMIFS('Locations Data'!$C:$C,'Locations Data'!$G:$G,$B11,'Locations Data'!$B:$B,AN$5)&gt;0,1,0)</f>
        <v>1</v>
      </c>
      <c r="AO11" s="6">
        <f>IF(SUMIFS('Locations Data'!$C:$C,'Locations Data'!$G:$G,$B11,'Locations Data'!$B:$B,AO$5)&gt;0,1,0)</f>
        <v>0</v>
      </c>
      <c r="AP11" s="6">
        <f>IF(SUMIFS('Locations Data'!$C:$C,'Locations Data'!$G:$G,$B11,'Locations Data'!$B:$B,AP$5)&gt;0,1,0)</f>
        <v>0</v>
      </c>
      <c r="AQ11" s="6">
        <f>IF(SUMIFS('Locations Data'!$C:$C,'Locations Data'!$G:$G,$B11,'Locations Data'!$B:$B,AQ$5)&gt;0,1,0)</f>
        <v>1</v>
      </c>
      <c r="AR11" s="6">
        <f>IF(SUMIFS('Locations Data'!$C:$C,'Locations Data'!$G:$G,$B11,'Locations Data'!$B:$B,AR$5)&gt;0,1,0)</f>
        <v>1</v>
      </c>
      <c r="AS11" s="6">
        <f>IF(SUMIFS('Locations Data'!$C:$C,'Locations Data'!$G:$G,$B11,'Locations Data'!$B:$B,AS$5)&gt;0,1,0)</f>
        <v>1</v>
      </c>
      <c r="AT11" s="6">
        <f>IF(SUMIFS('Locations Data'!$C:$C,'Locations Data'!$G:$G,$B11,'Locations Data'!$B:$B,AT$5)&gt;0,1,0)</f>
        <v>1</v>
      </c>
      <c r="AU11" s="6">
        <f>IF(SUMIFS('Locations Data'!$C:$C,'Locations Data'!$G:$G,$B11,'Locations Data'!$B:$B,AU$5)&gt;0,1,0)</f>
        <v>1</v>
      </c>
      <c r="AV11" s="6">
        <f>IF(SUMIFS('Locations Data'!$C:$C,'Locations Data'!$G:$G,$B11,'Locations Data'!$B:$B,AV$5)&gt;0,1,0)</f>
        <v>0</v>
      </c>
      <c r="AW11" s="6">
        <f>IF(SUMIFS('Locations Data'!$C:$C,'Locations Data'!$G:$G,$B11,'Locations Data'!$B:$B,AW$5)&gt;0,1,0)</f>
        <v>0</v>
      </c>
      <c r="AX11" s="6">
        <f>IF(SUMIFS('Locations Data'!$C:$C,'Locations Data'!$G:$G,$B11,'Locations Data'!$B:$B,AX$5)&gt;0,1,0)</f>
        <v>1</v>
      </c>
      <c r="AY11" s="6">
        <f>IF(SUMIFS('Locations Data'!$C:$C,'Locations Data'!$G:$G,$B11,'Locations Data'!$B:$B,AY$5)&gt;0,1,0)</f>
        <v>1</v>
      </c>
      <c r="AZ11" s="6">
        <f>IF(SUMIFS('Locations Data'!$C:$C,'Locations Data'!$G:$G,$B11,'Locations Data'!$B:$B,AZ$5)&gt;0,1,0)</f>
        <v>1</v>
      </c>
      <c r="BA11" s="6">
        <f>IF(SUMIFS('Locations Data'!$C:$C,'Locations Data'!$G:$G,$B11,'Locations Data'!$B:$B,BA$5)&gt;0,1,0)</f>
        <v>1</v>
      </c>
      <c r="BB11" s="6">
        <f>IF(SUMIFS('Locations Data'!$C:$C,'Locations Data'!$G:$G,$B11,'Locations Data'!$B:$B,BB$5)&gt;0,1,0)</f>
        <v>1</v>
      </c>
      <c r="BC11" s="6">
        <f>IF(SUMIFS('Locations Data'!$C:$C,'Locations Data'!$G:$G,$B11,'Locations Data'!$B:$B,BC$5)&gt;0,1,0)</f>
        <v>0</v>
      </c>
      <c r="BD11" s="6">
        <f>IF(SUMIFS('Locations Data'!$C:$C,'Locations Data'!$G:$G,$B11,'Locations Data'!$B:$B,BD$5)&gt;0,1,0)</f>
        <v>0</v>
      </c>
      <c r="BE11" s="6">
        <f>IF(SUMIFS('Locations Data'!$C:$C,'Locations Data'!$G:$G,$B11,'Locations Data'!$B:$B,BE$5)&gt;0,1,0)</f>
        <v>1</v>
      </c>
      <c r="BF11" s="6">
        <f>IF(SUMIFS('Locations Data'!$C:$C,'Locations Data'!$G:$G,$B11,'Locations Data'!$B:$B,BF$5)&gt;0,1,0)</f>
        <v>1</v>
      </c>
      <c r="BG11" s="6">
        <f>IF(SUMIFS('Locations Data'!$C:$C,'Locations Data'!$G:$G,$B11,'Locations Data'!$B:$B,BG$5)&gt;0,1,0)</f>
        <v>1</v>
      </c>
      <c r="BH11" s="6">
        <f>IF(SUMIFS('Locations Data'!$C:$C,'Locations Data'!$G:$G,$B11,'Locations Data'!$B:$B,BH$5)&gt;0,1,0)</f>
        <v>1</v>
      </c>
      <c r="BI11" s="6">
        <f>IF(SUMIFS('Locations Data'!$C:$C,'Locations Data'!$G:$G,$B11,'Locations Data'!$B:$B,BI$5)&gt;0,1,0)</f>
        <v>1</v>
      </c>
      <c r="BJ11" s="6">
        <f>IF(SUMIFS('Locations Data'!$C:$C,'Locations Data'!$G:$G,$B11,'Locations Data'!$B:$B,BJ$5)&gt;0,1,0)</f>
        <v>0</v>
      </c>
      <c r="BK11" s="6">
        <f>IF(SUMIFS('Locations Data'!$C:$C,'Locations Data'!$G:$G,$B11,'Locations Data'!$B:$B,BK$5)&gt;0,1,0)</f>
        <v>0</v>
      </c>
      <c r="BL11" s="6">
        <f>IF(SUMIFS('Locations Data'!$C:$C,'Locations Data'!$G:$G,$B11,'Locations Data'!$B:$B,BL$5)&gt;0,1,0)</f>
        <v>1</v>
      </c>
      <c r="BM11" s="6">
        <f>IF(SUMIFS('Locations Data'!$C:$C,'Locations Data'!$G:$G,$B11,'Locations Data'!$B:$B,BM$5)&gt;0,1,0)</f>
        <v>1</v>
      </c>
      <c r="BN11" s="6">
        <f>IF(SUMIFS('Locations Data'!$C:$C,'Locations Data'!$G:$G,$B11,'Locations Data'!$B:$B,BN$5)&gt;0,1,0)</f>
        <v>1</v>
      </c>
      <c r="BO11" s="6">
        <f>IF(SUMIFS('Locations Data'!$C:$C,'Locations Data'!$G:$G,$B11,'Locations Data'!$B:$B,BO$5)&gt;0,1,0)</f>
        <v>1</v>
      </c>
      <c r="BP11" s="6">
        <f>IF(SUMIFS('Locations Data'!$C:$C,'Locations Data'!$G:$G,$B11,'Locations Data'!$B:$B,BP$5)&gt;0,1,0)</f>
        <v>1</v>
      </c>
      <c r="BQ11" s="6">
        <f>IF(SUMIFS('Locations Data'!$C:$C,'Locations Data'!$G:$G,$B11,'Locations Data'!$B:$B,BQ$5)&gt;0,1,0)</f>
        <v>0</v>
      </c>
      <c r="BR11" s="6">
        <f>IF(SUMIFS('Locations Data'!$C:$C,'Locations Data'!$G:$G,$B11,'Locations Data'!$B:$B,BR$5)&gt;0,1,0)</f>
        <v>0</v>
      </c>
      <c r="BS11" s="6">
        <f>IF(SUMIFS('Locations Data'!$C:$C,'Locations Data'!$G:$G,$B11,'Locations Data'!$B:$B,BS$5)&gt;0,1,0)</f>
        <v>1</v>
      </c>
      <c r="BT11" s="6">
        <f>IF(SUMIFS('Locations Data'!$C:$C,'Locations Data'!$G:$G,$B11,'Locations Data'!$B:$B,BT$5)&gt;0,1,0)</f>
        <v>1</v>
      </c>
      <c r="BU11" s="6">
        <f>IF(SUMIFS('Locations Data'!$C:$C,'Locations Data'!$G:$G,$B11,'Locations Data'!$B:$B,BU$5)&gt;0,1,0)</f>
        <v>1</v>
      </c>
      <c r="BV11" s="6">
        <f>IF(SUMIFS('Locations Data'!$C:$C,'Locations Data'!$G:$G,$B11,'Locations Data'!$B:$B,BV$5)&gt;0,1,0)</f>
        <v>1</v>
      </c>
      <c r="BW11" s="6">
        <f>IF(SUMIFS('Locations Data'!$C:$C,'Locations Data'!$G:$G,$B11,'Locations Data'!$B:$B,BW$5)&gt;0,1,0)</f>
        <v>1</v>
      </c>
      <c r="BX11" s="6">
        <f>IF(SUMIFS('Locations Data'!$C:$C,'Locations Data'!$G:$G,$B11,'Locations Data'!$B:$B,BX$5)&gt;0,1,0)</f>
        <v>0</v>
      </c>
      <c r="BY11" s="6">
        <f>IF(SUMIFS('Locations Data'!$C:$C,'Locations Data'!$G:$G,$B11,'Locations Data'!$B:$B,BY$5)&gt;0,1,0)</f>
        <v>0</v>
      </c>
      <c r="BZ11" s="6">
        <f>IF(SUMIFS('Locations Data'!$C:$C,'Locations Data'!$G:$G,$B11,'Locations Data'!$B:$B,BZ$5)&gt;0,1,0)</f>
        <v>1</v>
      </c>
      <c r="CA11" s="6">
        <f>IF(SUMIFS('Locations Data'!$C:$C,'Locations Data'!$G:$G,$B11,'Locations Data'!$B:$B,CA$5)&gt;0,1,0)</f>
        <v>1</v>
      </c>
      <c r="CB11" s="6">
        <f>IF(SUMIFS('Locations Data'!$C:$C,'Locations Data'!$G:$G,$B11,'Locations Data'!$B:$B,CB$5)&gt;0,1,0)</f>
        <v>1</v>
      </c>
      <c r="CC11" s="6">
        <f>IF(SUMIFS('Locations Data'!$C:$C,'Locations Data'!$G:$G,$B11,'Locations Data'!$B:$B,CC$5)&gt;0,1,0)</f>
        <v>1</v>
      </c>
      <c r="CD11" s="6">
        <f>IF(SUMIFS('Locations Data'!$C:$C,'Locations Data'!$G:$G,$B11,'Locations Data'!$B:$B,CD$5)&gt;0,1,0)</f>
        <v>1</v>
      </c>
      <c r="CE11" s="6">
        <f>IF(SUMIFS('Locations Data'!$C:$C,'Locations Data'!$G:$G,$B11,'Locations Data'!$B:$B,CE$5)&gt;0,1,0)</f>
        <v>0</v>
      </c>
      <c r="CF11" s="6">
        <f>IF(SUMIFS('Locations Data'!$C:$C,'Locations Data'!$G:$G,$B11,'Locations Data'!$B:$B,CF$5)&gt;0,1,0)</f>
        <v>0</v>
      </c>
      <c r="CG11" s="6">
        <f>IF(SUMIFS('Locations Data'!$C:$C,'Locations Data'!$G:$G,$B11,'Locations Data'!$B:$B,CG$5)&gt;0,1,0)</f>
        <v>1</v>
      </c>
      <c r="CH11" s="6">
        <f>IF(SUMIFS('Locations Data'!$C:$C,'Locations Data'!$G:$G,$B11,'Locations Data'!$B:$B,CH$5)&gt;0,1,0)</f>
        <v>1</v>
      </c>
      <c r="CI11" s="6">
        <f>IF(SUMIFS('Locations Data'!$C:$C,'Locations Data'!$G:$G,$B11,'Locations Data'!$B:$B,CI$5)&gt;0,1,0)</f>
        <v>1</v>
      </c>
      <c r="CJ11" s="6">
        <f>IF(SUMIFS('Locations Data'!$C:$C,'Locations Data'!$G:$G,$B11,'Locations Data'!$B:$B,CJ$5)&gt;0,1,0)</f>
        <v>1</v>
      </c>
      <c r="CK11" s="6">
        <f>IF(SUMIFS('Locations Data'!$C:$C,'Locations Data'!$G:$G,$B11,'Locations Data'!$B:$B,CK$5)&gt;0,1,0)</f>
        <v>1</v>
      </c>
      <c r="CL11" s="6">
        <f>IF(SUMIFS('Locations Data'!$C:$C,'Locations Data'!$G:$G,$B11,'Locations Data'!$B:$B,CL$5)&gt;0,1,0)</f>
        <v>0</v>
      </c>
      <c r="CM11" s="6">
        <f>IF(SUMIFS('Locations Data'!$C:$C,'Locations Data'!$G:$G,$B11,'Locations Data'!$B:$B,CM$5)&gt;0,1,0)</f>
        <v>0</v>
      </c>
      <c r="CN11" s="6">
        <f>IF(SUMIFS('Locations Data'!$C:$C,'Locations Data'!$G:$G,$B11,'Locations Data'!$B:$B,CN$5)&gt;0,1,0)</f>
        <v>1</v>
      </c>
      <c r="CO11" s="6">
        <f>IF(SUMIFS('Locations Data'!$C:$C,'Locations Data'!$G:$G,$B11,'Locations Data'!$B:$B,CO$5)&gt;0,1,0)</f>
        <v>1</v>
      </c>
      <c r="CP11" s="6">
        <f>IF(SUMIFS('Locations Data'!$C:$C,'Locations Data'!$G:$G,$B11,'Locations Data'!$B:$B,CP$5)&gt;0,1,0)</f>
        <v>1</v>
      </c>
      <c r="CQ11" s="6">
        <f>IF(SUMIFS('Locations Data'!$C:$C,'Locations Data'!$G:$G,$B11,'Locations Data'!$B:$B,CQ$5)&gt;0,1,0)</f>
        <v>1</v>
      </c>
      <c r="CR11" s="6">
        <f>IF(SUMIFS('Locations Data'!$C:$C,'Locations Data'!$G:$G,$B11,'Locations Data'!$B:$B,CR$5)&gt;0,1,0)</f>
        <v>1</v>
      </c>
      <c r="CS11" s="6">
        <f>IF(SUMIFS('Locations Data'!$C:$C,'Locations Data'!$G:$G,$B11,'Locations Data'!$B:$B,CS$5)&gt;0,1,0)</f>
        <v>0</v>
      </c>
      <c r="CT11" s="6">
        <f>IF(SUMIFS('Locations Data'!$C:$C,'Locations Data'!$G:$G,$B11,'Locations Data'!$B:$B,CT$5)&gt;0,1,0)</f>
        <v>0</v>
      </c>
      <c r="CU11" s="6">
        <f>IF(SUMIFS('Locations Data'!$C:$C,'Locations Data'!$G:$G,$B11,'Locations Data'!$B:$B,CU$5)&gt;0,1,0)</f>
        <v>1</v>
      </c>
      <c r="CV11" s="6">
        <f>IF(SUMIFS('Locations Data'!$C:$C,'Locations Data'!$G:$G,$B11,'Locations Data'!$B:$B,CV$5)&gt;0,1,0)</f>
        <v>1</v>
      </c>
      <c r="CW11" s="6">
        <f>IF(SUMIFS('Locations Data'!$C:$C,'Locations Data'!$G:$G,$B11,'Locations Data'!$B:$B,CW$5)&gt;0,1,0)</f>
        <v>1</v>
      </c>
      <c r="CX11" s="6">
        <f>IF(SUMIFS('Locations Data'!$C:$C,'Locations Data'!$G:$G,$B11,'Locations Data'!$B:$B,CX$5)&gt;0,1,0)</f>
        <v>1</v>
      </c>
      <c r="CY11" s="6">
        <f>IF(SUMIFS('Locations Data'!$C:$C,'Locations Data'!$G:$G,$B11,'Locations Data'!$B:$B,CY$5)&gt;0,1,0)</f>
        <v>1</v>
      </c>
      <c r="CZ11" s="6">
        <f>IF(SUMIFS('Locations Data'!$C:$C,'Locations Data'!$G:$G,$B11,'Locations Data'!$B:$B,CZ$5)&gt;0,1,0)</f>
        <v>0</v>
      </c>
      <c r="DA11" s="6">
        <f>IF(SUMIFS('Locations Data'!$C:$C,'Locations Data'!$G:$G,$B11,'Locations Data'!$B:$B,DA$5)&gt;0,1,0)</f>
        <v>0</v>
      </c>
      <c r="DB11" s="6">
        <f>IF(SUMIFS('Locations Data'!$C:$C,'Locations Data'!$G:$G,$B11,'Locations Data'!$B:$B,DB$5)&gt;0,1,0)</f>
        <v>1</v>
      </c>
      <c r="DC11" s="6">
        <f>IF(SUMIFS('Locations Data'!$C:$C,'Locations Data'!$G:$G,$B11,'Locations Data'!$B:$B,DC$5)&gt;0,1,0)</f>
        <v>1</v>
      </c>
      <c r="DD11" s="6">
        <f>IF(SUMIFS('Locations Data'!$C:$C,'Locations Data'!$G:$G,$B11,'Locations Data'!$B:$B,DD$5)&gt;0,1,0)</f>
        <v>1</v>
      </c>
      <c r="DE11" s="6">
        <f>IF(SUMIFS('Locations Data'!$C:$C,'Locations Data'!$G:$G,$B11,'Locations Data'!$B:$B,DE$5)&gt;0,1,0)</f>
        <v>1</v>
      </c>
      <c r="DF11" s="6">
        <f>IF(SUMIFS('Locations Data'!$C:$C,'Locations Data'!$G:$G,$B11,'Locations Data'!$B:$B,DF$5)&gt;0,1,0)</f>
        <v>1</v>
      </c>
      <c r="DG11" s="6">
        <f>IF(SUMIFS('Locations Data'!$C:$C,'Locations Data'!$G:$G,$B11,'Locations Data'!$B:$B,DG$5)&gt;0,1,0)</f>
        <v>0</v>
      </c>
      <c r="DH11" s="6">
        <f>IF(SUMIFS('Locations Data'!$C:$C,'Locations Data'!$G:$G,$B11,'Locations Data'!$B:$B,DH$5)&gt;0,1,0)</f>
        <v>0</v>
      </c>
      <c r="DI11" s="6">
        <f>IF(SUMIFS('Locations Data'!$C:$C,'Locations Data'!$G:$G,$B11,'Locations Data'!$B:$B,DI$5)&gt;0,1,0)</f>
        <v>1</v>
      </c>
      <c r="DJ11" s="6">
        <f>IF(SUMIFS('Locations Data'!$C:$C,'Locations Data'!$G:$G,$B11,'Locations Data'!$B:$B,DJ$5)&gt;0,1,0)</f>
        <v>1</v>
      </c>
      <c r="DK11" s="6">
        <f>IF(SUMIFS('Locations Data'!$C:$C,'Locations Data'!$G:$G,$B11,'Locations Data'!$B:$B,DK$5)&gt;0,1,0)</f>
        <v>1</v>
      </c>
      <c r="DL11" s="6">
        <f>IF(SUMIFS('Locations Data'!$C:$C,'Locations Data'!$G:$G,$B11,'Locations Data'!$B:$B,DL$5)&gt;0,1,0)</f>
        <v>1</v>
      </c>
      <c r="DM11" s="6">
        <f>IF(SUMIFS('Locations Data'!$C:$C,'Locations Data'!$G:$G,$B11,'Locations Data'!$B:$B,DM$5)&gt;0,1,0)</f>
        <v>1</v>
      </c>
      <c r="DN11" s="6">
        <f>IF(SUMIFS('Locations Data'!$C:$C,'Locations Data'!$G:$G,$B11,'Locations Data'!$B:$B,DN$5)&gt;0,1,0)</f>
        <v>0</v>
      </c>
      <c r="DO11" s="6">
        <f>IF(SUMIFS('Locations Data'!$C:$C,'Locations Data'!$G:$G,$B11,'Locations Data'!$B:$B,DO$5)&gt;0,1,0)</f>
        <v>0</v>
      </c>
      <c r="DP11" s="6">
        <f>IF(SUMIFS('Locations Data'!$C:$C,'Locations Data'!$G:$G,$B11,'Locations Data'!$B:$B,DP$5)&gt;0,1,0)</f>
        <v>1</v>
      </c>
      <c r="DQ11" s="6">
        <f>IF(SUMIFS('Locations Data'!$C:$C,'Locations Data'!$G:$G,$B11,'Locations Data'!$B:$B,DQ$5)&gt;0,1,0)</f>
        <v>1</v>
      </c>
      <c r="DR11" s="6">
        <f>IF(SUMIFS('Locations Data'!$C:$C,'Locations Data'!$G:$G,$B11,'Locations Data'!$B:$B,DR$5)&gt;0,1,0)</f>
        <v>1</v>
      </c>
      <c r="DS11" s="6">
        <f>IF(SUMIFS('Locations Data'!$C:$C,'Locations Data'!$G:$G,$B11,'Locations Data'!$B:$B,DS$5)&gt;0,1,0)</f>
        <v>1</v>
      </c>
      <c r="DT11" s="6">
        <f>IF(SUMIFS('Locations Data'!$C:$C,'Locations Data'!$G:$G,$B11,'Locations Data'!$B:$B,DT$5)&gt;0,1,0)</f>
        <v>1</v>
      </c>
      <c r="DU11" s="6">
        <f>IF(SUMIFS('Locations Data'!$C:$C,'Locations Data'!$G:$G,$B11,'Locations Data'!$B:$B,DU$5)&gt;0,1,0)</f>
        <v>0</v>
      </c>
      <c r="DV11" s="6">
        <f>IF(SUMIFS('Locations Data'!$C:$C,'Locations Data'!$G:$G,$B11,'Locations Data'!$B:$B,DV$5)&gt;0,1,0)</f>
        <v>0</v>
      </c>
      <c r="DW11" s="6">
        <f>IF(SUMIFS('Locations Data'!$C:$C,'Locations Data'!$G:$G,$B11,'Locations Data'!$B:$B,DW$5)&gt;0,1,0)</f>
        <v>1</v>
      </c>
      <c r="DX11" s="6">
        <f>IF(SUMIFS('Locations Data'!$C:$C,'Locations Data'!$G:$G,$B11,'Locations Data'!$B:$B,DX$5)&gt;0,1,0)</f>
        <v>1</v>
      </c>
      <c r="DY11" s="6">
        <f>IF(SUMIFS('Locations Data'!$C:$C,'Locations Data'!$G:$G,$B11,'Locations Data'!$B:$B,DY$5)&gt;0,1,0)</f>
        <v>1</v>
      </c>
      <c r="DZ11" s="6">
        <f>IF(SUMIFS('Locations Data'!$C:$C,'Locations Data'!$G:$G,$B11,'Locations Data'!$B:$B,DZ$5)&gt;0,1,0)</f>
        <v>1</v>
      </c>
      <c r="EA11" s="6">
        <f>IF(SUMIFS('Locations Data'!$C:$C,'Locations Data'!$G:$G,$B11,'Locations Data'!$B:$B,EA$5)&gt;0,1,0)</f>
        <v>1</v>
      </c>
      <c r="EB11" s="6">
        <f>IF(SUMIFS('Locations Data'!$C:$C,'Locations Data'!$G:$G,$B11,'Locations Data'!$B:$B,EB$5)&gt;0,1,0)</f>
        <v>0</v>
      </c>
      <c r="EC11" s="6">
        <f>IF(SUMIFS('Locations Data'!$C:$C,'Locations Data'!$G:$G,$B11,'Locations Data'!$B:$B,EC$5)&gt;0,1,0)</f>
        <v>0</v>
      </c>
      <c r="ED11" s="6">
        <f>IF(SUMIFS('Locations Data'!$C:$C,'Locations Data'!$G:$G,$B11,'Locations Data'!$B:$B,ED$5)&gt;0,1,0)</f>
        <v>1</v>
      </c>
      <c r="EE11" s="6">
        <f>IF(SUMIFS('Locations Data'!$C:$C,'Locations Data'!$G:$G,$B11,'Locations Data'!$B:$B,EE$5)&gt;0,1,0)</f>
        <v>1</v>
      </c>
      <c r="EF11" s="6">
        <f>IF(SUMIFS('Locations Data'!$C:$C,'Locations Data'!$G:$G,$B11,'Locations Data'!$B:$B,EF$5)&gt;0,1,0)</f>
        <v>1</v>
      </c>
      <c r="EG11" s="6">
        <f>IF(SUMIFS('Locations Data'!$C:$C,'Locations Data'!$G:$G,$B11,'Locations Data'!$B:$B,EG$5)&gt;0,1,0)</f>
        <v>1</v>
      </c>
      <c r="EH11" s="6">
        <f>IF(SUMIFS('Locations Data'!$C:$C,'Locations Data'!$G:$G,$B11,'Locations Data'!$B:$B,EH$5)&gt;0,1,0)</f>
        <v>1</v>
      </c>
      <c r="EI11" s="6">
        <f>IF(SUMIFS('Locations Data'!$C:$C,'Locations Data'!$G:$G,$B11,'Locations Data'!$B:$B,EI$5)&gt;0,1,0)</f>
        <v>0</v>
      </c>
      <c r="EJ11" s="6">
        <f>IF(SUMIFS('Locations Data'!$C:$C,'Locations Data'!$G:$G,$B11,'Locations Data'!$B:$B,EJ$5)&gt;0,1,0)</f>
        <v>0</v>
      </c>
      <c r="EK11" s="6">
        <f>IF(SUMIFS('Locations Data'!$C:$C,'Locations Data'!$G:$G,$B11,'Locations Data'!$B:$B,EK$5)&gt;0,1,0)</f>
        <v>1</v>
      </c>
      <c r="EL11" s="6">
        <f>IF(SUMIFS('Locations Data'!$C:$C,'Locations Data'!$G:$G,$B11,'Locations Data'!$B:$B,EL$5)&gt;0,1,0)</f>
        <v>1</v>
      </c>
      <c r="EM11" s="6">
        <f>IF(SUMIFS('Locations Data'!$C:$C,'Locations Data'!$G:$G,$B11,'Locations Data'!$B:$B,EM$5)&gt;0,1,0)</f>
        <v>1</v>
      </c>
      <c r="EN11" s="6">
        <f>IF(SUMIFS('Locations Data'!$C:$C,'Locations Data'!$G:$G,$B11,'Locations Data'!$B:$B,EN$5)&gt;0,1,0)</f>
        <v>1</v>
      </c>
      <c r="EO11" s="6">
        <f>IF(SUMIFS('Locations Data'!$C:$C,'Locations Data'!$G:$G,$B11,'Locations Data'!$B:$B,EO$5)&gt;0,1,0)</f>
        <v>1</v>
      </c>
      <c r="EP11" s="6">
        <f>IF(SUMIFS('Locations Data'!$C:$C,'Locations Data'!$G:$G,$B11,'Locations Data'!$B:$B,EP$5)&gt;0,1,0)</f>
        <v>0</v>
      </c>
      <c r="EQ11" s="6">
        <f>IF(SUMIFS('Locations Data'!$C:$C,'Locations Data'!$G:$G,$B11,'Locations Data'!$B:$B,EQ$5)&gt;0,1,0)</f>
        <v>0</v>
      </c>
      <c r="ER11" s="6">
        <f>IF(SUMIFS('Locations Data'!$C:$C,'Locations Data'!$G:$G,$B11,'Locations Data'!$B:$B,ER$5)&gt;0,1,0)</f>
        <v>1</v>
      </c>
      <c r="ES11" s="6">
        <f>IF(SUMIFS('Locations Data'!$C:$C,'Locations Data'!$G:$G,$B11,'Locations Data'!$B:$B,ES$5)&gt;0,1,0)</f>
        <v>1</v>
      </c>
      <c r="ET11" s="6">
        <f>IF(SUMIFS('Locations Data'!$C:$C,'Locations Data'!$G:$G,$B11,'Locations Data'!$B:$B,ET$5)&gt;0,1,0)</f>
        <v>1</v>
      </c>
      <c r="EU11" s="6">
        <f>IF(SUMIFS('Locations Data'!$C:$C,'Locations Data'!$G:$G,$B11,'Locations Data'!$B:$B,EU$5)&gt;0,1,0)</f>
        <v>1</v>
      </c>
      <c r="EV11" s="6">
        <f>IF(SUMIFS('Locations Data'!$C:$C,'Locations Data'!$G:$G,$B11,'Locations Data'!$B:$B,EV$5)&gt;0,1,0)</f>
        <v>1</v>
      </c>
      <c r="EW11" s="6">
        <f>IF(SUMIFS('Locations Data'!$C:$C,'Locations Data'!$G:$G,$B11,'Locations Data'!$B:$B,EW$5)&gt;0,1,0)</f>
        <v>0</v>
      </c>
      <c r="EX11" s="6">
        <f>IF(SUMIFS('Locations Data'!$C:$C,'Locations Data'!$G:$G,$B11,'Locations Data'!$B:$B,EX$5)&gt;0,1,0)</f>
        <v>0</v>
      </c>
      <c r="EY11" s="6">
        <f>IF(SUMIFS('Locations Data'!$C:$C,'Locations Data'!$G:$G,$B11,'Locations Data'!$B:$B,EY$5)&gt;0,1,0)</f>
        <v>1</v>
      </c>
      <c r="EZ11" s="6">
        <f>IF(SUMIFS('Locations Data'!$C:$C,'Locations Data'!$G:$G,$B11,'Locations Data'!$B:$B,EZ$5)&gt;0,1,0)</f>
        <v>1</v>
      </c>
      <c r="FA11" s="6">
        <f>IF(SUMIFS('Locations Data'!$C:$C,'Locations Data'!$G:$G,$B11,'Locations Data'!$B:$B,FA$5)&gt;0,1,0)</f>
        <v>1</v>
      </c>
      <c r="FB11" s="6">
        <f>IF(SUMIFS('Locations Data'!$C:$C,'Locations Data'!$G:$G,$B11,'Locations Data'!$B:$B,FB$5)&gt;0,1,0)</f>
        <v>1</v>
      </c>
      <c r="FC11" s="6">
        <f>IF(SUMIFS('Locations Data'!$C:$C,'Locations Data'!$G:$G,$B11,'Locations Data'!$B:$B,FC$5)&gt;0,1,0)</f>
        <v>1</v>
      </c>
      <c r="FD11" s="6">
        <f>IF(SUMIFS('Locations Data'!$C:$C,'Locations Data'!$G:$G,$B11,'Locations Data'!$B:$B,FD$5)&gt;0,1,0)</f>
        <v>0</v>
      </c>
      <c r="FE11" s="6">
        <f>IF(SUMIFS('Locations Data'!$C:$C,'Locations Data'!$G:$G,$B11,'Locations Data'!$B:$B,FE$5)&gt;0,1,0)</f>
        <v>0</v>
      </c>
      <c r="FF11" s="6">
        <f>IF(SUMIFS('Locations Data'!$C:$C,'Locations Data'!$G:$G,$B11,'Locations Data'!$B:$B,FF$5)&gt;0,1,0)</f>
        <v>1</v>
      </c>
      <c r="FG11" s="6">
        <f>IF(SUMIFS('Locations Data'!$C:$C,'Locations Data'!$G:$G,$B11,'Locations Data'!$B:$B,FG$5)&gt;0,1,0)</f>
        <v>1</v>
      </c>
      <c r="FH11" s="6">
        <f>IF(SUMIFS('Locations Data'!$C:$C,'Locations Data'!$G:$G,$B11,'Locations Data'!$B:$B,FH$5)&gt;0,1,0)</f>
        <v>1</v>
      </c>
      <c r="FI11" s="6">
        <f>IF(SUMIFS('Locations Data'!$C:$C,'Locations Data'!$G:$G,$B11,'Locations Data'!$B:$B,FI$5)&gt;0,1,0)</f>
        <v>1</v>
      </c>
      <c r="FJ11" s="6">
        <f>IF(SUMIFS('Locations Data'!$C:$C,'Locations Data'!$G:$G,$B11,'Locations Data'!$B:$B,FJ$5)&gt;0,1,0)</f>
        <v>1</v>
      </c>
      <c r="FK11" s="6">
        <f>IF(SUMIFS('Locations Data'!$C:$C,'Locations Data'!$G:$G,$B11,'Locations Data'!$B:$B,FK$5)&gt;0,1,0)</f>
        <v>0</v>
      </c>
      <c r="FL11" s="6">
        <f>IF(SUMIFS('Locations Data'!$C:$C,'Locations Data'!$G:$G,$B11,'Locations Data'!$B:$B,FL$5)&gt;0,1,0)</f>
        <v>0</v>
      </c>
      <c r="FM11" s="6">
        <f>IF(SUMIFS('Locations Data'!$C:$C,'Locations Data'!$G:$G,$B11,'Locations Data'!$B:$B,FM$5)&gt;0,1,0)</f>
        <v>1</v>
      </c>
      <c r="FN11" s="6">
        <f>IF(SUMIFS('Locations Data'!$C:$C,'Locations Data'!$G:$G,$B11,'Locations Data'!$B:$B,FN$5)&gt;0,1,0)</f>
        <v>1</v>
      </c>
      <c r="FO11" s="6">
        <f>IF(SUMIFS('Locations Data'!$C:$C,'Locations Data'!$G:$G,$B11,'Locations Data'!$B:$B,FO$5)&gt;0,1,0)</f>
        <v>1</v>
      </c>
      <c r="FP11" s="6">
        <f>IF(SUMIFS('Locations Data'!$C:$C,'Locations Data'!$G:$G,$B11,'Locations Data'!$B:$B,FP$5)&gt;0,1,0)</f>
        <v>1</v>
      </c>
      <c r="FQ11" s="6">
        <f>IF(SUMIFS('Locations Data'!$C:$C,'Locations Data'!$G:$G,$B11,'Locations Data'!$B:$B,FQ$5)&gt;0,1,0)</f>
        <v>1</v>
      </c>
      <c r="FR11" s="6">
        <f>IF(SUMIFS('Locations Data'!$C:$C,'Locations Data'!$G:$G,$B11,'Locations Data'!$B:$B,FR$5)&gt;0,1,0)</f>
        <v>0</v>
      </c>
      <c r="FS11" s="6">
        <f>IF(SUMIFS('Locations Data'!$C:$C,'Locations Data'!$G:$G,$B11,'Locations Data'!$B:$B,FS$5)&gt;0,1,0)</f>
        <v>0</v>
      </c>
      <c r="FT11" s="6">
        <f>IF(SUMIFS('Locations Data'!$C:$C,'Locations Data'!$G:$G,$B11,'Locations Data'!$B:$B,FT$5)&gt;0,1,0)</f>
        <v>1</v>
      </c>
      <c r="FU11" s="6">
        <f>IF(SUMIFS('Locations Data'!$C:$C,'Locations Data'!$G:$G,$B11,'Locations Data'!$B:$B,FU$5)&gt;0,1,0)</f>
        <v>1</v>
      </c>
      <c r="FV11" s="6">
        <f>IF(SUMIFS('Locations Data'!$C:$C,'Locations Data'!$G:$G,$B11,'Locations Data'!$B:$B,FV$5)&gt;0,1,0)</f>
        <v>1</v>
      </c>
      <c r="FW11" s="6">
        <f>IF(SUMIFS('Locations Data'!$C:$C,'Locations Data'!$G:$G,$B11,'Locations Data'!$B:$B,FW$5)&gt;0,1,0)</f>
        <v>1</v>
      </c>
      <c r="FX11" s="6">
        <f>IF(SUMIFS('Locations Data'!$C:$C,'Locations Data'!$G:$G,$B11,'Locations Data'!$B:$B,FX$5)&gt;0,1,0)</f>
        <v>1</v>
      </c>
      <c r="FY11" s="6">
        <f>IF(SUMIFS('Locations Data'!$C:$C,'Locations Data'!$G:$G,$B11,'Locations Data'!$B:$B,FY$5)&gt;0,1,0)</f>
        <v>0</v>
      </c>
      <c r="FZ11" s="6">
        <f>IF(SUMIFS('Locations Data'!$C:$C,'Locations Data'!$G:$G,$B11,'Locations Data'!$B:$B,FZ$5)&gt;0,1,0)</f>
        <v>0</v>
      </c>
      <c r="GA11" s="6">
        <f>IF(SUMIFS('Locations Data'!$C:$C,'Locations Data'!$G:$G,$B11,'Locations Data'!$B:$B,GA$5)&gt;0,1,0)</f>
        <v>1</v>
      </c>
      <c r="GB11" s="6">
        <f>IF(SUMIFS('Locations Data'!$C:$C,'Locations Data'!$G:$G,$B11,'Locations Data'!$B:$B,GB$5)&gt;0,1,0)</f>
        <v>1</v>
      </c>
      <c r="GC11" s="6">
        <f>IF(SUMIFS('Locations Data'!$C:$C,'Locations Data'!$G:$G,$B11,'Locations Data'!$B:$B,GC$5)&gt;0,1,0)</f>
        <v>1</v>
      </c>
      <c r="GD11" s="6">
        <f>IF(SUMIFS('Locations Data'!$C:$C,'Locations Data'!$G:$G,$B11,'Locations Data'!$B:$B,GD$5)&gt;0,1,0)</f>
        <v>1</v>
      </c>
      <c r="GE11" s="6">
        <f>IF(SUMIFS('Locations Data'!$C:$C,'Locations Data'!$G:$G,$B11,'Locations Data'!$B:$B,GE$5)&gt;0,1,0)</f>
        <v>1</v>
      </c>
      <c r="GF11" s="6">
        <f>IF(SUMIFS('Locations Data'!$C:$C,'Locations Data'!$G:$G,$B11,'Locations Data'!$B:$B,GF$5)&gt;0,1,0)</f>
        <v>0</v>
      </c>
      <c r="GG11" s="6">
        <f>IF(SUMIFS('Locations Data'!$C:$C,'Locations Data'!$G:$G,$B11,'Locations Data'!$B:$B,GG$5)&gt;0,1,0)</f>
        <v>0</v>
      </c>
      <c r="GH11" s="6">
        <f>IF(SUMIFS('Locations Data'!$C:$C,'Locations Data'!$G:$G,$B11,'Locations Data'!$B:$B,GH$5)&gt;0,1,0)</f>
        <v>1</v>
      </c>
      <c r="GI11" s="6">
        <f>IF(SUMIFS('Locations Data'!$C:$C,'Locations Data'!$G:$G,$B11,'Locations Data'!$B:$B,GI$5)&gt;0,1,0)</f>
        <v>1</v>
      </c>
      <c r="GJ11" s="6">
        <f>IF(SUMIFS('Locations Data'!$C:$C,'Locations Data'!$G:$G,$B11,'Locations Data'!$B:$B,GJ$5)&gt;0,1,0)</f>
        <v>1</v>
      </c>
      <c r="GK11" s="6">
        <f>IF(SUMIFS('Locations Data'!$C:$C,'Locations Data'!$G:$G,$B11,'Locations Data'!$B:$B,GK$5)&gt;0,1,0)</f>
        <v>1</v>
      </c>
      <c r="GL11" s="6">
        <f>IF(SUMIFS('Locations Data'!$C:$C,'Locations Data'!$G:$G,$B11,'Locations Data'!$B:$B,GL$5)&gt;0,1,0)</f>
        <v>1</v>
      </c>
      <c r="GM11" s="6">
        <f>IF(SUMIFS('Locations Data'!$C:$C,'Locations Data'!$G:$G,$B11,'Locations Data'!$B:$B,GM$5)&gt;0,1,0)</f>
        <v>0</v>
      </c>
      <c r="GN11" s="6">
        <f>IF(SUMIFS('Locations Data'!$C:$C,'Locations Data'!$G:$G,$B11,'Locations Data'!$B:$B,GN$5)&gt;0,1,0)</f>
        <v>0</v>
      </c>
      <c r="GO11" s="6">
        <f>IF(SUMIFS('Locations Data'!$C:$C,'Locations Data'!$G:$G,$B11,'Locations Data'!$B:$B,GO$5)&gt;0,1,0)</f>
        <v>1</v>
      </c>
      <c r="GP11" s="6">
        <f>IF(SUMIFS('Locations Data'!$C:$C,'Locations Data'!$G:$G,$B11,'Locations Data'!$B:$B,GP$5)&gt;0,1,0)</f>
        <v>1</v>
      </c>
      <c r="GQ11" s="6">
        <f>IF(SUMIFS('Locations Data'!$C:$C,'Locations Data'!$G:$G,$B11,'Locations Data'!$B:$B,GQ$5)&gt;0,1,0)</f>
        <v>1</v>
      </c>
      <c r="GR11" s="6">
        <f>IF(SUMIFS('Locations Data'!$C:$C,'Locations Data'!$G:$G,$B11,'Locations Data'!$B:$B,GR$5)&gt;0,1,0)</f>
        <v>1</v>
      </c>
      <c r="GS11" s="6">
        <f>IF(SUMIFS('Locations Data'!$C:$C,'Locations Data'!$G:$G,$B11,'Locations Data'!$B:$B,GS$5)&gt;0,1,0)</f>
        <v>1</v>
      </c>
      <c r="GT11" s="6">
        <f>IF(SUMIFS('Locations Data'!$C:$C,'Locations Data'!$G:$G,$B11,'Locations Data'!$B:$B,GT$5)&gt;0,1,0)</f>
        <v>0</v>
      </c>
      <c r="GU11" s="6">
        <f>IF(SUMIFS('Locations Data'!$C:$C,'Locations Data'!$G:$G,$B11,'Locations Data'!$B:$B,GU$5)&gt;0,1,0)</f>
        <v>0</v>
      </c>
      <c r="GV11" s="6">
        <f>IF(SUMIFS('Locations Data'!$C:$C,'Locations Data'!$G:$G,$B11,'Locations Data'!$B:$B,GV$5)&gt;0,1,0)</f>
        <v>1</v>
      </c>
      <c r="GW11" s="6">
        <f>IF(SUMIFS('Locations Data'!$C:$C,'Locations Data'!$G:$G,$B11,'Locations Data'!$B:$B,GW$5)&gt;0,1,0)</f>
        <v>1</v>
      </c>
      <c r="GX11" s="6">
        <f>IF(SUMIFS('Locations Data'!$C:$C,'Locations Data'!$G:$G,$B11,'Locations Data'!$B:$B,GX$5)&gt;0,1,0)</f>
        <v>1</v>
      </c>
      <c r="GY11" s="6">
        <f>IF(SUMIFS('Locations Data'!$C:$C,'Locations Data'!$G:$G,$B11,'Locations Data'!$B:$B,GY$5)&gt;0,1,0)</f>
        <v>1</v>
      </c>
      <c r="GZ11" s="6">
        <f>IF(SUMIFS('Locations Data'!$C:$C,'Locations Data'!$G:$G,$B11,'Locations Data'!$B:$B,GZ$5)&gt;0,1,0)</f>
        <v>1</v>
      </c>
      <c r="HA11" s="6">
        <f>IF(SUMIFS('Locations Data'!$C:$C,'Locations Data'!$G:$G,$B11,'Locations Data'!$B:$B,HA$5)&gt;0,1,0)</f>
        <v>0</v>
      </c>
      <c r="HB11" s="6">
        <f>IF(SUMIFS('Locations Data'!$C:$C,'Locations Data'!$G:$G,$B11,'Locations Data'!$B:$B,HB$5)&gt;0,1,0)</f>
        <v>0</v>
      </c>
      <c r="HC11" s="6">
        <f>IF(SUMIFS('Locations Data'!$C:$C,'Locations Data'!$G:$G,$B11,'Locations Data'!$B:$B,HC$5)&gt;0,1,0)</f>
        <v>1</v>
      </c>
      <c r="HD11" s="6">
        <f>IF(SUMIFS('Locations Data'!$C:$C,'Locations Data'!$G:$G,$B11,'Locations Data'!$B:$B,HD$5)&gt;0,1,0)</f>
        <v>1</v>
      </c>
      <c r="HE11" s="6">
        <f>IF(SUMIFS('Locations Data'!$C:$C,'Locations Data'!$G:$G,$B11,'Locations Data'!$B:$B,HE$5)&gt;0,1,0)</f>
        <v>1</v>
      </c>
      <c r="HF11" s="6">
        <f>IF(SUMIFS('Locations Data'!$C:$C,'Locations Data'!$G:$G,$B11,'Locations Data'!$B:$B,HF$5)&gt;0,1,0)</f>
        <v>1</v>
      </c>
      <c r="HG11" s="6">
        <f>IF(SUMIFS('Locations Data'!$C:$C,'Locations Data'!$G:$G,$B11,'Locations Data'!$B:$B,HG$5)&gt;0,1,0)</f>
        <v>1</v>
      </c>
      <c r="HH11" s="6">
        <f>IF(SUMIFS('Locations Data'!$C:$C,'Locations Data'!$G:$G,$B11,'Locations Data'!$B:$B,HH$5)&gt;0,1,0)</f>
        <v>0</v>
      </c>
      <c r="HI11" s="6">
        <f>IF(SUMIFS('Locations Data'!$C:$C,'Locations Data'!$G:$G,$B11,'Locations Data'!$B:$B,HI$5)&gt;0,1,0)</f>
        <v>0</v>
      </c>
      <c r="HJ11" s="6">
        <f>IF(SUMIFS('Locations Data'!$C:$C,'Locations Data'!$G:$G,$B11,'Locations Data'!$B:$B,HJ$5)&gt;0,1,0)</f>
        <v>1</v>
      </c>
      <c r="HK11" s="6">
        <f>IF(SUMIFS('Locations Data'!$C:$C,'Locations Data'!$G:$G,$B11,'Locations Data'!$B:$B,HK$5)&gt;0,1,0)</f>
        <v>1</v>
      </c>
      <c r="HL11" s="6">
        <f>IF(SUMIFS('Locations Data'!$C:$C,'Locations Data'!$G:$G,$B11,'Locations Data'!$B:$B,HL$5)&gt;0,1,0)</f>
        <v>1</v>
      </c>
      <c r="HM11" s="6">
        <f>IF(SUMIFS('Locations Data'!$C:$C,'Locations Data'!$G:$G,$B11,'Locations Data'!$B:$B,HM$5)&gt;0,1,0)</f>
        <v>1</v>
      </c>
      <c r="HN11" s="6">
        <f>IF(SUMIFS('Locations Data'!$C:$C,'Locations Data'!$G:$G,$B11,'Locations Data'!$B:$B,HN$5)&gt;0,1,0)</f>
        <v>1</v>
      </c>
      <c r="HO11" s="6">
        <f>IF(SUMIFS('Locations Data'!$C:$C,'Locations Data'!$G:$G,$B11,'Locations Data'!$B:$B,HO$5)&gt;0,1,0)</f>
        <v>0</v>
      </c>
      <c r="HP11" s="6">
        <f>IF(SUMIFS('Locations Data'!$C:$C,'Locations Data'!$G:$G,$B11,'Locations Data'!$B:$B,HP$5)&gt;0,1,0)</f>
        <v>0</v>
      </c>
      <c r="HQ11" s="6">
        <f>IF(SUMIFS('Locations Data'!$C:$C,'Locations Data'!$G:$G,$B11,'Locations Data'!$B:$B,HQ$5)&gt;0,1,0)</f>
        <v>1</v>
      </c>
      <c r="HR11" s="6">
        <f>IF(SUMIFS('Locations Data'!$C:$C,'Locations Data'!$G:$G,$B11,'Locations Data'!$B:$B,HR$5)&gt;0,1,0)</f>
        <v>1</v>
      </c>
      <c r="HS11" s="6">
        <f>IF(SUMIFS('Locations Data'!$C:$C,'Locations Data'!$G:$G,$B11,'Locations Data'!$B:$B,HS$5)&gt;0,1,0)</f>
        <v>1</v>
      </c>
      <c r="HT11" s="6">
        <f>IF(SUMIFS('Locations Data'!$C:$C,'Locations Data'!$G:$G,$B11,'Locations Data'!$B:$B,HT$5)&gt;0,1,0)</f>
        <v>1</v>
      </c>
      <c r="HU11" s="6">
        <f>IF(SUMIFS('Locations Data'!$C:$C,'Locations Data'!$G:$G,$B11,'Locations Data'!$B:$B,HU$5)&gt;0,1,0)</f>
        <v>1</v>
      </c>
      <c r="HV11" s="6">
        <f>IF(SUMIFS('Locations Data'!$C:$C,'Locations Data'!$G:$G,$B11,'Locations Data'!$B:$B,HV$5)&gt;0,1,0)</f>
        <v>0</v>
      </c>
      <c r="HW11" s="6">
        <f>IF(SUMIFS('Locations Data'!$C:$C,'Locations Data'!$G:$G,$B11,'Locations Data'!$B:$B,HW$5)&gt;0,1,0)</f>
        <v>0</v>
      </c>
      <c r="HX11" s="6">
        <f>IF(SUMIFS('Locations Data'!$C:$C,'Locations Data'!$G:$G,$B11,'Locations Data'!$B:$B,HX$5)&gt;0,1,0)</f>
        <v>1</v>
      </c>
      <c r="HY11" s="6">
        <f>IF(SUMIFS('Locations Data'!$C:$C,'Locations Data'!$G:$G,$B11,'Locations Data'!$B:$B,HY$5)&gt;0,1,0)</f>
        <v>1</v>
      </c>
      <c r="HZ11" s="6">
        <f>IF(SUMIFS('Locations Data'!$C:$C,'Locations Data'!$G:$G,$B11,'Locations Data'!$B:$B,HZ$5)&gt;0,1,0)</f>
        <v>1</v>
      </c>
      <c r="IA11" s="6">
        <f>IF(SUMIFS('Locations Data'!$C:$C,'Locations Data'!$G:$G,$B11,'Locations Data'!$B:$B,IA$5)&gt;0,1,0)</f>
        <v>1</v>
      </c>
      <c r="IB11" s="6">
        <f>IF(SUMIFS('Locations Data'!$C:$C,'Locations Data'!$G:$G,$B11,'Locations Data'!$B:$B,IB$5)&gt;0,1,0)</f>
        <v>1</v>
      </c>
      <c r="IC11" s="6">
        <f>IF(SUMIFS('Locations Data'!$C:$C,'Locations Data'!$G:$G,$B11,'Locations Data'!$B:$B,IC$5)&gt;0,1,0)</f>
        <v>0</v>
      </c>
      <c r="ID11" s="6">
        <f>IF(SUMIFS('Locations Data'!$C:$C,'Locations Data'!$G:$G,$B11,'Locations Data'!$B:$B,ID$5)&gt;0,1,0)</f>
        <v>0</v>
      </c>
      <c r="IE11" s="6">
        <f>IF(SUMIFS('Locations Data'!$C:$C,'Locations Data'!$G:$G,$B11,'Locations Data'!$B:$B,IE$5)&gt;0,1,0)</f>
        <v>1</v>
      </c>
      <c r="IF11" s="6">
        <f>IF(SUMIFS('Locations Data'!$C:$C,'Locations Data'!$G:$G,$B11,'Locations Data'!$B:$B,IF$5)&gt;0,1,0)</f>
        <v>1</v>
      </c>
      <c r="IG11" s="6">
        <f>IF(SUMIFS('Locations Data'!$C:$C,'Locations Data'!$G:$G,$B11,'Locations Data'!$B:$B,IG$5)&gt;0,1,0)</f>
        <v>1</v>
      </c>
      <c r="IH11" s="6">
        <f>IF(SUMIFS('Locations Data'!$C:$C,'Locations Data'!$G:$G,$B11,'Locations Data'!$B:$B,IH$5)&gt;0,1,0)</f>
        <v>1</v>
      </c>
      <c r="II11" s="6">
        <f>IF(SUMIFS('Locations Data'!$C:$C,'Locations Data'!$G:$G,$B11,'Locations Data'!$B:$B,II$5)&gt;0,1,0)</f>
        <v>1</v>
      </c>
      <c r="IJ11" s="6">
        <f>IF(SUMIFS('Locations Data'!$C:$C,'Locations Data'!$G:$G,$B11,'Locations Data'!$B:$B,IJ$5)&gt;0,1,0)</f>
        <v>0</v>
      </c>
      <c r="IK11" s="6">
        <f>IF(SUMIFS('Locations Data'!$C:$C,'Locations Data'!$G:$G,$B11,'Locations Data'!$B:$B,IK$5)&gt;0,1,0)</f>
        <v>0</v>
      </c>
      <c r="IL11" s="6">
        <f>IF(SUMIFS('Locations Data'!$C:$C,'Locations Data'!$G:$G,$B11,'Locations Data'!$B:$B,IL$5)&gt;0,1,0)</f>
        <v>1</v>
      </c>
      <c r="IM11" s="6">
        <f>IF(SUMIFS('Locations Data'!$C:$C,'Locations Data'!$G:$G,$B11,'Locations Data'!$B:$B,IM$5)&gt;0,1,0)</f>
        <v>1</v>
      </c>
      <c r="IN11" s="6">
        <f>IF(SUMIFS('Locations Data'!$C:$C,'Locations Data'!$G:$G,$B11,'Locations Data'!$B:$B,IN$5)&gt;0,1,0)</f>
        <v>1</v>
      </c>
      <c r="IO11" s="6">
        <f>IF(SUMIFS('Locations Data'!$C:$C,'Locations Data'!$G:$G,$B11,'Locations Data'!$B:$B,IO$5)&gt;0,1,0)</f>
        <v>1</v>
      </c>
      <c r="IP11" s="6">
        <f>IF(SUMIFS('Locations Data'!$C:$C,'Locations Data'!$G:$G,$B11,'Locations Data'!$B:$B,IP$5)&gt;0,1,0)</f>
        <v>1</v>
      </c>
      <c r="IQ11" s="6">
        <f>IF(SUMIFS('Locations Data'!$C:$C,'Locations Data'!$G:$G,$B11,'Locations Data'!$B:$B,IQ$5)&gt;0,1,0)</f>
        <v>0</v>
      </c>
      <c r="IR11" s="6">
        <f>IF(SUMIFS('Locations Data'!$C:$C,'Locations Data'!$G:$G,$B11,'Locations Data'!$B:$B,IR$5)&gt;0,1,0)</f>
        <v>0</v>
      </c>
      <c r="IS11" s="6">
        <f>IF(SUMIFS('Locations Data'!$C:$C,'Locations Data'!$G:$G,$B11,'Locations Data'!$B:$B,IS$5)&gt;0,1,0)</f>
        <v>1</v>
      </c>
      <c r="IT11" s="6">
        <f>IF(SUMIFS('Locations Data'!$C:$C,'Locations Data'!$G:$G,$B11,'Locations Data'!$B:$B,IT$5)&gt;0,1,0)</f>
        <v>1</v>
      </c>
      <c r="IU11" s="6">
        <f>IF(SUMIFS('Locations Data'!$C:$C,'Locations Data'!$G:$G,$B11,'Locations Data'!$B:$B,IU$5)&gt;0,1,0)</f>
        <v>1</v>
      </c>
      <c r="IV11" s="6">
        <f>IF(SUMIFS('Locations Data'!$C:$C,'Locations Data'!$G:$G,$B11,'Locations Data'!$B:$B,IV$5)&gt;0,1,0)</f>
        <v>1</v>
      </c>
      <c r="IW11" s="6">
        <f>IF(SUMIFS('Locations Data'!$C:$C,'Locations Data'!$G:$G,$B11,'Locations Data'!$B:$B,IW$5)&gt;0,1,0)</f>
        <v>1</v>
      </c>
      <c r="IX11" s="6">
        <f>IF(SUMIFS('Locations Data'!$C:$C,'Locations Data'!$G:$G,$B11,'Locations Data'!$B:$B,IX$5)&gt;0,1,0)</f>
        <v>0</v>
      </c>
      <c r="IY11" s="6">
        <f>IF(SUMIFS('Locations Data'!$C:$C,'Locations Data'!$G:$G,$B11,'Locations Data'!$B:$B,IY$5)&gt;0,1,0)</f>
        <v>0</v>
      </c>
      <c r="IZ11" s="6">
        <f>IF(SUMIFS('Locations Data'!$C:$C,'Locations Data'!$G:$G,$B11,'Locations Data'!$B:$B,IZ$5)&gt;0,1,0)</f>
        <v>1</v>
      </c>
      <c r="JA11" s="6">
        <f>IF(SUMIFS('Locations Data'!$C:$C,'Locations Data'!$G:$G,$B11,'Locations Data'!$B:$B,JA$5)&gt;0,1,0)</f>
        <v>1</v>
      </c>
      <c r="JB11" s="6">
        <f>IF(SUMIFS('Locations Data'!$C:$C,'Locations Data'!$G:$G,$B11,'Locations Data'!$B:$B,JB$5)&gt;0,1,0)</f>
        <v>1</v>
      </c>
      <c r="JC11" s="6">
        <f>IF(SUMIFS('Locations Data'!$C:$C,'Locations Data'!$G:$G,$B11,'Locations Data'!$B:$B,JC$5)&gt;0,1,0)</f>
        <v>1</v>
      </c>
      <c r="JD11" s="6">
        <f>IF(SUMIFS('Locations Data'!$C:$C,'Locations Data'!$G:$G,$B11,'Locations Data'!$B:$B,JD$5)&gt;0,1,0)</f>
        <v>1</v>
      </c>
      <c r="JE11" s="6">
        <f>IF(SUMIFS('Locations Data'!$C:$C,'Locations Data'!$G:$G,$B11,'Locations Data'!$B:$B,JE$5)&gt;0,1,0)</f>
        <v>0</v>
      </c>
      <c r="JF11" s="6">
        <f>IF(SUMIFS('Locations Data'!$C:$C,'Locations Data'!$G:$G,$B11,'Locations Data'!$B:$B,JF$5)&gt;0,1,0)</f>
        <v>0</v>
      </c>
      <c r="JG11" s="6">
        <f>IF(SUMIFS('Locations Data'!$C:$C,'Locations Data'!$G:$G,$B11,'Locations Data'!$B:$B,JG$5)&gt;0,1,0)</f>
        <v>1</v>
      </c>
      <c r="JH11" s="6">
        <f>IF(SUMIFS('Locations Data'!$C:$C,'Locations Data'!$G:$G,$B11,'Locations Data'!$B:$B,JH$5)&gt;0,1,0)</f>
        <v>1</v>
      </c>
      <c r="JI11" s="6">
        <f>IF(SUMIFS('Locations Data'!$C:$C,'Locations Data'!$G:$G,$B11,'Locations Data'!$B:$B,JI$5)&gt;0,1,0)</f>
        <v>1</v>
      </c>
      <c r="JJ11" s="6">
        <f>IF(SUMIFS('Locations Data'!$C:$C,'Locations Data'!$G:$G,$B11,'Locations Data'!$B:$B,JJ$5)&gt;0,1,0)</f>
        <v>1</v>
      </c>
      <c r="JK11" s="6">
        <f>IF(SUMIFS('Locations Data'!$C:$C,'Locations Data'!$G:$G,$B11,'Locations Data'!$B:$B,JK$5)&gt;0,1,0)</f>
        <v>1</v>
      </c>
      <c r="JL11" s="6">
        <f>IF(SUMIFS('Locations Data'!$C:$C,'Locations Data'!$G:$G,$B11,'Locations Data'!$B:$B,JL$5)&gt;0,1,0)</f>
        <v>0</v>
      </c>
      <c r="JM11" s="6">
        <f>IF(SUMIFS('Locations Data'!$C:$C,'Locations Data'!$G:$G,$B11,'Locations Data'!$B:$B,JM$5)&gt;0,1,0)</f>
        <v>0</v>
      </c>
      <c r="JN11" s="6">
        <f>IF(SUMIFS('Locations Data'!$C:$C,'Locations Data'!$G:$G,$B11,'Locations Data'!$B:$B,JN$5)&gt;0,1,0)</f>
        <v>1</v>
      </c>
      <c r="JO11" s="6">
        <f>IF(SUMIFS('Locations Data'!$C:$C,'Locations Data'!$G:$G,$B11,'Locations Data'!$B:$B,JO$5)&gt;0,1,0)</f>
        <v>1</v>
      </c>
      <c r="JP11" s="6">
        <f>IF(SUMIFS('Locations Data'!$C:$C,'Locations Data'!$G:$G,$B11,'Locations Data'!$B:$B,JP$5)&gt;0,1,0)</f>
        <v>1</v>
      </c>
      <c r="JQ11" s="6">
        <f>IF(SUMIFS('Locations Data'!$C:$C,'Locations Data'!$G:$G,$B11,'Locations Data'!$B:$B,JQ$5)&gt;0,1,0)</f>
        <v>1</v>
      </c>
      <c r="JR11" s="6">
        <f>IF(SUMIFS('Locations Data'!$C:$C,'Locations Data'!$G:$G,$B11,'Locations Data'!$B:$B,JR$5)&gt;0,1,0)</f>
        <v>1</v>
      </c>
      <c r="JS11" s="6">
        <f>IF(SUMIFS('Locations Data'!$C:$C,'Locations Data'!$G:$G,$B11,'Locations Data'!$B:$B,JS$5)&gt;0,1,0)</f>
        <v>0</v>
      </c>
      <c r="JT11" s="6">
        <f>IF(SUMIFS('Locations Data'!$C:$C,'Locations Data'!$G:$G,$B11,'Locations Data'!$B:$B,JT$5)&gt;0,1,0)</f>
        <v>0</v>
      </c>
      <c r="JU11" s="6">
        <f>IF(SUMIFS('Locations Data'!$C:$C,'Locations Data'!$G:$G,$B11,'Locations Data'!$B:$B,JU$5)&gt;0,1,0)</f>
        <v>1</v>
      </c>
      <c r="JV11" s="6">
        <f>IF(SUMIFS('Locations Data'!$C:$C,'Locations Data'!$G:$G,$B11,'Locations Data'!$B:$B,JV$5)&gt;0,1,0)</f>
        <v>1</v>
      </c>
      <c r="JW11" s="6">
        <f>IF(SUMIFS('Locations Data'!$C:$C,'Locations Data'!$G:$G,$B11,'Locations Data'!$B:$B,JW$5)&gt;0,1,0)</f>
        <v>1</v>
      </c>
      <c r="JX11" s="6">
        <f>IF(SUMIFS('Locations Data'!$C:$C,'Locations Data'!$G:$G,$B11,'Locations Data'!$B:$B,JX$5)&gt;0,1,0)</f>
        <v>1</v>
      </c>
      <c r="JY11" s="6">
        <f>IF(SUMIFS('Locations Data'!$C:$C,'Locations Data'!$G:$G,$B11,'Locations Data'!$B:$B,JY$5)&gt;0,1,0)</f>
        <v>1</v>
      </c>
      <c r="JZ11" s="6">
        <f>IF(SUMIFS('Locations Data'!$C:$C,'Locations Data'!$G:$G,$B11,'Locations Data'!$B:$B,JZ$5)&gt;0,1,0)</f>
        <v>0</v>
      </c>
      <c r="KA11" s="6">
        <f>IF(SUMIFS('Locations Data'!$C:$C,'Locations Data'!$G:$G,$B11,'Locations Data'!$B:$B,KA$5)&gt;0,1,0)</f>
        <v>0</v>
      </c>
      <c r="KB11" s="6">
        <f>IF(SUMIFS('Locations Data'!$C:$C,'Locations Data'!$G:$G,$B11,'Locations Data'!$B:$B,KB$5)&gt;0,1,0)</f>
        <v>1</v>
      </c>
      <c r="KC11" s="6">
        <f>IF(SUMIFS('Locations Data'!$C:$C,'Locations Data'!$G:$G,$B11,'Locations Data'!$B:$B,KC$5)&gt;0,1,0)</f>
        <v>1</v>
      </c>
      <c r="KD11" s="6">
        <f>IF(SUMIFS('Locations Data'!$C:$C,'Locations Data'!$G:$G,$B11,'Locations Data'!$B:$B,KD$5)&gt;0,1,0)</f>
        <v>1</v>
      </c>
      <c r="KE11" s="6">
        <f>IF(SUMIFS('Locations Data'!$C:$C,'Locations Data'!$G:$G,$B11,'Locations Data'!$B:$B,KE$5)&gt;0,1,0)</f>
        <v>1</v>
      </c>
      <c r="KF11" s="6">
        <f>IF(SUMIFS('Locations Data'!$C:$C,'Locations Data'!$G:$G,$B11,'Locations Data'!$B:$B,KF$5)&gt;0,1,0)</f>
        <v>1</v>
      </c>
      <c r="KG11" s="6">
        <f>IF(SUMIFS('Locations Data'!$C:$C,'Locations Data'!$G:$G,$B11,'Locations Data'!$B:$B,KG$5)&gt;0,1,0)</f>
        <v>0</v>
      </c>
      <c r="KH11" s="6">
        <f>IF(SUMIFS('Locations Data'!$C:$C,'Locations Data'!$G:$G,$B11,'Locations Data'!$B:$B,KH$5)&gt;0,1,0)</f>
        <v>0</v>
      </c>
      <c r="KI11" s="6">
        <f>IF(SUMIFS('Locations Data'!$C:$C,'Locations Data'!$G:$G,$B11,'Locations Data'!$B:$B,KI$5)&gt;0,1,0)</f>
        <v>1</v>
      </c>
      <c r="KJ11" s="6">
        <f>IF(SUMIFS('Locations Data'!$C:$C,'Locations Data'!$G:$G,$B11,'Locations Data'!$B:$B,KJ$5)&gt;0,1,0)</f>
        <v>1</v>
      </c>
      <c r="KK11" s="6">
        <f>IF(SUMIFS('Locations Data'!$C:$C,'Locations Data'!$G:$G,$B11,'Locations Data'!$B:$B,KK$5)&gt;0,1,0)</f>
        <v>1</v>
      </c>
      <c r="KL11" s="6">
        <f>IF(SUMIFS('Locations Data'!$C:$C,'Locations Data'!$G:$G,$B11,'Locations Data'!$B:$B,KL$5)&gt;0,1,0)</f>
        <v>1</v>
      </c>
      <c r="KM11" s="6">
        <f>IF(SUMIFS('Locations Data'!$C:$C,'Locations Data'!$G:$G,$B11,'Locations Data'!$B:$B,KM$5)&gt;0,1,0)</f>
        <v>1</v>
      </c>
      <c r="KN11" s="6">
        <f>IF(SUMIFS('Locations Data'!$C:$C,'Locations Data'!$G:$G,$B11,'Locations Data'!$B:$B,KN$5)&gt;0,1,0)</f>
        <v>0</v>
      </c>
      <c r="KO11" s="6">
        <f>IF(SUMIFS('Locations Data'!$C:$C,'Locations Data'!$G:$G,$B11,'Locations Data'!$B:$B,KO$5)&gt;0,1,0)</f>
        <v>0</v>
      </c>
      <c r="KP11" s="6">
        <f>IF(SUMIFS('Locations Data'!$C:$C,'Locations Data'!$G:$G,$B11,'Locations Data'!$B:$B,KP$5)&gt;0,1,0)</f>
        <v>1</v>
      </c>
      <c r="KQ11" s="6">
        <f>IF(SUMIFS('Locations Data'!$C:$C,'Locations Data'!$G:$G,$B11,'Locations Data'!$B:$B,KQ$5)&gt;0,1,0)</f>
        <v>1</v>
      </c>
      <c r="KR11" s="6">
        <f>IF(SUMIFS('Locations Data'!$C:$C,'Locations Data'!$G:$G,$B11,'Locations Data'!$B:$B,KR$5)&gt;0,1,0)</f>
        <v>1</v>
      </c>
      <c r="KS11" s="6">
        <f>IF(SUMIFS('Locations Data'!$C:$C,'Locations Data'!$G:$G,$B11,'Locations Data'!$B:$B,KS$5)&gt;0,1,0)</f>
        <v>1</v>
      </c>
      <c r="KT11" s="6">
        <f>IF(SUMIFS('Locations Data'!$C:$C,'Locations Data'!$G:$G,$B11,'Locations Data'!$B:$B,KT$5)&gt;0,1,0)</f>
        <v>1</v>
      </c>
      <c r="KU11" s="6">
        <f>IF(SUMIFS('Locations Data'!$C:$C,'Locations Data'!$G:$G,$B11,'Locations Data'!$B:$B,KU$5)&gt;0,1,0)</f>
        <v>0</v>
      </c>
      <c r="KV11" s="6">
        <f>IF(SUMIFS('Locations Data'!$C:$C,'Locations Data'!$G:$G,$B11,'Locations Data'!$B:$B,KV$5)&gt;0,1,0)</f>
        <v>0</v>
      </c>
      <c r="KW11" s="6">
        <f>IF(SUMIFS('Locations Data'!$C:$C,'Locations Data'!$G:$G,$B11,'Locations Data'!$B:$B,KW$5)&gt;0,1,0)</f>
        <v>1</v>
      </c>
      <c r="KX11" s="6">
        <f>IF(SUMIFS('Locations Data'!$C:$C,'Locations Data'!$G:$G,$B11,'Locations Data'!$B:$B,KX$5)&gt;0,1,0)</f>
        <v>1</v>
      </c>
      <c r="KY11" s="6">
        <f>IF(SUMIFS('Locations Data'!$C:$C,'Locations Data'!$G:$G,$B11,'Locations Data'!$B:$B,KY$5)&gt;0,1,0)</f>
        <v>1</v>
      </c>
      <c r="KZ11" s="6">
        <f>IF(SUMIFS('Locations Data'!$C:$C,'Locations Data'!$G:$G,$B11,'Locations Data'!$B:$B,KZ$5)&gt;0,1,0)</f>
        <v>1</v>
      </c>
      <c r="LA11" s="6">
        <f>IF(SUMIFS('Locations Data'!$C:$C,'Locations Data'!$G:$G,$B11,'Locations Data'!$B:$B,LA$5)&gt;0,1,0)</f>
        <v>1</v>
      </c>
      <c r="LB11" s="6">
        <f>IF(SUMIFS('Locations Data'!$C:$C,'Locations Data'!$G:$G,$B11,'Locations Data'!$B:$B,LB$5)&gt;0,1,0)</f>
        <v>0</v>
      </c>
      <c r="LC11" s="6">
        <f>IF(SUMIFS('Locations Data'!$C:$C,'Locations Data'!$G:$G,$B11,'Locations Data'!$B:$B,LC$5)&gt;0,1,0)</f>
        <v>0</v>
      </c>
      <c r="LD11" s="6">
        <f>IF(SUMIFS('Locations Data'!$C:$C,'Locations Data'!$G:$G,$B11,'Locations Data'!$B:$B,LD$5)&gt;0,1,0)</f>
        <v>1</v>
      </c>
      <c r="LE11" s="6">
        <f>IF(SUMIFS('Locations Data'!$C:$C,'Locations Data'!$G:$G,$B11,'Locations Data'!$B:$B,LE$5)&gt;0,1,0)</f>
        <v>1</v>
      </c>
      <c r="LF11" s="6">
        <f>IF(SUMIFS('Locations Data'!$C:$C,'Locations Data'!$G:$G,$B11,'Locations Data'!$B:$B,LF$5)&gt;0,1,0)</f>
        <v>1</v>
      </c>
      <c r="LG11" s="6">
        <f>IF(SUMIFS('Locations Data'!$C:$C,'Locations Data'!$G:$G,$B11,'Locations Data'!$B:$B,LG$5)&gt;0,1,0)</f>
        <v>1</v>
      </c>
      <c r="LH11" s="6">
        <f>IF(SUMIFS('Locations Data'!$C:$C,'Locations Data'!$G:$G,$B11,'Locations Data'!$B:$B,LH$5)&gt;0,1,0)</f>
        <v>1</v>
      </c>
      <c r="LI11" s="6">
        <f>IF(SUMIFS('Locations Data'!$C:$C,'Locations Data'!$G:$G,$B11,'Locations Data'!$B:$B,LI$5)&gt;0,1,0)</f>
        <v>0</v>
      </c>
      <c r="LJ11" s="6">
        <f>IF(SUMIFS('Locations Data'!$C:$C,'Locations Data'!$G:$G,$B11,'Locations Data'!$B:$B,LJ$5)&gt;0,1,0)</f>
        <v>0</v>
      </c>
      <c r="LK11" s="6">
        <f>IF(SUMIFS('Locations Data'!$C:$C,'Locations Data'!$G:$G,$B11,'Locations Data'!$B:$B,LK$5)&gt;0,1,0)</f>
        <v>1</v>
      </c>
      <c r="LL11" s="6">
        <f>IF(SUMIFS('Locations Data'!$C:$C,'Locations Data'!$G:$G,$B11,'Locations Data'!$B:$B,LL$5)&gt;0,1,0)</f>
        <v>1</v>
      </c>
      <c r="LM11" s="6">
        <f>IF(SUMIFS('Locations Data'!$C:$C,'Locations Data'!$G:$G,$B11,'Locations Data'!$B:$B,LM$5)&gt;0,1,0)</f>
        <v>1</v>
      </c>
      <c r="LN11" s="6">
        <f>IF(SUMIFS('Locations Data'!$C:$C,'Locations Data'!$G:$G,$B11,'Locations Data'!$B:$B,LN$5)&gt;0,1,0)</f>
        <v>1</v>
      </c>
      <c r="LO11" s="6">
        <f>IF(SUMIFS('Locations Data'!$C:$C,'Locations Data'!$G:$G,$B11,'Locations Data'!$B:$B,LO$5)&gt;0,1,0)</f>
        <v>1</v>
      </c>
      <c r="LP11" s="6">
        <f>IF(SUMIFS('Locations Data'!$C:$C,'Locations Data'!$G:$G,$B11,'Locations Data'!$B:$B,LP$5)&gt;0,1,0)</f>
        <v>0</v>
      </c>
      <c r="LQ11" s="6">
        <f>IF(SUMIFS('Locations Data'!$C:$C,'Locations Data'!$G:$G,$B11,'Locations Data'!$B:$B,LQ$5)&gt;0,1,0)</f>
        <v>0</v>
      </c>
      <c r="LR11" s="6">
        <f>IF(SUMIFS('Locations Data'!$C:$C,'Locations Data'!$G:$G,$B11,'Locations Data'!$B:$B,LR$5)&gt;0,1,0)</f>
        <v>1</v>
      </c>
      <c r="LS11" s="6">
        <f>IF(SUMIFS('Locations Data'!$C:$C,'Locations Data'!$G:$G,$B11,'Locations Data'!$B:$B,LS$5)&gt;0,1,0)</f>
        <v>1</v>
      </c>
      <c r="LT11" s="6">
        <f>IF(SUMIFS('Locations Data'!$C:$C,'Locations Data'!$G:$G,$B11,'Locations Data'!$B:$B,LT$5)&gt;0,1,0)</f>
        <v>1</v>
      </c>
      <c r="LU11" s="6">
        <f>IF(SUMIFS('Locations Data'!$C:$C,'Locations Data'!$G:$G,$B11,'Locations Data'!$B:$B,LU$5)&gt;0,1,0)</f>
        <v>1</v>
      </c>
      <c r="LV11" s="6">
        <f>IF(SUMIFS('Locations Data'!$C:$C,'Locations Data'!$G:$G,$B11,'Locations Data'!$B:$B,LV$5)&gt;0,1,0)</f>
        <v>1</v>
      </c>
      <c r="LW11" s="6">
        <f>IF(SUMIFS('Locations Data'!$C:$C,'Locations Data'!$G:$G,$B11,'Locations Data'!$B:$B,LW$5)&gt;0,1,0)</f>
        <v>0</v>
      </c>
      <c r="LX11" s="6">
        <f>IF(SUMIFS('Locations Data'!$C:$C,'Locations Data'!$G:$G,$B11,'Locations Data'!$B:$B,LX$5)&gt;0,1,0)</f>
        <v>0</v>
      </c>
      <c r="LY11" s="6">
        <f>IF(SUMIFS('Locations Data'!$C:$C,'Locations Data'!$G:$G,$B11,'Locations Data'!$B:$B,LY$5)&gt;0,1,0)</f>
        <v>1</v>
      </c>
      <c r="LZ11" s="6">
        <f>IF(SUMIFS('Locations Data'!$C:$C,'Locations Data'!$G:$G,$B11,'Locations Data'!$B:$B,LZ$5)&gt;0,1,0)</f>
        <v>1</v>
      </c>
      <c r="MA11" s="6">
        <f>IF(SUMIFS('Locations Data'!$C:$C,'Locations Data'!$G:$G,$B11,'Locations Data'!$B:$B,MA$5)&gt;0,1,0)</f>
        <v>1</v>
      </c>
      <c r="MB11" s="6">
        <f>IF(SUMIFS('Locations Data'!$C:$C,'Locations Data'!$G:$G,$B11,'Locations Data'!$B:$B,MB$5)&gt;0,1,0)</f>
        <v>1</v>
      </c>
      <c r="MC11" s="6">
        <f>IF(SUMIFS('Locations Data'!$C:$C,'Locations Data'!$G:$G,$B11,'Locations Data'!$B:$B,MC$5)&gt;0,1,0)</f>
        <v>1</v>
      </c>
      <c r="MD11" s="6">
        <f>IF(SUMIFS('Locations Data'!$C:$C,'Locations Data'!$G:$G,$B11,'Locations Data'!$B:$B,MD$5)&gt;0,1,0)</f>
        <v>0</v>
      </c>
      <c r="ME11" s="6">
        <f>IF(SUMIFS('Locations Data'!$C:$C,'Locations Data'!$G:$G,$B11,'Locations Data'!$B:$B,ME$5)&gt;0,1,0)</f>
        <v>0</v>
      </c>
      <c r="MF11" s="6">
        <f>IF(SUMIFS('Locations Data'!$C:$C,'Locations Data'!$G:$G,$B11,'Locations Data'!$B:$B,MF$5)&gt;0,1,0)</f>
        <v>1</v>
      </c>
      <c r="MG11" s="6">
        <f>IF(SUMIFS('Locations Data'!$C:$C,'Locations Data'!$G:$G,$B11,'Locations Data'!$B:$B,MG$5)&gt;0,1,0)</f>
        <v>1</v>
      </c>
      <c r="MH11" s="6">
        <f>IF(SUMIFS('Locations Data'!$C:$C,'Locations Data'!$G:$G,$B11,'Locations Data'!$B:$B,MH$5)&gt;0,1,0)</f>
        <v>1</v>
      </c>
      <c r="MI11" s="6">
        <f>IF(SUMIFS('Locations Data'!$C:$C,'Locations Data'!$G:$G,$B11,'Locations Data'!$B:$B,MI$5)&gt;0,1,0)</f>
        <v>1</v>
      </c>
      <c r="MJ11" s="6">
        <f>IF(SUMIFS('Locations Data'!$C:$C,'Locations Data'!$G:$G,$B11,'Locations Data'!$B:$B,MJ$5)&gt;0,1,0)</f>
        <v>1</v>
      </c>
      <c r="MK11" s="6">
        <f>IF(SUMIFS('Locations Data'!$C:$C,'Locations Data'!$G:$G,$B11,'Locations Data'!$B:$B,MK$5)&gt;0,1,0)</f>
        <v>0</v>
      </c>
      <c r="ML11" s="6">
        <f>IF(SUMIFS('Locations Data'!$C:$C,'Locations Data'!$G:$G,$B11,'Locations Data'!$B:$B,ML$5)&gt;0,1,0)</f>
        <v>0</v>
      </c>
      <c r="MM11" s="6">
        <f>IF(SUMIFS('Locations Data'!$C:$C,'Locations Data'!$G:$G,$B11,'Locations Data'!$B:$B,MM$5)&gt;0,1,0)</f>
        <v>1</v>
      </c>
      <c r="MN11" s="6">
        <f>IF(SUMIFS('Locations Data'!$C:$C,'Locations Data'!$G:$G,$B11,'Locations Data'!$B:$B,MN$5)&gt;0,1,0)</f>
        <v>1</v>
      </c>
      <c r="MO11" s="6">
        <f>IF(SUMIFS('Locations Data'!$C:$C,'Locations Data'!$G:$G,$B11,'Locations Data'!$B:$B,MO$5)&gt;0,1,0)</f>
        <v>1</v>
      </c>
      <c r="MP11" s="6">
        <f>IF(SUMIFS('Locations Data'!$C:$C,'Locations Data'!$G:$G,$B11,'Locations Data'!$B:$B,MP$5)&gt;0,1,0)</f>
        <v>1</v>
      </c>
      <c r="MQ11" s="6">
        <f>IF(SUMIFS('Locations Data'!$C:$C,'Locations Data'!$G:$G,$B11,'Locations Data'!$B:$B,MQ$5)&gt;0,1,0)</f>
        <v>1</v>
      </c>
      <c r="MR11" s="6">
        <f>IF(SUMIFS('Locations Data'!$C:$C,'Locations Data'!$G:$G,$B11,'Locations Data'!$B:$B,MR$5)&gt;0,1,0)</f>
        <v>0</v>
      </c>
      <c r="MS11" s="6">
        <f>IF(SUMIFS('Locations Data'!$C:$C,'Locations Data'!$G:$G,$B11,'Locations Data'!$B:$B,MS$5)&gt;0,1,0)</f>
        <v>0</v>
      </c>
      <c r="MT11" s="6">
        <f>IF(SUMIFS('Locations Data'!$C:$C,'Locations Data'!$G:$G,$B11,'Locations Data'!$B:$B,MT$5)&gt;0,1,0)</f>
        <v>1</v>
      </c>
      <c r="MU11" s="6">
        <f>IF(SUMIFS('Locations Data'!$C:$C,'Locations Data'!$G:$G,$B11,'Locations Data'!$B:$B,MU$5)&gt;0,1,0)</f>
        <v>1</v>
      </c>
      <c r="MV11" s="6">
        <f>IF(SUMIFS('Locations Data'!$C:$C,'Locations Data'!$G:$G,$B11,'Locations Data'!$B:$B,MV$5)&gt;0,1,0)</f>
        <v>1</v>
      </c>
      <c r="MW11" s="26">
        <v>0</v>
      </c>
      <c r="MX11" s="6">
        <f>IF(SUMIFS('Locations Data'!$C:$C,'Locations Data'!$G:$G,$B11,'Locations Data'!$B:$B,MX$5)&gt;0,1,0)</f>
        <v>1</v>
      </c>
      <c r="MY11" s="6">
        <f>IF(SUMIFS('Locations Data'!$C:$C,'Locations Data'!$G:$G,$B11,'Locations Data'!$B:$B,MY$5)&gt;0,1,0)</f>
        <v>0</v>
      </c>
      <c r="MZ11" s="6">
        <f>IF(SUMIFS('Locations Data'!$C:$C,'Locations Data'!$G:$G,$B11,'Locations Data'!$B:$B,MZ$5)&gt;0,1,0)</f>
        <v>0</v>
      </c>
      <c r="NA11" s="6">
        <f>IF(SUMIFS('Locations Data'!$C:$C,'Locations Data'!$G:$G,$B11,'Locations Data'!$B:$B,NA$5)&gt;0,1,0)</f>
        <v>1</v>
      </c>
      <c r="NB11" s="6">
        <f>IF(SUMIFS('Locations Data'!$C:$C,'Locations Data'!$G:$G,$B11,'Locations Data'!$B:$B,NB$5)&gt;0,1,0)</f>
        <v>1</v>
      </c>
      <c r="NC11" s="6">
        <f>IF(SUMIFS('Locations Data'!$C:$C,'Locations Data'!$G:$G,$B11,'Locations Data'!$B:$B,NC$5)&gt;0,1,0)</f>
        <v>1</v>
      </c>
    </row>
    <row r="12" spans="2:367">
      <c r="B12" s="20" t="s">
        <v>306</v>
      </c>
      <c r="C12" s="6">
        <v>0</v>
      </c>
      <c r="D12" s="6">
        <f>IF(SUMIFS('Locations Data'!$C:$C,'Locations Data'!$G:$G,$B12,'Locations Data'!$B:$B,D$5)&gt;0,1,0)</f>
        <v>1</v>
      </c>
      <c r="E12" s="6">
        <f>IF(SUMIFS('Locations Data'!$C:$C,'Locations Data'!$G:$G,$B12,'Locations Data'!$B:$B,E$5)&gt;0,1,0)</f>
        <v>1</v>
      </c>
      <c r="F12" s="6">
        <f>IF(SUMIFS('Locations Data'!$C:$C,'Locations Data'!$G:$G,$B12,'Locations Data'!$B:$B,F$5)&gt;0,1,0)</f>
        <v>0</v>
      </c>
      <c r="G12" s="6">
        <f>IF(SUMIFS('Locations Data'!$C:$C,'Locations Data'!$G:$G,$B12,'Locations Data'!$B:$B,G$5)&gt;0,1,0)</f>
        <v>0</v>
      </c>
      <c r="H12" s="6">
        <f>IF(SUMIFS('Locations Data'!$C:$C,'Locations Data'!$G:$G,$B12,'Locations Data'!$B:$B,H$5)&gt;0,1,0)</f>
        <v>1</v>
      </c>
      <c r="I12" s="6">
        <f>IF(SUMIFS('Locations Data'!$C:$C,'Locations Data'!$G:$G,$B12,'Locations Data'!$B:$B,I$5)&gt;0,1,0)</f>
        <v>1</v>
      </c>
      <c r="J12" s="6">
        <f>IF(SUMIFS('Locations Data'!$C:$C,'Locations Data'!$G:$G,$B12,'Locations Data'!$B:$B,J$5)&gt;0,1,0)</f>
        <v>1</v>
      </c>
      <c r="K12" s="6">
        <f>IF(SUMIFS('Locations Data'!$C:$C,'Locations Data'!$G:$G,$B12,'Locations Data'!$B:$B,K$5)&gt;0,1,0)</f>
        <v>1</v>
      </c>
      <c r="L12" s="6">
        <f>IF(SUMIFS('Locations Data'!$C:$C,'Locations Data'!$G:$G,$B12,'Locations Data'!$B:$B,L$5)&gt;0,1,0)</f>
        <v>1</v>
      </c>
      <c r="M12" s="6">
        <f>IF(SUMIFS('Locations Data'!$C:$C,'Locations Data'!$G:$G,$B12,'Locations Data'!$B:$B,M$5)&gt;0,1,0)</f>
        <v>0</v>
      </c>
      <c r="N12" s="6">
        <f>IF(SUMIFS('Locations Data'!$C:$C,'Locations Data'!$G:$G,$B12,'Locations Data'!$B:$B,N$5)&gt;0,1,0)</f>
        <v>0</v>
      </c>
      <c r="O12" s="6">
        <f>IF(SUMIFS('Locations Data'!$C:$C,'Locations Data'!$G:$G,$B12,'Locations Data'!$B:$B,O$5)&gt;0,1,0)</f>
        <v>1</v>
      </c>
      <c r="P12" s="6">
        <f>IF(SUMIFS('Locations Data'!$C:$C,'Locations Data'!$G:$G,$B12,'Locations Data'!$B:$B,P$5)&gt;0,1,0)</f>
        <v>1</v>
      </c>
      <c r="Q12" s="6">
        <f>IF(SUMIFS('Locations Data'!$C:$C,'Locations Data'!$G:$G,$B12,'Locations Data'!$B:$B,Q$5)&gt;0,1,0)</f>
        <v>1</v>
      </c>
      <c r="R12" s="6">
        <f>IF(SUMIFS('Locations Data'!$C:$C,'Locations Data'!$G:$G,$B12,'Locations Data'!$B:$B,R$5)&gt;0,1,0)</f>
        <v>1</v>
      </c>
      <c r="S12" s="6">
        <f>IF(SUMIFS('Locations Data'!$C:$C,'Locations Data'!$G:$G,$B12,'Locations Data'!$B:$B,S$5)&gt;0,1,0)</f>
        <v>1</v>
      </c>
      <c r="T12" s="6">
        <f>IF(SUMIFS('Locations Data'!$C:$C,'Locations Data'!$G:$G,$B12,'Locations Data'!$B:$B,T$5)&gt;0,1,0)</f>
        <v>0</v>
      </c>
      <c r="U12" s="6">
        <f>IF(SUMIFS('Locations Data'!$C:$C,'Locations Data'!$G:$G,$B12,'Locations Data'!$B:$B,U$5)&gt;0,1,0)</f>
        <v>0</v>
      </c>
      <c r="V12" s="6">
        <f>IF(SUMIFS('Locations Data'!$C:$C,'Locations Data'!$G:$G,$B12,'Locations Data'!$B:$B,V$5)&gt;0,1,0)</f>
        <v>1</v>
      </c>
      <c r="W12" s="6">
        <f>IF(SUMIFS('Locations Data'!$C:$C,'Locations Data'!$G:$G,$B12,'Locations Data'!$B:$B,W$5)&gt;0,1,0)</f>
        <v>1</v>
      </c>
      <c r="X12" s="6">
        <f>IF(SUMIFS('Locations Data'!$C:$C,'Locations Data'!$G:$G,$B12,'Locations Data'!$B:$B,X$5)&gt;0,1,0)</f>
        <v>1</v>
      </c>
      <c r="Y12" s="6">
        <f>IF(SUMIFS('Locations Data'!$C:$C,'Locations Data'!$G:$G,$B12,'Locations Data'!$B:$B,Y$5)&gt;0,1,0)</f>
        <v>1</v>
      </c>
      <c r="Z12" s="6">
        <f>IF(SUMIFS('Locations Data'!$C:$C,'Locations Data'!$G:$G,$B12,'Locations Data'!$B:$B,Z$5)&gt;0,1,0)</f>
        <v>1</v>
      </c>
      <c r="AA12" s="6">
        <f>IF(SUMIFS('Locations Data'!$C:$C,'Locations Data'!$G:$G,$B12,'Locations Data'!$B:$B,AA$5)&gt;0,1,0)</f>
        <v>0</v>
      </c>
      <c r="AB12" s="6">
        <f>IF(SUMIFS('Locations Data'!$C:$C,'Locations Data'!$G:$G,$B12,'Locations Data'!$B:$B,AB$5)&gt;0,1,0)</f>
        <v>0</v>
      </c>
      <c r="AC12" s="6">
        <f>IF(SUMIFS('Locations Data'!$C:$C,'Locations Data'!$G:$G,$B12,'Locations Data'!$B:$B,AC$5)&gt;0,1,0)</f>
        <v>1</v>
      </c>
      <c r="AD12" s="6">
        <f>IF(SUMIFS('Locations Data'!$C:$C,'Locations Data'!$G:$G,$B12,'Locations Data'!$B:$B,AD$5)&gt;0,1,0)</f>
        <v>1</v>
      </c>
      <c r="AE12" s="6">
        <f>IF(SUMIFS('Locations Data'!$C:$C,'Locations Data'!$G:$G,$B12,'Locations Data'!$B:$B,AE$5)&gt;0,1,0)</f>
        <v>1</v>
      </c>
      <c r="AF12" s="6">
        <f>IF(SUMIFS('Locations Data'!$C:$C,'Locations Data'!$G:$G,$B12,'Locations Data'!$B:$B,AF$5)&gt;0,1,0)</f>
        <v>1</v>
      </c>
      <c r="AG12" s="6">
        <f>IF(SUMIFS('Locations Data'!$C:$C,'Locations Data'!$G:$G,$B12,'Locations Data'!$B:$B,AG$5)&gt;0,1,0)</f>
        <v>1</v>
      </c>
      <c r="AH12" s="6">
        <f>IF(SUMIFS('Locations Data'!$C:$C,'Locations Data'!$G:$G,$B12,'Locations Data'!$B:$B,AH$5)&gt;0,1,0)</f>
        <v>0</v>
      </c>
      <c r="AI12" s="6">
        <f>IF(SUMIFS('Locations Data'!$C:$C,'Locations Data'!$G:$G,$B12,'Locations Data'!$B:$B,AI$5)&gt;0,1,0)</f>
        <v>0</v>
      </c>
      <c r="AJ12" s="6">
        <f>IF(SUMIFS('Locations Data'!$C:$C,'Locations Data'!$G:$G,$B12,'Locations Data'!$B:$B,AJ$5)&gt;0,1,0)</f>
        <v>1</v>
      </c>
      <c r="AK12" s="6">
        <f>IF(SUMIFS('Locations Data'!$C:$C,'Locations Data'!$G:$G,$B12,'Locations Data'!$B:$B,AK$5)&gt;0,1,0)</f>
        <v>1</v>
      </c>
      <c r="AL12" s="6">
        <f>IF(SUMIFS('Locations Data'!$C:$C,'Locations Data'!$G:$G,$B12,'Locations Data'!$B:$B,AL$5)&gt;0,1,0)</f>
        <v>1</v>
      </c>
      <c r="AM12" s="6">
        <f>IF(SUMIFS('Locations Data'!$C:$C,'Locations Data'!$G:$G,$B12,'Locations Data'!$B:$B,AM$5)&gt;0,1,0)</f>
        <v>1</v>
      </c>
      <c r="AN12" s="6">
        <f>IF(SUMIFS('Locations Data'!$C:$C,'Locations Data'!$G:$G,$B12,'Locations Data'!$B:$B,AN$5)&gt;0,1,0)</f>
        <v>1</v>
      </c>
      <c r="AO12" s="6">
        <f>IF(SUMIFS('Locations Data'!$C:$C,'Locations Data'!$G:$G,$B12,'Locations Data'!$B:$B,AO$5)&gt;0,1,0)</f>
        <v>0</v>
      </c>
      <c r="AP12" s="6">
        <f>IF(SUMIFS('Locations Data'!$C:$C,'Locations Data'!$G:$G,$B12,'Locations Data'!$B:$B,AP$5)&gt;0,1,0)</f>
        <v>0</v>
      </c>
      <c r="AQ12" s="6">
        <f>IF(SUMIFS('Locations Data'!$C:$C,'Locations Data'!$G:$G,$B12,'Locations Data'!$B:$B,AQ$5)&gt;0,1,0)</f>
        <v>1</v>
      </c>
      <c r="AR12" s="6">
        <f>IF(SUMIFS('Locations Data'!$C:$C,'Locations Data'!$G:$G,$B12,'Locations Data'!$B:$B,AR$5)&gt;0,1,0)</f>
        <v>1</v>
      </c>
      <c r="AS12" s="6">
        <f>IF(SUMIFS('Locations Data'!$C:$C,'Locations Data'!$G:$G,$B12,'Locations Data'!$B:$B,AS$5)&gt;0,1,0)</f>
        <v>1</v>
      </c>
      <c r="AT12" s="6">
        <f>IF(SUMIFS('Locations Data'!$C:$C,'Locations Data'!$G:$G,$B12,'Locations Data'!$B:$B,AT$5)&gt;0,1,0)</f>
        <v>1</v>
      </c>
      <c r="AU12" s="6">
        <f>IF(SUMIFS('Locations Data'!$C:$C,'Locations Data'!$G:$G,$B12,'Locations Data'!$B:$B,AU$5)&gt;0,1,0)</f>
        <v>1</v>
      </c>
      <c r="AV12" s="6">
        <f>IF(SUMIFS('Locations Data'!$C:$C,'Locations Data'!$G:$G,$B12,'Locations Data'!$B:$B,AV$5)&gt;0,1,0)</f>
        <v>0</v>
      </c>
      <c r="AW12" s="6">
        <f>IF(SUMIFS('Locations Data'!$C:$C,'Locations Data'!$G:$G,$B12,'Locations Data'!$B:$B,AW$5)&gt;0,1,0)</f>
        <v>0</v>
      </c>
      <c r="AX12" s="6">
        <f>IF(SUMIFS('Locations Data'!$C:$C,'Locations Data'!$G:$G,$B12,'Locations Data'!$B:$B,AX$5)&gt;0,1,0)</f>
        <v>1</v>
      </c>
      <c r="AY12" s="6">
        <f>IF(SUMIFS('Locations Data'!$C:$C,'Locations Data'!$G:$G,$B12,'Locations Data'!$B:$B,AY$5)&gt;0,1,0)</f>
        <v>1</v>
      </c>
      <c r="AZ12" s="6">
        <f>IF(SUMIFS('Locations Data'!$C:$C,'Locations Data'!$G:$G,$B12,'Locations Data'!$B:$B,AZ$5)&gt;0,1,0)</f>
        <v>1</v>
      </c>
      <c r="BA12" s="6">
        <f>IF(SUMIFS('Locations Data'!$C:$C,'Locations Data'!$G:$G,$B12,'Locations Data'!$B:$B,BA$5)&gt;0,1,0)</f>
        <v>1</v>
      </c>
      <c r="BB12" s="6">
        <f>IF(SUMIFS('Locations Data'!$C:$C,'Locations Data'!$G:$G,$B12,'Locations Data'!$B:$B,BB$5)&gt;0,1,0)</f>
        <v>1</v>
      </c>
      <c r="BC12" s="6">
        <f>IF(SUMIFS('Locations Data'!$C:$C,'Locations Data'!$G:$G,$B12,'Locations Data'!$B:$B,BC$5)&gt;0,1,0)</f>
        <v>0</v>
      </c>
      <c r="BD12" s="6">
        <f>IF(SUMIFS('Locations Data'!$C:$C,'Locations Data'!$G:$G,$B12,'Locations Data'!$B:$B,BD$5)&gt;0,1,0)</f>
        <v>0</v>
      </c>
      <c r="BE12" s="6">
        <f>IF(SUMIFS('Locations Data'!$C:$C,'Locations Data'!$G:$G,$B12,'Locations Data'!$B:$B,BE$5)&gt;0,1,0)</f>
        <v>1</v>
      </c>
      <c r="BF12" s="6">
        <f>IF(SUMIFS('Locations Data'!$C:$C,'Locations Data'!$G:$G,$B12,'Locations Data'!$B:$B,BF$5)&gt;0,1,0)</f>
        <v>1</v>
      </c>
      <c r="BG12" s="6">
        <f>IF(SUMIFS('Locations Data'!$C:$C,'Locations Data'!$G:$G,$B12,'Locations Data'!$B:$B,BG$5)&gt;0,1,0)</f>
        <v>1</v>
      </c>
      <c r="BH12" s="6">
        <f>IF(SUMIFS('Locations Data'!$C:$C,'Locations Data'!$G:$G,$B12,'Locations Data'!$B:$B,BH$5)&gt;0,1,0)</f>
        <v>1</v>
      </c>
      <c r="BI12" s="6">
        <f>IF(SUMIFS('Locations Data'!$C:$C,'Locations Data'!$G:$G,$B12,'Locations Data'!$B:$B,BI$5)&gt;0,1,0)</f>
        <v>1</v>
      </c>
      <c r="BJ12" s="6">
        <f>IF(SUMIFS('Locations Data'!$C:$C,'Locations Data'!$G:$G,$B12,'Locations Data'!$B:$B,BJ$5)&gt;0,1,0)</f>
        <v>0</v>
      </c>
      <c r="BK12" s="6">
        <f>IF(SUMIFS('Locations Data'!$C:$C,'Locations Data'!$G:$G,$B12,'Locations Data'!$B:$B,BK$5)&gt;0,1,0)</f>
        <v>0</v>
      </c>
      <c r="BL12" s="6">
        <f>IF(SUMIFS('Locations Data'!$C:$C,'Locations Data'!$G:$G,$B12,'Locations Data'!$B:$B,BL$5)&gt;0,1,0)</f>
        <v>1</v>
      </c>
      <c r="BM12" s="6">
        <f>IF(SUMIFS('Locations Data'!$C:$C,'Locations Data'!$G:$G,$B12,'Locations Data'!$B:$B,BM$5)&gt;0,1,0)</f>
        <v>1</v>
      </c>
      <c r="BN12" s="6">
        <f>IF(SUMIFS('Locations Data'!$C:$C,'Locations Data'!$G:$G,$B12,'Locations Data'!$B:$B,BN$5)&gt;0,1,0)</f>
        <v>1</v>
      </c>
      <c r="BO12" s="6">
        <f>IF(SUMIFS('Locations Data'!$C:$C,'Locations Data'!$G:$G,$B12,'Locations Data'!$B:$B,BO$5)&gt;0,1,0)</f>
        <v>1</v>
      </c>
      <c r="BP12" s="6">
        <f>IF(SUMIFS('Locations Data'!$C:$C,'Locations Data'!$G:$G,$B12,'Locations Data'!$B:$B,BP$5)&gt;0,1,0)</f>
        <v>1</v>
      </c>
      <c r="BQ12" s="6">
        <f>IF(SUMIFS('Locations Data'!$C:$C,'Locations Data'!$G:$G,$B12,'Locations Data'!$B:$B,BQ$5)&gt;0,1,0)</f>
        <v>0</v>
      </c>
      <c r="BR12" s="6">
        <f>IF(SUMIFS('Locations Data'!$C:$C,'Locations Data'!$G:$G,$B12,'Locations Data'!$B:$B,BR$5)&gt;0,1,0)</f>
        <v>0</v>
      </c>
      <c r="BS12" s="6">
        <f>IF(SUMIFS('Locations Data'!$C:$C,'Locations Data'!$G:$G,$B12,'Locations Data'!$B:$B,BS$5)&gt;0,1,0)</f>
        <v>1</v>
      </c>
      <c r="BT12" s="6">
        <f>IF(SUMIFS('Locations Data'!$C:$C,'Locations Data'!$G:$G,$B12,'Locations Data'!$B:$B,BT$5)&gt;0,1,0)</f>
        <v>1</v>
      </c>
      <c r="BU12" s="6">
        <f>IF(SUMIFS('Locations Data'!$C:$C,'Locations Data'!$G:$G,$B12,'Locations Data'!$B:$B,BU$5)&gt;0,1,0)</f>
        <v>1</v>
      </c>
      <c r="BV12" s="6">
        <f>IF(SUMIFS('Locations Data'!$C:$C,'Locations Data'!$G:$G,$B12,'Locations Data'!$B:$B,BV$5)&gt;0,1,0)</f>
        <v>1</v>
      </c>
      <c r="BW12" s="6">
        <f>IF(SUMIFS('Locations Data'!$C:$C,'Locations Data'!$G:$G,$B12,'Locations Data'!$B:$B,BW$5)&gt;0,1,0)</f>
        <v>1</v>
      </c>
      <c r="BX12" s="6">
        <f>IF(SUMIFS('Locations Data'!$C:$C,'Locations Data'!$G:$G,$B12,'Locations Data'!$B:$B,BX$5)&gt;0,1,0)</f>
        <v>0</v>
      </c>
      <c r="BY12" s="6">
        <f>IF(SUMIFS('Locations Data'!$C:$C,'Locations Data'!$G:$G,$B12,'Locations Data'!$B:$B,BY$5)&gt;0,1,0)</f>
        <v>0</v>
      </c>
      <c r="BZ12" s="6">
        <f>IF(SUMIFS('Locations Data'!$C:$C,'Locations Data'!$G:$G,$B12,'Locations Data'!$B:$B,BZ$5)&gt;0,1,0)</f>
        <v>1</v>
      </c>
      <c r="CA12" s="6">
        <f>IF(SUMIFS('Locations Data'!$C:$C,'Locations Data'!$G:$G,$B12,'Locations Data'!$B:$B,CA$5)&gt;0,1,0)</f>
        <v>1</v>
      </c>
      <c r="CB12" s="6">
        <f>IF(SUMIFS('Locations Data'!$C:$C,'Locations Data'!$G:$G,$B12,'Locations Data'!$B:$B,CB$5)&gt;0,1,0)</f>
        <v>1</v>
      </c>
      <c r="CC12" s="6">
        <f>IF(SUMIFS('Locations Data'!$C:$C,'Locations Data'!$G:$G,$B12,'Locations Data'!$B:$B,CC$5)&gt;0,1,0)</f>
        <v>1</v>
      </c>
      <c r="CD12" s="6">
        <f>IF(SUMIFS('Locations Data'!$C:$C,'Locations Data'!$G:$G,$B12,'Locations Data'!$B:$B,CD$5)&gt;0,1,0)</f>
        <v>1</v>
      </c>
      <c r="CE12" s="6">
        <f>IF(SUMIFS('Locations Data'!$C:$C,'Locations Data'!$G:$G,$B12,'Locations Data'!$B:$B,CE$5)&gt;0,1,0)</f>
        <v>0</v>
      </c>
      <c r="CF12" s="6">
        <f>IF(SUMIFS('Locations Data'!$C:$C,'Locations Data'!$G:$G,$B12,'Locations Data'!$B:$B,CF$5)&gt;0,1,0)</f>
        <v>0</v>
      </c>
      <c r="CG12" s="6">
        <f>IF(SUMIFS('Locations Data'!$C:$C,'Locations Data'!$G:$G,$B12,'Locations Data'!$B:$B,CG$5)&gt;0,1,0)</f>
        <v>1</v>
      </c>
      <c r="CH12" s="6">
        <f>IF(SUMIFS('Locations Data'!$C:$C,'Locations Data'!$G:$G,$B12,'Locations Data'!$B:$B,CH$5)&gt;0,1,0)</f>
        <v>1</v>
      </c>
      <c r="CI12" s="6">
        <f>IF(SUMIFS('Locations Data'!$C:$C,'Locations Data'!$G:$G,$B12,'Locations Data'!$B:$B,CI$5)&gt;0,1,0)</f>
        <v>1</v>
      </c>
      <c r="CJ12" s="6">
        <f>IF(SUMIFS('Locations Data'!$C:$C,'Locations Data'!$G:$G,$B12,'Locations Data'!$B:$B,CJ$5)&gt;0,1,0)</f>
        <v>1</v>
      </c>
      <c r="CK12" s="6">
        <f>IF(SUMIFS('Locations Data'!$C:$C,'Locations Data'!$G:$G,$B12,'Locations Data'!$B:$B,CK$5)&gt;0,1,0)</f>
        <v>1</v>
      </c>
      <c r="CL12" s="6">
        <f>IF(SUMIFS('Locations Data'!$C:$C,'Locations Data'!$G:$G,$B12,'Locations Data'!$B:$B,CL$5)&gt;0,1,0)</f>
        <v>0</v>
      </c>
      <c r="CM12" s="6">
        <f>IF(SUMIFS('Locations Data'!$C:$C,'Locations Data'!$G:$G,$B12,'Locations Data'!$B:$B,CM$5)&gt;0,1,0)</f>
        <v>0</v>
      </c>
      <c r="CN12" s="6">
        <f>IF(SUMIFS('Locations Data'!$C:$C,'Locations Data'!$G:$G,$B12,'Locations Data'!$B:$B,CN$5)&gt;0,1,0)</f>
        <v>1</v>
      </c>
      <c r="CO12" s="6">
        <f>IF(SUMIFS('Locations Data'!$C:$C,'Locations Data'!$G:$G,$B12,'Locations Data'!$B:$B,CO$5)&gt;0,1,0)</f>
        <v>1</v>
      </c>
      <c r="CP12" s="6">
        <f>IF(SUMIFS('Locations Data'!$C:$C,'Locations Data'!$G:$G,$B12,'Locations Data'!$B:$B,CP$5)&gt;0,1,0)</f>
        <v>1</v>
      </c>
      <c r="CQ12" s="6">
        <f>IF(SUMIFS('Locations Data'!$C:$C,'Locations Data'!$G:$G,$B12,'Locations Data'!$B:$B,CQ$5)&gt;0,1,0)</f>
        <v>1</v>
      </c>
      <c r="CR12" s="6">
        <f>IF(SUMIFS('Locations Data'!$C:$C,'Locations Data'!$G:$G,$B12,'Locations Data'!$B:$B,CR$5)&gt;0,1,0)</f>
        <v>1</v>
      </c>
      <c r="CS12" s="6">
        <f>IF(SUMIFS('Locations Data'!$C:$C,'Locations Data'!$G:$G,$B12,'Locations Data'!$B:$B,CS$5)&gt;0,1,0)</f>
        <v>0</v>
      </c>
      <c r="CT12" s="6">
        <f>IF(SUMIFS('Locations Data'!$C:$C,'Locations Data'!$G:$G,$B12,'Locations Data'!$B:$B,CT$5)&gt;0,1,0)</f>
        <v>0</v>
      </c>
      <c r="CU12" s="6">
        <f>IF(SUMIFS('Locations Data'!$C:$C,'Locations Data'!$G:$G,$B12,'Locations Data'!$B:$B,CU$5)&gt;0,1,0)</f>
        <v>1</v>
      </c>
      <c r="CV12" s="6">
        <f>IF(SUMIFS('Locations Data'!$C:$C,'Locations Data'!$G:$G,$B12,'Locations Data'!$B:$B,CV$5)&gt;0,1,0)</f>
        <v>1</v>
      </c>
      <c r="CW12" s="6">
        <f>IF(SUMIFS('Locations Data'!$C:$C,'Locations Data'!$G:$G,$B12,'Locations Data'!$B:$B,CW$5)&gt;0,1,0)</f>
        <v>1</v>
      </c>
      <c r="CX12" s="6">
        <f>IF(SUMIFS('Locations Data'!$C:$C,'Locations Data'!$G:$G,$B12,'Locations Data'!$B:$B,CX$5)&gt;0,1,0)</f>
        <v>1</v>
      </c>
      <c r="CY12" s="6">
        <f>IF(SUMIFS('Locations Data'!$C:$C,'Locations Data'!$G:$G,$B12,'Locations Data'!$B:$B,CY$5)&gt;0,1,0)</f>
        <v>1</v>
      </c>
      <c r="CZ12" s="6">
        <f>IF(SUMIFS('Locations Data'!$C:$C,'Locations Data'!$G:$G,$B12,'Locations Data'!$B:$B,CZ$5)&gt;0,1,0)</f>
        <v>0</v>
      </c>
      <c r="DA12" s="6">
        <f>IF(SUMIFS('Locations Data'!$C:$C,'Locations Data'!$G:$G,$B12,'Locations Data'!$B:$B,DA$5)&gt;0,1,0)</f>
        <v>0</v>
      </c>
      <c r="DB12" s="6">
        <f>IF(SUMIFS('Locations Data'!$C:$C,'Locations Data'!$G:$G,$B12,'Locations Data'!$B:$B,DB$5)&gt;0,1,0)</f>
        <v>1</v>
      </c>
      <c r="DC12" s="6">
        <f>IF(SUMIFS('Locations Data'!$C:$C,'Locations Data'!$G:$G,$B12,'Locations Data'!$B:$B,DC$5)&gt;0,1,0)</f>
        <v>1</v>
      </c>
      <c r="DD12" s="6">
        <f>IF(SUMIFS('Locations Data'!$C:$C,'Locations Data'!$G:$G,$B12,'Locations Data'!$B:$B,DD$5)&gt;0,1,0)</f>
        <v>1</v>
      </c>
      <c r="DE12" s="6">
        <f>IF(SUMIFS('Locations Data'!$C:$C,'Locations Data'!$G:$G,$B12,'Locations Data'!$B:$B,DE$5)&gt;0,1,0)</f>
        <v>1</v>
      </c>
      <c r="DF12" s="6">
        <f>IF(SUMIFS('Locations Data'!$C:$C,'Locations Data'!$G:$G,$B12,'Locations Data'!$B:$B,DF$5)&gt;0,1,0)</f>
        <v>1</v>
      </c>
      <c r="DG12" s="6">
        <f>IF(SUMIFS('Locations Data'!$C:$C,'Locations Data'!$G:$G,$B12,'Locations Data'!$B:$B,DG$5)&gt;0,1,0)</f>
        <v>0</v>
      </c>
      <c r="DH12" s="6">
        <f>IF(SUMIFS('Locations Data'!$C:$C,'Locations Data'!$G:$G,$B12,'Locations Data'!$B:$B,DH$5)&gt;0,1,0)</f>
        <v>0</v>
      </c>
      <c r="DI12" s="6">
        <f>IF(SUMIFS('Locations Data'!$C:$C,'Locations Data'!$G:$G,$B12,'Locations Data'!$B:$B,DI$5)&gt;0,1,0)</f>
        <v>1</v>
      </c>
      <c r="DJ12" s="6">
        <f>IF(SUMIFS('Locations Data'!$C:$C,'Locations Data'!$G:$G,$B12,'Locations Data'!$B:$B,DJ$5)&gt;0,1,0)</f>
        <v>1</v>
      </c>
      <c r="DK12" s="6">
        <f>IF(SUMIFS('Locations Data'!$C:$C,'Locations Data'!$G:$G,$B12,'Locations Data'!$B:$B,DK$5)&gt;0,1,0)</f>
        <v>1</v>
      </c>
      <c r="DL12" s="6">
        <f>IF(SUMIFS('Locations Data'!$C:$C,'Locations Data'!$G:$G,$B12,'Locations Data'!$B:$B,DL$5)&gt;0,1,0)</f>
        <v>1</v>
      </c>
      <c r="DM12" s="6">
        <f>IF(SUMIFS('Locations Data'!$C:$C,'Locations Data'!$G:$G,$B12,'Locations Data'!$B:$B,DM$5)&gt;0,1,0)</f>
        <v>1</v>
      </c>
      <c r="DN12" s="6">
        <f>IF(SUMIFS('Locations Data'!$C:$C,'Locations Data'!$G:$G,$B12,'Locations Data'!$B:$B,DN$5)&gt;0,1,0)</f>
        <v>0</v>
      </c>
      <c r="DO12" s="6">
        <f>IF(SUMIFS('Locations Data'!$C:$C,'Locations Data'!$G:$G,$B12,'Locations Data'!$B:$B,DO$5)&gt;0,1,0)</f>
        <v>0</v>
      </c>
      <c r="DP12" s="6">
        <f>IF(SUMIFS('Locations Data'!$C:$C,'Locations Data'!$G:$G,$B12,'Locations Data'!$B:$B,DP$5)&gt;0,1,0)</f>
        <v>1</v>
      </c>
      <c r="DQ12" s="6">
        <f>IF(SUMIFS('Locations Data'!$C:$C,'Locations Data'!$G:$G,$B12,'Locations Data'!$B:$B,DQ$5)&gt;0,1,0)</f>
        <v>1</v>
      </c>
      <c r="DR12" s="6">
        <f>IF(SUMIFS('Locations Data'!$C:$C,'Locations Data'!$G:$G,$B12,'Locations Data'!$B:$B,DR$5)&gt;0,1,0)</f>
        <v>1</v>
      </c>
      <c r="DS12" s="6">
        <f>IF(SUMIFS('Locations Data'!$C:$C,'Locations Data'!$G:$G,$B12,'Locations Data'!$B:$B,DS$5)&gt;0,1,0)</f>
        <v>1</v>
      </c>
      <c r="DT12" s="6">
        <f>IF(SUMIFS('Locations Data'!$C:$C,'Locations Data'!$G:$G,$B12,'Locations Data'!$B:$B,DT$5)&gt;0,1,0)</f>
        <v>1</v>
      </c>
      <c r="DU12" s="6">
        <f>IF(SUMIFS('Locations Data'!$C:$C,'Locations Data'!$G:$G,$B12,'Locations Data'!$B:$B,DU$5)&gt;0,1,0)</f>
        <v>0</v>
      </c>
      <c r="DV12" s="6">
        <f>IF(SUMIFS('Locations Data'!$C:$C,'Locations Data'!$G:$G,$B12,'Locations Data'!$B:$B,DV$5)&gt;0,1,0)</f>
        <v>0</v>
      </c>
      <c r="DW12" s="6">
        <f>IF(SUMIFS('Locations Data'!$C:$C,'Locations Data'!$G:$G,$B12,'Locations Data'!$B:$B,DW$5)&gt;0,1,0)</f>
        <v>1</v>
      </c>
      <c r="DX12" s="6">
        <f>IF(SUMIFS('Locations Data'!$C:$C,'Locations Data'!$G:$G,$B12,'Locations Data'!$B:$B,DX$5)&gt;0,1,0)</f>
        <v>1</v>
      </c>
      <c r="DY12" s="6">
        <f>IF(SUMIFS('Locations Data'!$C:$C,'Locations Data'!$G:$G,$B12,'Locations Data'!$B:$B,DY$5)&gt;0,1,0)</f>
        <v>1</v>
      </c>
      <c r="DZ12" s="6">
        <f>IF(SUMIFS('Locations Data'!$C:$C,'Locations Data'!$G:$G,$B12,'Locations Data'!$B:$B,DZ$5)&gt;0,1,0)</f>
        <v>1</v>
      </c>
      <c r="EA12" s="6">
        <f>IF(SUMIFS('Locations Data'!$C:$C,'Locations Data'!$G:$G,$B12,'Locations Data'!$B:$B,EA$5)&gt;0,1,0)</f>
        <v>1</v>
      </c>
      <c r="EB12" s="6">
        <f>IF(SUMIFS('Locations Data'!$C:$C,'Locations Data'!$G:$G,$B12,'Locations Data'!$B:$B,EB$5)&gt;0,1,0)</f>
        <v>0</v>
      </c>
      <c r="EC12" s="6">
        <f>IF(SUMIFS('Locations Data'!$C:$C,'Locations Data'!$G:$G,$B12,'Locations Data'!$B:$B,EC$5)&gt;0,1,0)</f>
        <v>0</v>
      </c>
      <c r="ED12" s="6">
        <f>IF(SUMIFS('Locations Data'!$C:$C,'Locations Data'!$G:$G,$B12,'Locations Data'!$B:$B,ED$5)&gt;0,1,0)</f>
        <v>1</v>
      </c>
      <c r="EE12" s="6">
        <f>IF(SUMIFS('Locations Data'!$C:$C,'Locations Data'!$G:$G,$B12,'Locations Data'!$B:$B,EE$5)&gt;0,1,0)</f>
        <v>1</v>
      </c>
      <c r="EF12" s="6">
        <f>IF(SUMIFS('Locations Data'!$C:$C,'Locations Data'!$G:$G,$B12,'Locations Data'!$B:$B,EF$5)&gt;0,1,0)</f>
        <v>1</v>
      </c>
      <c r="EG12" s="6">
        <f>IF(SUMIFS('Locations Data'!$C:$C,'Locations Data'!$G:$G,$B12,'Locations Data'!$B:$B,EG$5)&gt;0,1,0)</f>
        <v>1</v>
      </c>
      <c r="EH12" s="6">
        <f>IF(SUMIFS('Locations Data'!$C:$C,'Locations Data'!$G:$G,$B12,'Locations Data'!$B:$B,EH$5)&gt;0,1,0)</f>
        <v>1</v>
      </c>
      <c r="EI12" s="6">
        <f>IF(SUMIFS('Locations Data'!$C:$C,'Locations Data'!$G:$G,$B12,'Locations Data'!$B:$B,EI$5)&gt;0,1,0)</f>
        <v>0</v>
      </c>
      <c r="EJ12" s="6">
        <f>IF(SUMIFS('Locations Data'!$C:$C,'Locations Data'!$G:$G,$B12,'Locations Data'!$B:$B,EJ$5)&gt;0,1,0)</f>
        <v>0</v>
      </c>
      <c r="EK12" s="6">
        <f>IF(SUMIFS('Locations Data'!$C:$C,'Locations Data'!$G:$G,$B12,'Locations Data'!$B:$B,EK$5)&gt;0,1,0)</f>
        <v>1</v>
      </c>
      <c r="EL12" s="6">
        <f>IF(SUMIFS('Locations Data'!$C:$C,'Locations Data'!$G:$G,$B12,'Locations Data'!$B:$B,EL$5)&gt;0,1,0)</f>
        <v>1</v>
      </c>
      <c r="EM12" s="6">
        <f>IF(SUMIFS('Locations Data'!$C:$C,'Locations Data'!$G:$G,$B12,'Locations Data'!$B:$B,EM$5)&gt;0,1,0)</f>
        <v>1</v>
      </c>
      <c r="EN12" s="6">
        <f>IF(SUMIFS('Locations Data'!$C:$C,'Locations Data'!$G:$G,$B12,'Locations Data'!$B:$B,EN$5)&gt;0,1,0)</f>
        <v>1</v>
      </c>
      <c r="EO12" s="6">
        <f>IF(SUMIFS('Locations Data'!$C:$C,'Locations Data'!$G:$G,$B12,'Locations Data'!$B:$B,EO$5)&gt;0,1,0)</f>
        <v>1</v>
      </c>
      <c r="EP12" s="6">
        <f>IF(SUMIFS('Locations Data'!$C:$C,'Locations Data'!$G:$G,$B12,'Locations Data'!$B:$B,EP$5)&gt;0,1,0)</f>
        <v>0</v>
      </c>
      <c r="EQ12" s="6">
        <f>IF(SUMIFS('Locations Data'!$C:$C,'Locations Data'!$G:$G,$B12,'Locations Data'!$B:$B,EQ$5)&gt;0,1,0)</f>
        <v>0</v>
      </c>
      <c r="ER12" s="6">
        <f>IF(SUMIFS('Locations Data'!$C:$C,'Locations Data'!$G:$G,$B12,'Locations Data'!$B:$B,ER$5)&gt;0,1,0)</f>
        <v>1</v>
      </c>
      <c r="ES12" s="6">
        <f>IF(SUMIFS('Locations Data'!$C:$C,'Locations Data'!$G:$G,$B12,'Locations Data'!$B:$B,ES$5)&gt;0,1,0)</f>
        <v>1</v>
      </c>
      <c r="ET12" s="6">
        <f>IF(SUMIFS('Locations Data'!$C:$C,'Locations Data'!$G:$G,$B12,'Locations Data'!$B:$B,ET$5)&gt;0,1,0)</f>
        <v>1</v>
      </c>
      <c r="EU12" s="6">
        <f>IF(SUMIFS('Locations Data'!$C:$C,'Locations Data'!$G:$G,$B12,'Locations Data'!$B:$B,EU$5)&gt;0,1,0)</f>
        <v>1</v>
      </c>
      <c r="EV12" s="6">
        <f>IF(SUMIFS('Locations Data'!$C:$C,'Locations Data'!$G:$G,$B12,'Locations Data'!$B:$B,EV$5)&gt;0,1,0)</f>
        <v>1</v>
      </c>
      <c r="EW12" s="6">
        <f>IF(SUMIFS('Locations Data'!$C:$C,'Locations Data'!$G:$G,$B12,'Locations Data'!$B:$B,EW$5)&gt;0,1,0)</f>
        <v>0</v>
      </c>
      <c r="EX12" s="6">
        <f>IF(SUMIFS('Locations Data'!$C:$C,'Locations Data'!$G:$G,$B12,'Locations Data'!$B:$B,EX$5)&gt;0,1,0)</f>
        <v>0</v>
      </c>
      <c r="EY12" s="6">
        <f>IF(SUMIFS('Locations Data'!$C:$C,'Locations Data'!$G:$G,$B12,'Locations Data'!$B:$B,EY$5)&gt;0,1,0)</f>
        <v>1</v>
      </c>
      <c r="EZ12" s="6">
        <f>IF(SUMIFS('Locations Data'!$C:$C,'Locations Data'!$G:$G,$B12,'Locations Data'!$B:$B,EZ$5)&gt;0,1,0)</f>
        <v>1</v>
      </c>
      <c r="FA12" s="6">
        <f>IF(SUMIFS('Locations Data'!$C:$C,'Locations Data'!$G:$G,$B12,'Locations Data'!$B:$B,FA$5)&gt;0,1,0)</f>
        <v>1</v>
      </c>
      <c r="FB12" s="6">
        <f>IF(SUMIFS('Locations Data'!$C:$C,'Locations Data'!$G:$G,$B12,'Locations Data'!$B:$B,FB$5)&gt;0,1,0)</f>
        <v>1</v>
      </c>
      <c r="FC12" s="6">
        <f>IF(SUMIFS('Locations Data'!$C:$C,'Locations Data'!$G:$G,$B12,'Locations Data'!$B:$B,FC$5)&gt;0,1,0)</f>
        <v>1</v>
      </c>
      <c r="FD12" s="6">
        <f>IF(SUMIFS('Locations Data'!$C:$C,'Locations Data'!$G:$G,$B12,'Locations Data'!$B:$B,FD$5)&gt;0,1,0)</f>
        <v>0</v>
      </c>
      <c r="FE12" s="6">
        <f>IF(SUMIFS('Locations Data'!$C:$C,'Locations Data'!$G:$G,$B12,'Locations Data'!$B:$B,FE$5)&gt;0,1,0)</f>
        <v>0</v>
      </c>
      <c r="FF12" s="6">
        <f>IF(SUMIFS('Locations Data'!$C:$C,'Locations Data'!$G:$G,$B12,'Locations Data'!$B:$B,FF$5)&gt;0,1,0)</f>
        <v>1</v>
      </c>
      <c r="FG12" s="6">
        <f>IF(SUMIFS('Locations Data'!$C:$C,'Locations Data'!$G:$G,$B12,'Locations Data'!$B:$B,FG$5)&gt;0,1,0)</f>
        <v>1</v>
      </c>
      <c r="FH12" s="6">
        <f>IF(SUMIFS('Locations Data'!$C:$C,'Locations Data'!$G:$G,$B12,'Locations Data'!$B:$B,FH$5)&gt;0,1,0)</f>
        <v>1</v>
      </c>
      <c r="FI12" s="6">
        <f>IF(SUMIFS('Locations Data'!$C:$C,'Locations Data'!$G:$G,$B12,'Locations Data'!$B:$B,FI$5)&gt;0,1,0)</f>
        <v>1</v>
      </c>
      <c r="FJ12" s="6">
        <f>IF(SUMIFS('Locations Data'!$C:$C,'Locations Data'!$G:$G,$B12,'Locations Data'!$B:$B,FJ$5)&gt;0,1,0)</f>
        <v>1</v>
      </c>
      <c r="FK12" s="6">
        <f>IF(SUMIFS('Locations Data'!$C:$C,'Locations Data'!$G:$G,$B12,'Locations Data'!$B:$B,FK$5)&gt;0,1,0)</f>
        <v>0</v>
      </c>
      <c r="FL12" s="6">
        <f>IF(SUMIFS('Locations Data'!$C:$C,'Locations Data'!$G:$G,$B12,'Locations Data'!$B:$B,FL$5)&gt;0,1,0)</f>
        <v>0</v>
      </c>
      <c r="FM12" s="6">
        <f>IF(SUMIFS('Locations Data'!$C:$C,'Locations Data'!$G:$G,$B12,'Locations Data'!$B:$B,FM$5)&gt;0,1,0)</f>
        <v>1</v>
      </c>
      <c r="FN12" s="6">
        <f>IF(SUMIFS('Locations Data'!$C:$C,'Locations Data'!$G:$G,$B12,'Locations Data'!$B:$B,FN$5)&gt;0,1,0)</f>
        <v>1</v>
      </c>
      <c r="FO12" s="6">
        <f>IF(SUMIFS('Locations Data'!$C:$C,'Locations Data'!$G:$G,$B12,'Locations Data'!$B:$B,FO$5)&gt;0,1,0)</f>
        <v>1</v>
      </c>
      <c r="FP12" s="6">
        <f>IF(SUMIFS('Locations Data'!$C:$C,'Locations Data'!$G:$G,$B12,'Locations Data'!$B:$B,FP$5)&gt;0,1,0)</f>
        <v>1</v>
      </c>
      <c r="FQ12" s="6">
        <f>IF(SUMIFS('Locations Data'!$C:$C,'Locations Data'!$G:$G,$B12,'Locations Data'!$B:$B,FQ$5)&gt;0,1,0)</f>
        <v>1</v>
      </c>
      <c r="FR12" s="6">
        <f>IF(SUMIFS('Locations Data'!$C:$C,'Locations Data'!$G:$G,$B12,'Locations Data'!$B:$B,FR$5)&gt;0,1,0)</f>
        <v>0</v>
      </c>
      <c r="FS12" s="6">
        <f>IF(SUMIFS('Locations Data'!$C:$C,'Locations Data'!$G:$G,$B12,'Locations Data'!$B:$B,FS$5)&gt;0,1,0)</f>
        <v>0</v>
      </c>
      <c r="FT12" s="6">
        <f>IF(SUMIFS('Locations Data'!$C:$C,'Locations Data'!$G:$G,$B12,'Locations Data'!$B:$B,FT$5)&gt;0,1,0)</f>
        <v>1</v>
      </c>
      <c r="FU12" s="6">
        <f>IF(SUMIFS('Locations Data'!$C:$C,'Locations Data'!$G:$G,$B12,'Locations Data'!$B:$B,FU$5)&gt;0,1,0)</f>
        <v>1</v>
      </c>
      <c r="FV12" s="6">
        <f>IF(SUMIFS('Locations Data'!$C:$C,'Locations Data'!$G:$G,$B12,'Locations Data'!$B:$B,FV$5)&gt;0,1,0)</f>
        <v>1</v>
      </c>
      <c r="FW12" s="6">
        <f>IF(SUMIFS('Locations Data'!$C:$C,'Locations Data'!$G:$G,$B12,'Locations Data'!$B:$B,FW$5)&gt;0,1,0)</f>
        <v>1</v>
      </c>
      <c r="FX12" s="6">
        <f>IF(SUMIFS('Locations Data'!$C:$C,'Locations Data'!$G:$G,$B12,'Locations Data'!$B:$B,FX$5)&gt;0,1,0)</f>
        <v>1</v>
      </c>
      <c r="FY12" s="6">
        <f>IF(SUMIFS('Locations Data'!$C:$C,'Locations Data'!$G:$G,$B12,'Locations Data'!$B:$B,FY$5)&gt;0,1,0)</f>
        <v>0</v>
      </c>
      <c r="FZ12" s="6">
        <f>IF(SUMIFS('Locations Data'!$C:$C,'Locations Data'!$G:$G,$B12,'Locations Data'!$B:$B,FZ$5)&gt;0,1,0)</f>
        <v>0</v>
      </c>
      <c r="GA12" s="6">
        <f>IF(SUMIFS('Locations Data'!$C:$C,'Locations Data'!$G:$G,$B12,'Locations Data'!$B:$B,GA$5)&gt;0,1,0)</f>
        <v>1</v>
      </c>
      <c r="GB12" s="6">
        <f>IF(SUMIFS('Locations Data'!$C:$C,'Locations Data'!$G:$G,$B12,'Locations Data'!$B:$B,GB$5)&gt;0,1,0)</f>
        <v>1</v>
      </c>
      <c r="GC12" s="6">
        <f>IF(SUMIFS('Locations Data'!$C:$C,'Locations Data'!$G:$G,$B12,'Locations Data'!$B:$B,GC$5)&gt;0,1,0)</f>
        <v>1</v>
      </c>
      <c r="GD12" s="6">
        <f>IF(SUMIFS('Locations Data'!$C:$C,'Locations Data'!$G:$G,$B12,'Locations Data'!$B:$B,GD$5)&gt;0,1,0)</f>
        <v>1</v>
      </c>
      <c r="GE12" s="6">
        <f>IF(SUMIFS('Locations Data'!$C:$C,'Locations Data'!$G:$G,$B12,'Locations Data'!$B:$B,GE$5)&gt;0,1,0)</f>
        <v>1</v>
      </c>
      <c r="GF12" s="6">
        <f>IF(SUMIFS('Locations Data'!$C:$C,'Locations Data'!$G:$G,$B12,'Locations Data'!$B:$B,GF$5)&gt;0,1,0)</f>
        <v>0</v>
      </c>
      <c r="GG12" s="6">
        <f>IF(SUMIFS('Locations Data'!$C:$C,'Locations Data'!$G:$G,$B12,'Locations Data'!$B:$B,GG$5)&gt;0,1,0)</f>
        <v>0</v>
      </c>
      <c r="GH12" s="6">
        <f>IF(SUMIFS('Locations Data'!$C:$C,'Locations Data'!$G:$G,$B12,'Locations Data'!$B:$B,GH$5)&gt;0,1,0)</f>
        <v>1</v>
      </c>
      <c r="GI12" s="6">
        <f>IF(SUMIFS('Locations Data'!$C:$C,'Locations Data'!$G:$G,$B12,'Locations Data'!$B:$B,GI$5)&gt;0,1,0)</f>
        <v>1</v>
      </c>
      <c r="GJ12" s="6">
        <f>IF(SUMIFS('Locations Data'!$C:$C,'Locations Data'!$G:$G,$B12,'Locations Data'!$B:$B,GJ$5)&gt;0,1,0)</f>
        <v>1</v>
      </c>
      <c r="GK12" s="6">
        <f>IF(SUMIFS('Locations Data'!$C:$C,'Locations Data'!$G:$G,$B12,'Locations Data'!$B:$B,GK$5)&gt;0,1,0)</f>
        <v>1</v>
      </c>
      <c r="GL12" s="6">
        <f>IF(SUMIFS('Locations Data'!$C:$C,'Locations Data'!$G:$G,$B12,'Locations Data'!$B:$B,GL$5)&gt;0,1,0)</f>
        <v>1</v>
      </c>
      <c r="GM12" s="6">
        <f>IF(SUMIFS('Locations Data'!$C:$C,'Locations Data'!$G:$G,$B12,'Locations Data'!$B:$B,GM$5)&gt;0,1,0)</f>
        <v>0</v>
      </c>
      <c r="GN12" s="6">
        <f>IF(SUMIFS('Locations Data'!$C:$C,'Locations Data'!$G:$G,$B12,'Locations Data'!$B:$B,GN$5)&gt;0,1,0)</f>
        <v>0</v>
      </c>
      <c r="GO12" s="6">
        <f>IF(SUMIFS('Locations Data'!$C:$C,'Locations Data'!$G:$G,$B12,'Locations Data'!$B:$B,GO$5)&gt;0,1,0)</f>
        <v>1</v>
      </c>
      <c r="GP12" s="6">
        <f>IF(SUMIFS('Locations Data'!$C:$C,'Locations Data'!$G:$G,$B12,'Locations Data'!$B:$B,GP$5)&gt;0,1,0)</f>
        <v>1</v>
      </c>
      <c r="GQ12" s="6">
        <f>IF(SUMIFS('Locations Data'!$C:$C,'Locations Data'!$G:$G,$B12,'Locations Data'!$B:$B,GQ$5)&gt;0,1,0)</f>
        <v>1</v>
      </c>
      <c r="GR12" s="6">
        <f>IF(SUMIFS('Locations Data'!$C:$C,'Locations Data'!$G:$G,$B12,'Locations Data'!$B:$B,GR$5)&gt;0,1,0)</f>
        <v>1</v>
      </c>
      <c r="GS12" s="6">
        <f>IF(SUMIFS('Locations Data'!$C:$C,'Locations Data'!$G:$G,$B12,'Locations Data'!$B:$B,GS$5)&gt;0,1,0)</f>
        <v>1</v>
      </c>
      <c r="GT12" s="6">
        <f>IF(SUMIFS('Locations Data'!$C:$C,'Locations Data'!$G:$G,$B12,'Locations Data'!$B:$B,GT$5)&gt;0,1,0)</f>
        <v>0</v>
      </c>
      <c r="GU12" s="6">
        <f>IF(SUMIFS('Locations Data'!$C:$C,'Locations Data'!$G:$G,$B12,'Locations Data'!$B:$B,GU$5)&gt;0,1,0)</f>
        <v>0</v>
      </c>
      <c r="GV12" s="6">
        <f>IF(SUMIFS('Locations Data'!$C:$C,'Locations Data'!$G:$G,$B12,'Locations Data'!$B:$B,GV$5)&gt;0,1,0)</f>
        <v>1</v>
      </c>
      <c r="GW12" s="6">
        <f>IF(SUMIFS('Locations Data'!$C:$C,'Locations Data'!$G:$G,$B12,'Locations Data'!$B:$B,GW$5)&gt;0,1,0)</f>
        <v>1</v>
      </c>
      <c r="GX12" s="6">
        <f>IF(SUMIFS('Locations Data'!$C:$C,'Locations Data'!$G:$G,$B12,'Locations Data'!$B:$B,GX$5)&gt;0,1,0)</f>
        <v>1</v>
      </c>
      <c r="GY12" s="6">
        <f>IF(SUMIFS('Locations Data'!$C:$C,'Locations Data'!$G:$G,$B12,'Locations Data'!$B:$B,GY$5)&gt;0,1,0)</f>
        <v>1</v>
      </c>
      <c r="GZ12" s="6">
        <f>IF(SUMIFS('Locations Data'!$C:$C,'Locations Data'!$G:$G,$B12,'Locations Data'!$B:$B,GZ$5)&gt;0,1,0)</f>
        <v>1</v>
      </c>
      <c r="HA12" s="6">
        <f>IF(SUMIFS('Locations Data'!$C:$C,'Locations Data'!$G:$G,$B12,'Locations Data'!$B:$B,HA$5)&gt;0,1,0)</f>
        <v>0</v>
      </c>
      <c r="HB12" s="6">
        <f>IF(SUMIFS('Locations Data'!$C:$C,'Locations Data'!$G:$G,$B12,'Locations Data'!$B:$B,HB$5)&gt;0,1,0)</f>
        <v>0</v>
      </c>
      <c r="HC12" s="6">
        <f>IF(SUMIFS('Locations Data'!$C:$C,'Locations Data'!$G:$G,$B12,'Locations Data'!$B:$B,HC$5)&gt;0,1,0)</f>
        <v>1</v>
      </c>
      <c r="HD12" s="6">
        <f>IF(SUMIFS('Locations Data'!$C:$C,'Locations Data'!$G:$G,$B12,'Locations Data'!$B:$B,HD$5)&gt;0,1,0)</f>
        <v>1</v>
      </c>
      <c r="HE12" s="6">
        <f>IF(SUMIFS('Locations Data'!$C:$C,'Locations Data'!$G:$G,$B12,'Locations Data'!$B:$B,HE$5)&gt;0,1,0)</f>
        <v>1</v>
      </c>
      <c r="HF12" s="6">
        <f>IF(SUMIFS('Locations Data'!$C:$C,'Locations Data'!$G:$G,$B12,'Locations Data'!$B:$B,HF$5)&gt;0,1,0)</f>
        <v>1</v>
      </c>
      <c r="HG12" s="6">
        <f>IF(SUMIFS('Locations Data'!$C:$C,'Locations Data'!$G:$G,$B12,'Locations Data'!$B:$B,HG$5)&gt;0,1,0)</f>
        <v>1</v>
      </c>
      <c r="HH12" s="6">
        <f>IF(SUMIFS('Locations Data'!$C:$C,'Locations Data'!$G:$G,$B12,'Locations Data'!$B:$B,HH$5)&gt;0,1,0)</f>
        <v>0</v>
      </c>
      <c r="HI12" s="6">
        <f>IF(SUMIFS('Locations Data'!$C:$C,'Locations Data'!$G:$G,$B12,'Locations Data'!$B:$B,HI$5)&gt;0,1,0)</f>
        <v>0</v>
      </c>
      <c r="HJ12" s="6">
        <f>IF(SUMIFS('Locations Data'!$C:$C,'Locations Data'!$G:$G,$B12,'Locations Data'!$B:$B,HJ$5)&gt;0,1,0)</f>
        <v>1</v>
      </c>
      <c r="HK12" s="6">
        <f>IF(SUMIFS('Locations Data'!$C:$C,'Locations Data'!$G:$G,$B12,'Locations Data'!$B:$B,HK$5)&gt;0,1,0)</f>
        <v>1</v>
      </c>
      <c r="HL12" s="6">
        <f>IF(SUMIFS('Locations Data'!$C:$C,'Locations Data'!$G:$G,$B12,'Locations Data'!$B:$B,HL$5)&gt;0,1,0)</f>
        <v>1</v>
      </c>
      <c r="HM12" s="6">
        <f>IF(SUMIFS('Locations Data'!$C:$C,'Locations Data'!$G:$G,$B12,'Locations Data'!$B:$B,HM$5)&gt;0,1,0)</f>
        <v>1</v>
      </c>
      <c r="HN12" s="6">
        <f>IF(SUMIFS('Locations Data'!$C:$C,'Locations Data'!$G:$G,$B12,'Locations Data'!$B:$B,HN$5)&gt;0,1,0)</f>
        <v>1</v>
      </c>
      <c r="HO12" s="6">
        <f>IF(SUMIFS('Locations Data'!$C:$C,'Locations Data'!$G:$G,$B12,'Locations Data'!$B:$B,HO$5)&gt;0,1,0)</f>
        <v>0</v>
      </c>
      <c r="HP12" s="6">
        <f>IF(SUMIFS('Locations Data'!$C:$C,'Locations Data'!$G:$G,$B12,'Locations Data'!$B:$B,HP$5)&gt;0,1,0)</f>
        <v>0</v>
      </c>
      <c r="HQ12" s="6">
        <f>IF(SUMIFS('Locations Data'!$C:$C,'Locations Data'!$G:$G,$B12,'Locations Data'!$B:$B,HQ$5)&gt;0,1,0)</f>
        <v>1</v>
      </c>
      <c r="HR12" s="6">
        <f>IF(SUMIFS('Locations Data'!$C:$C,'Locations Data'!$G:$G,$B12,'Locations Data'!$B:$B,HR$5)&gt;0,1,0)</f>
        <v>1</v>
      </c>
      <c r="HS12" s="6">
        <f>IF(SUMIFS('Locations Data'!$C:$C,'Locations Data'!$G:$G,$B12,'Locations Data'!$B:$B,HS$5)&gt;0,1,0)</f>
        <v>1</v>
      </c>
      <c r="HT12" s="6">
        <f>IF(SUMIFS('Locations Data'!$C:$C,'Locations Data'!$G:$G,$B12,'Locations Data'!$B:$B,HT$5)&gt;0,1,0)</f>
        <v>1</v>
      </c>
      <c r="HU12" s="6">
        <f>IF(SUMIFS('Locations Data'!$C:$C,'Locations Data'!$G:$G,$B12,'Locations Data'!$B:$B,HU$5)&gt;0,1,0)</f>
        <v>1</v>
      </c>
      <c r="HV12" s="6">
        <f>IF(SUMIFS('Locations Data'!$C:$C,'Locations Data'!$G:$G,$B12,'Locations Data'!$B:$B,HV$5)&gt;0,1,0)</f>
        <v>0</v>
      </c>
      <c r="HW12" s="6">
        <f>IF(SUMIFS('Locations Data'!$C:$C,'Locations Data'!$G:$G,$B12,'Locations Data'!$B:$B,HW$5)&gt;0,1,0)</f>
        <v>0</v>
      </c>
      <c r="HX12" s="6">
        <f>IF(SUMIFS('Locations Data'!$C:$C,'Locations Data'!$G:$G,$B12,'Locations Data'!$B:$B,HX$5)&gt;0,1,0)</f>
        <v>1</v>
      </c>
      <c r="HY12" s="6">
        <f>IF(SUMIFS('Locations Data'!$C:$C,'Locations Data'!$G:$G,$B12,'Locations Data'!$B:$B,HY$5)&gt;0,1,0)</f>
        <v>1</v>
      </c>
      <c r="HZ12" s="6">
        <f>IF(SUMIFS('Locations Data'!$C:$C,'Locations Data'!$G:$G,$B12,'Locations Data'!$B:$B,HZ$5)&gt;0,1,0)</f>
        <v>1</v>
      </c>
      <c r="IA12" s="6">
        <f>IF(SUMIFS('Locations Data'!$C:$C,'Locations Data'!$G:$G,$B12,'Locations Data'!$B:$B,IA$5)&gt;0,1,0)</f>
        <v>1</v>
      </c>
      <c r="IB12" s="6">
        <f>IF(SUMIFS('Locations Data'!$C:$C,'Locations Data'!$G:$G,$B12,'Locations Data'!$B:$B,IB$5)&gt;0,1,0)</f>
        <v>1</v>
      </c>
      <c r="IC12" s="6">
        <f>IF(SUMIFS('Locations Data'!$C:$C,'Locations Data'!$G:$G,$B12,'Locations Data'!$B:$B,IC$5)&gt;0,1,0)</f>
        <v>0</v>
      </c>
      <c r="ID12" s="6">
        <f>IF(SUMIFS('Locations Data'!$C:$C,'Locations Data'!$G:$G,$B12,'Locations Data'!$B:$B,ID$5)&gt;0,1,0)</f>
        <v>0</v>
      </c>
      <c r="IE12" s="6">
        <f>IF(SUMIFS('Locations Data'!$C:$C,'Locations Data'!$G:$G,$B12,'Locations Data'!$B:$B,IE$5)&gt;0,1,0)</f>
        <v>1</v>
      </c>
      <c r="IF12" s="6">
        <f>IF(SUMIFS('Locations Data'!$C:$C,'Locations Data'!$G:$G,$B12,'Locations Data'!$B:$B,IF$5)&gt;0,1,0)</f>
        <v>1</v>
      </c>
      <c r="IG12" s="6">
        <f>IF(SUMIFS('Locations Data'!$C:$C,'Locations Data'!$G:$G,$B12,'Locations Data'!$B:$B,IG$5)&gt;0,1,0)</f>
        <v>1</v>
      </c>
      <c r="IH12" s="6">
        <f>IF(SUMIFS('Locations Data'!$C:$C,'Locations Data'!$G:$G,$B12,'Locations Data'!$B:$B,IH$5)&gt;0,1,0)</f>
        <v>1</v>
      </c>
      <c r="II12" s="6">
        <f>IF(SUMIFS('Locations Data'!$C:$C,'Locations Data'!$G:$G,$B12,'Locations Data'!$B:$B,II$5)&gt;0,1,0)</f>
        <v>1</v>
      </c>
      <c r="IJ12" s="6">
        <f>IF(SUMIFS('Locations Data'!$C:$C,'Locations Data'!$G:$G,$B12,'Locations Data'!$B:$B,IJ$5)&gt;0,1,0)</f>
        <v>0</v>
      </c>
      <c r="IK12" s="6">
        <f>IF(SUMIFS('Locations Data'!$C:$C,'Locations Data'!$G:$G,$B12,'Locations Data'!$B:$B,IK$5)&gt;0,1,0)</f>
        <v>0</v>
      </c>
      <c r="IL12" s="6">
        <f>IF(SUMIFS('Locations Data'!$C:$C,'Locations Data'!$G:$G,$B12,'Locations Data'!$B:$B,IL$5)&gt;0,1,0)</f>
        <v>1</v>
      </c>
      <c r="IM12" s="6">
        <f>IF(SUMIFS('Locations Data'!$C:$C,'Locations Data'!$G:$G,$B12,'Locations Data'!$B:$B,IM$5)&gt;0,1,0)</f>
        <v>1</v>
      </c>
      <c r="IN12" s="6">
        <f>IF(SUMIFS('Locations Data'!$C:$C,'Locations Data'!$G:$G,$B12,'Locations Data'!$B:$B,IN$5)&gt;0,1,0)</f>
        <v>1</v>
      </c>
      <c r="IO12" s="6">
        <f>IF(SUMIFS('Locations Data'!$C:$C,'Locations Data'!$G:$G,$B12,'Locations Data'!$B:$B,IO$5)&gt;0,1,0)</f>
        <v>1</v>
      </c>
      <c r="IP12" s="6">
        <f>IF(SUMIFS('Locations Data'!$C:$C,'Locations Data'!$G:$G,$B12,'Locations Data'!$B:$B,IP$5)&gt;0,1,0)</f>
        <v>1</v>
      </c>
      <c r="IQ12" s="6">
        <f>IF(SUMIFS('Locations Data'!$C:$C,'Locations Data'!$G:$G,$B12,'Locations Data'!$B:$B,IQ$5)&gt;0,1,0)</f>
        <v>0</v>
      </c>
      <c r="IR12" s="6">
        <f>IF(SUMIFS('Locations Data'!$C:$C,'Locations Data'!$G:$G,$B12,'Locations Data'!$B:$B,IR$5)&gt;0,1,0)</f>
        <v>0</v>
      </c>
      <c r="IS12" s="6">
        <f>IF(SUMIFS('Locations Data'!$C:$C,'Locations Data'!$G:$G,$B12,'Locations Data'!$B:$B,IS$5)&gt;0,1,0)</f>
        <v>1</v>
      </c>
      <c r="IT12" s="6">
        <f>IF(SUMIFS('Locations Data'!$C:$C,'Locations Data'!$G:$G,$B12,'Locations Data'!$B:$B,IT$5)&gt;0,1,0)</f>
        <v>1</v>
      </c>
      <c r="IU12" s="6">
        <f>IF(SUMIFS('Locations Data'!$C:$C,'Locations Data'!$G:$G,$B12,'Locations Data'!$B:$B,IU$5)&gt;0,1,0)</f>
        <v>1</v>
      </c>
      <c r="IV12" s="6">
        <f>IF(SUMIFS('Locations Data'!$C:$C,'Locations Data'!$G:$G,$B12,'Locations Data'!$B:$B,IV$5)&gt;0,1,0)</f>
        <v>1</v>
      </c>
      <c r="IW12" s="6">
        <f>IF(SUMIFS('Locations Data'!$C:$C,'Locations Data'!$G:$G,$B12,'Locations Data'!$B:$B,IW$5)&gt;0,1,0)</f>
        <v>1</v>
      </c>
      <c r="IX12" s="6">
        <f>IF(SUMIFS('Locations Data'!$C:$C,'Locations Data'!$G:$G,$B12,'Locations Data'!$B:$B,IX$5)&gt;0,1,0)</f>
        <v>0</v>
      </c>
      <c r="IY12" s="6">
        <f>IF(SUMIFS('Locations Data'!$C:$C,'Locations Data'!$G:$G,$B12,'Locations Data'!$B:$B,IY$5)&gt;0,1,0)</f>
        <v>0</v>
      </c>
      <c r="IZ12" s="6">
        <f>IF(SUMIFS('Locations Data'!$C:$C,'Locations Data'!$G:$G,$B12,'Locations Data'!$B:$B,IZ$5)&gt;0,1,0)</f>
        <v>1</v>
      </c>
      <c r="JA12" s="6">
        <f>IF(SUMIFS('Locations Data'!$C:$C,'Locations Data'!$G:$G,$B12,'Locations Data'!$B:$B,JA$5)&gt;0,1,0)</f>
        <v>1</v>
      </c>
      <c r="JB12" s="6">
        <f>IF(SUMIFS('Locations Data'!$C:$C,'Locations Data'!$G:$G,$B12,'Locations Data'!$B:$B,JB$5)&gt;0,1,0)</f>
        <v>1</v>
      </c>
      <c r="JC12" s="6">
        <f>IF(SUMIFS('Locations Data'!$C:$C,'Locations Data'!$G:$G,$B12,'Locations Data'!$B:$B,JC$5)&gt;0,1,0)</f>
        <v>1</v>
      </c>
      <c r="JD12" s="6">
        <f>IF(SUMIFS('Locations Data'!$C:$C,'Locations Data'!$G:$G,$B12,'Locations Data'!$B:$B,JD$5)&gt;0,1,0)</f>
        <v>1</v>
      </c>
      <c r="JE12" s="6">
        <f>IF(SUMIFS('Locations Data'!$C:$C,'Locations Data'!$G:$G,$B12,'Locations Data'!$B:$B,JE$5)&gt;0,1,0)</f>
        <v>0</v>
      </c>
      <c r="JF12" s="6">
        <f>IF(SUMIFS('Locations Data'!$C:$C,'Locations Data'!$G:$G,$B12,'Locations Data'!$B:$B,JF$5)&gt;0,1,0)</f>
        <v>0</v>
      </c>
      <c r="JG12" s="6">
        <f>IF(SUMIFS('Locations Data'!$C:$C,'Locations Data'!$G:$G,$B12,'Locations Data'!$B:$B,JG$5)&gt;0,1,0)</f>
        <v>1</v>
      </c>
      <c r="JH12" s="6">
        <f>IF(SUMIFS('Locations Data'!$C:$C,'Locations Data'!$G:$G,$B12,'Locations Data'!$B:$B,JH$5)&gt;0,1,0)</f>
        <v>1</v>
      </c>
      <c r="JI12" s="6">
        <f>IF(SUMIFS('Locations Data'!$C:$C,'Locations Data'!$G:$G,$B12,'Locations Data'!$B:$B,JI$5)&gt;0,1,0)</f>
        <v>1</v>
      </c>
      <c r="JJ12" s="6">
        <f>IF(SUMIFS('Locations Data'!$C:$C,'Locations Data'!$G:$G,$B12,'Locations Data'!$B:$B,JJ$5)&gt;0,1,0)</f>
        <v>1</v>
      </c>
      <c r="JK12" s="6">
        <f>IF(SUMIFS('Locations Data'!$C:$C,'Locations Data'!$G:$G,$B12,'Locations Data'!$B:$B,JK$5)&gt;0,1,0)</f>
        <v>1</v>
      </c>
      <c r="JL12" s="6">
        <f>IF(SUMIFS('Locations Data'!$C:$C,'Locations Data'!$G:$G,$B12,'Locations Data'!$B:$B,JL$5)&gt;0,1,0)</f>
        <v>0</v>
      </c>
      <c r="JM12" s="6">
        <f>IF(SUMIFS('Locations Data'!$C:$C,'Locations Data'!$G:$G,$B12,'Locations Data'!$B:$B,JM$5)&gt;0,1,0)</f>
        <v>0</v>
      </c>
      <c r="JN12" s="6">
        <f>IF(SUMIFS('Locations Data'!$C:$C,'Locations Data'!$G:$G,$B12,'Locations Data'!$B:$B,JN$5)&gt;0,1,0)</f>
        <v>1</v>
      </c>
      <c r="JO12" s="6">
        <f>IF(SUMIFS('Locations Data'!$C:$C,'Locations Data'!$G:$G,$B12,'Locations Data'!$B:$B,JO$5)&gt;0,1,0)</f>
        <v>1</v>
      </c>
      <c r="JP12" s="6">
        <f>IF(SUMIFS('Locations Data'!$C:$C,'Locations Data'!$G:$G,$B12,'Locations Data'!$B:$B,JP$5)&gt;0,1,0)</f>
        <v>1</v>
      </c>
      <c r="JQ12" s="6">
        <f>IF(SUMIFS('Locations Data'!$C:$C,'Locations Data'!$G:$G,$B12,'Locations Data'!$B:$B,JQ$5)&gt;0,1,0)</f>
        <v>1</v>
      </c>
      <c r="JR12" s="6">
        <f>IF(SUMIFS('Locations Data'!$C:$C,'Locations Data'!$G:$G,$B12,'Locations Data'!$B:$B,JR$5)&gt;0,1,0)</f>
        <v>1</v>
      </c>
      <c r="JS12" s="6">
        <f>IF(SUMIFS('Locations Data'!$C:$C,'Locations Data'!$G:$G,$B12,'Locations Data'!$B:$B,JS$5)&gt;0,1,0)</f>
        <v>0</v>
      </c>
      <c r="JT12" s="6">
        <f>IF(SUMIFS('Locations Data'!$C:$C,'Locations Data'!$G:$G,$B12,'Locations Data'!$B:$B,JT$5)&gt;0,1,0)</f>
        <v>0</v>
      </c>
      <c r="JU12" s="6">
        <f>IF(SUMIFS('Locations Data'!$C:$C,'Locations Data'!$G:$G,$B12,'Locations Data'!$B:$B,JU$5)&gt;0,1,0)</f>
        <v>1</v>
      </c>
      <c r="JV12" s="6">
        <f>IF(SUMIFS('Locations Data'!$C:$C,'Locations Data'!$G:$G,$B12,'Locations Data'!$B:$B,JV$5)&gt;0,1,0)</f>
        <v>1</v>
      </c>
      <c r="JW12" s="6">
        <f>IF(SUMIFS('Locations Data'!$C:$C,'Locations Data'!$G:$G,$B12,'Locations Data'!$B:$B,JW$5)&gt;0,1,0)</f>
        <v>1</v>
      </c>
      <c r="JX12" s="6">
        <f>IF(SUMIFS('Locations Data'!$C:$C,'Locations Data'!$G:$G,$B12,'Locations Data'!$B:$B,JX$5)&gt;0,1,0)</f>
        <v>1</v>
      </c>
      <c r="JY12" s="6">
        <f>IF(SUMIFS('Locations Data'!$C:$C,'Locations Data'!$G:$G,$B12,'Locations Data'!$B:$B,JY$5)&gt;0,1,0)</f>
        <v>1</v>
      </c>
      <c r="JZ12" s="6">
        <f>IF(SUMIFS('Locations Data'!$C:$C,'Locations Data'!$G:$G,$B12,'Locations Data'!$B:$B,JZ$5)&gt;0,1,0)</f>
        <v>0</v>
      </c>
      <c r="KA12" s="6">
        <f>IF(SUMIFS('Locations Data'!$C:$C,'Locations Data'!$G:$G,$B12,'Locations Data'!$B:$B,KA$5)&gt;0,1,0)</f>
        <v>0</v>
      </c>
      <c r="KB12" s="6">
        <f>IF(SUMIFS('Locations Data'!$C:$C,'Locations Data'!$G:$G,$B12,'Locations Data'!$B:$B,KB$5)&gt;0,1,0)</f>
        <v>1</v>
      </c>
      <c r="KC12" s="6">
        <f>IF(SUMIFS('Locations Data'!$C:$C,'Locations Data'!$G:$G,$B12,'Locations Data'!$B:$B,KC$5)&gt;0,1,0)</f>
        <v>1</v>
      </c>
      <c r="KD12" s="6">
        <f>IF(SUMIFS('Locations Data'!$C:$C,'Locations Data'!$G:$G,$B12,'Locations Data'!$B:$B,KD$5)&gt;0,1,0)</f>
        <v>1</v>
      </c>
      <c r="KE12" s="6">
        <f>IF(SUMIFS('Locations Data'!$C:$C,'Locations Data'!$G:$G,$B12,'Locations Data'!$B:$B,KE$5)&gt;0,1,0)</f>
        <v>1</v>
      </c>
      <c r="KF12" s="6">
        <f>IF(SUMIFS('Locations Data'!$C:$C,'Locations Data'!$G:$G,$B12,'Locations Data'!$B:$B,KF$5)&gt;0,1,0)</f>
        <v>1</v>
      </c>
      <c r="KG12" s="6">
        <f>IF(SUMIFS('Locations Data'!$C:$C,'Locations Data'!$G:$G,$B12,'Locations Data'!$B:$B,KG$5)&gt;0,1,0)</f>
        <v>0</v>
      </c>
      <c r="KH12" s="6">
        <f>IF(SUMIFS('Locations Data'!$C:$C,'Locations Data'!$G:$G,$B12,'Locations Data'!$B:$B,KH$5)&gt;0,1,0)</f>
        <v>0</v>
      </c>
      <c r="KI12" s="6">
        <f>IF(SUMIFS('Locations Data'!$C:$C,'Locations Data'!$G:$G,$B12,'Locations Data'!$B:$B,KI$5)&gt;0,1,0)</f>
        <v>1</v>
      </c>
      <c r="KJ12" s="6">
        <f>IF(SUMIFS('Locations Data'!$C:$C,'Locations Data'!$G:$G,$B12,'Locations Data'!$B:$B,KJ$5)&gt;0,1,0)</f>
        <v>1</v>
      </c>
      <c r="KK12" s="6">
        <f>IF(SUMIFS('Locations Data'!$C:$C,'Locations Data'!$G:$G,$B12,'Locations Data'!$B:$B,KK$5)&gt;0,1,0)</f>
        <v>1</v>
      </c>
      <c r="KL12" s="6">
        <f>IF(SUMIFS('Locations Data'!$C:$C,'Locations Data'!$G:$G,$B12,'Locations Data'!$B:$B,KL$5)&gt;0,1,0)</f>
        <v>1</v>
      </c>
      <c r="KM12" s="6">
        <f>IF(SUMIFS('Locations Data'!$C:$C,'Locations Data'!$G:$G,$B12,'Locations Data'!$B:$B,KM$5)&gt;0,1,0)</f>
        <v>1</v>
      </c>
      <c r="KN12" s="6">
        <f>IF(SUMIFS('Locations Data'!$C:$C,'Locations Data'!$G:$G,$B12,'Locations Data'!$B:$B,KN$5)&gt;0,1,0)</f>
        <v>0</v>
      </c>
      <c r="KO12" s="6">
        <f>IF(SUMIFS('Locations Data'!$C:$C,'Locations Data'!$G:$G,$B12,'Locations Data'!$B:$B,KO$5)&gt;0,1,0)</f>
        <v>0</v>
      </c>
      <c r="KP12" s="6">
        <f>IF(SUMIFS('Locations Data'!$C:$C,'Locations Data'!$G:$G,$B12,'Locations Data'!$B:$B,KP$5)&gt;0,1,0)</f>
        <v>1</v>
      </c>
      <c r="KQ12" s="6">
        <f>IF(SUMIFS('Locations Data'!$C:$C,'Locations Data'!$G:$G,$B12,'Locations Data'!$B:$B,KQ$5)&gt;0,1,0)</f>
        <v>1</v>
      </c>
      <c r="KR12" s="6">
        <f>IF(SUMIFS('Locations Data'!$C:$C,'Locations Data'!$G:$G,$B12,'Locations Data'!$B:$B,KR$5)&gt;0,1,0)</f>
        <v>1</v>
      </c>
      <c r="KS12" s="6">
        <f>IF(SUMIFS('Locations Data'!$C:$C,'Locations Data'!$G:$G,$B12,'Locations Data'!$B:$B,KS$5)&gt;0,1,0)</f>
        <v>1</v>
      </c>
      <c r="KT12" s="6">
        <f>IF(SUMIFS('Locations Data'!$C:$C,'Locations Data'!$G:$G,$B12,'Locations Data'!$B:$B,KT$5)&gt;0,1,0)</f>
        <v>1</v>
      </c>
      <c r="KU12" s="6">
        <f>IF(SUMIFS('Locations Data'!$C:$C,'Locations Data'!$G:$G,$B12,'Locations Data'!$B:$B,KU$5)&gt;0,1,0)</f>
        <v>0</v>
      </c>
      <c r="KV12" s="6">
        <f>IF(SUMIFS('Locations Data'!$C:$C,'Locations Data'!$G:$G,$B12,'Locations Data'!$B:$B,KV$5)&gt;0,1,0)</f>
        <v>0</v>
      </c>
      <c r="KW12" s="6">
        <f>IF(SUMIFS('Locations Data'!$C:$C,'Locations Data'!$G:$G,$B12,'Locations Data'!$B:$B,KW$5)&gt;0,1,0)</f>
        <v>1</v>
      </c>
      <c r="KX12" s="6">
        <f>IF(SUMIFS('Locations Data'!$C:$C,'Locations Data'!$G:$G,$B12,'Locations Data'!$B:$B,KX$5)&gt;0,1,0)</f>
        <v>1</v>
      </c>
      <c r="KY12" s="6">
        <f>IF(SUMIFS('Locations Data'!$C:$C,'Locations Data'!$G:$G,$B12,'Locations Data'!$B:$B,KY$5)&gt;0,1,0)</f>
        <v>1</v>
      </c>
      <c r="KZ12" s="6">
        <f>IF(SUMIFS('Locations Data'!$C:$C,'Locations Data'!$G:$G,$B12,'Locations Data'!$B:$B,KZ$5)&gt;0,1,0)</f>
        <v>1</v>
      </c>
      <c r="LA12" s="6">
        <f>IF(SUMIFS('Locations Data'!$C:$C,'Locations Data'!$G:$G,$B12,'Locations Data'!$B:$B,LA$5)&gt;0,1,0)</f>
        <v>1</v>
      </c>
      <c r="LB12" s="6">
        <f>IF(SUMIFS('Locations Data'!$C:$C,'Locations Data'!$G:$G,$B12,'Locations Data'!$B:$B,LB$5)&gt;0,1,0)</f>
        <v>0</v>
      </c>
      <c r="LC12" s="6">
        <f>IF(SUMIFS('Locations Data'!$C:$C,'Locations Data'!$G:$G,$B12,'Locations Data'!$B:$B,LC$5)&gt;0,1,0)</f>
        <v>0</v>
      </c>
      <c r="LD12" s="6">
        <f>IF(SUMIFS('Locations Data'!$C:$C,'Locations Data'!$G:$G,$B12,'Locations Data'!$B:$B,LD$5)&gt;0,1,0)</f>
        <v>1</v>
      </c>
      <c r="LE12" s="6">
        <f>IF(SUMIFS('Locations Data'!$C:$C,'Locations Data'!$G:$G,$B12,'Locations Data'!$B:$B,LE$5)&gt;0,1,0)</f>
        <v>1</v>
      </c>
      <c r="LF12" s="6">
        <f>IF(SUMIFS('Locations Data'!$C:$C,'Locations Data'!$G:$G,$B12,'Locations Data'!$B:$B,LF$5)&gt;0,1,0)</f>
        <v>1</v>
      </c>
      <c r="LG12" s="6">
        <f>IF(SUMIFS('Locations Data'!$C:$C,'Locations Data'!$G:$G,$B12,'Locations Data'!$B:$B,LG$5)&gt;0,1,0)</f>
        <v>1</v>
      </c>
      <c r="LH12" s="6">
        <f>IF(SUMIFS('Locations Data'!$C:$C,'Locations Data'!$G:$G,$B12,'Locations Data'!$B:$B,LH$5)&gt;0,1,0)</f>
        <v>1</v>
      </c>
      <c r="LI12" s="6">
        <f>IF(SUMIFS('Locations Data'!$C:$C,'Locations Data'!$G:$G,$B12,'Locations Data'!$B:$B,LI$5)&gt;0,1,0)</f>
        <v>0</v>
      </c>
      <c r="LJ12" s="6">
        <f>IF(SUMIFS('Locations Data'!$C:$C,'Locations Data'!$G:$G,$B12,'Locations Data'!$B:$B,LJ$5)&gt;0,1,0)</f>
        <v>0</v>
      </c>
      <c r="LK12" s="6">
        <f>IF(SUMIFS('Locations Data'!$C:$C,'Locations Data'!$G:$G,$B12,'Locations Data'!$B:$B,LK$5)&gt;0,1,0)</f>
        <v>1</v>
      </c>
      <c r="LL12" s="6">
        <f>IF(SUMIFS('Locations Data'!$C:$C,'Locations Data'!$G:$G,$B12,'Locations Data'!$B:$B,LL$5)&gt;0,1,0)</f>
        <v>1</v>
      </c>
      <c r="LM12" s="6">
        <f>IF(SUMIFS('Locations Data'!$C:$C,'Locations Data'!$G:$G,$B12,'Locations Data'!$B:$B,LM$5)&gt;0,1,0)</f>
        <v>1</v>
      </c>
      <c r="LN12" s="6">
        <f>IF(SUMIFS('Locations Data'!$C:$C,'Locations Data'!$G:$G,$B12,'Locations Data'!$B:$B,LN$5)&gt;0,1,0)</f>
        <v>1</v>
      </c>
      <c r="LO12" s="6">
        <f>IF(SUMIFS('Locations Data'!$C:$C,'Locations Data'!$G:$G,$B12,'Locations Data'!$B:$B,LO$5)&gt;0,1,0)</f>
        <v>1</v>
      </c>
      <c r="LP12" s="6">
        <f>IF(SUMIFS('Locations Data'!$C:$C,'Locations Data'!$G:$G,$B12,'Locations Data'!$B:$B,LP$5)&gt;0,1,0)</f>
        <v>0</v>
      </c>
      <c r="LQ12" s="6">
        <f>IF(SUMIFS('Locations Data'!$C:$C,'Locations Data'!$G:$G,$B12,'Locations Data'!$B:$B,LQ$5)&gt;0,1,0)</f>
        <v>0</v>
      </c>
      <c r="LR12" s="6">
        <f>IF(SUMIFS('Locations Data'!$C:$C,'Locations Data'!$G:$G,$B12,'Locations Data'!$B:$B,LR$5)&gt;0,1,0)</f>
        <v>1</v>
      </c>
      <c r="LS12" s="6">
        <f>IF(SUMIFS('Locations Data'!$C:$C,'Locations Data'!$G:$G,$B12,'Locations Data'!$B:$B,LS$5)&gt;0,1,0)</f>
        <v>1</v>
      </c>
      <c r="LT12" s="6">
        <f>IF(SUMIFS('Locations Data'!$C:$C,'Locations Data'!$G:$G,$B12,'Locations Data'!$B:$B,LT$5)&gt;0,1,0)</f>
        <v>1</v>
      </c>
      <c r="LU12" s="6">
        <f>IF(SUMIFS('Locations Data'!$C:$C,'Locations Data'!$G:$G,$B12,'Locations Data'!$B:$B,LU$5)&gt;0,1,0)</f>
        <v>1</v>
      </c>
      <c r="LV12" s="6">
        <f>IF(SUMIFS('Locations Data'!$C:$C,'Locations Data'!$G:$G,$B12,'Locations Data'!$B:$B,LV$5)&gt;0,1,0)</f>
        <v>1</v>
      </c>
      <c r="LW12" s="6">
        <f>IF(SUMIFS('Locations Data'!$C:$C,'Locations Data'!$G:$G,$B12,'Locations Data'!$B:$B,LW$5)&gt;0,1,0)</f>
        <v>0</v>
      </c>
      <c r="LX12" s="6">
        <f>IF(SUMIFS('Locations Data'!$C:$C,'Locations Data'!$G:$G,$B12,'Locations Data'!$B:$B,LX$5)&gt;0,1,0)</f>
        <v>0</v>
      </c>
      <c r="LY12" s="6">
        <f>IF(SUMIFS('Locations Data'!$C:$C,'Locations Data'!$G:$G,$B12,'Locations Data'!$B:$B,LY$5)&gt;0,1,0)</f>
        <v>1</v>
      </c>
      <c r="LZ12" s="6">
        <f>IF(SUMIFS('Locations Data'!$C:$C,'Locations Data'!$G:$G,$B12,'Locations Data'!$B:$B,LZ$5)&gt;0,1,0)</f>
        <v>1</v>
      </c>
      <c r="MA12" s="6">
        <f>IF(SUMIFS('Locations Data'!$C:$C,'Locations Data'!$G:$G,$B12,'Locations Data'!$B:$B,MA$5)&gt;0,1,0)</f>
        <v>1</v>
      </c>
      <c r="MB12" s="6">
        <f>IF(SUMIFS('Locations Data'!$C:$C,'Locations Data'!$G:$G,$B12,'Locations Data'!$B:$B,MB$5)&gt;0,1,0)</f>
        <v>1</v>
      </c>
      <c r="MC12" s="6">
        <f>IF(SUMIFS('Locations Data'!$C:$C,'Locations Data'!$G:$G,$B12,'Locations Data'!$B:$B,MC$5)&gt;0,1,0)</f>
        <v>1</v>
      </c>
      <c r="MD12" s="6">
        <f>IF(SUMIFS('Locations Data'!$C:$C,'Locations Data'!$G:$G,$B12,'Locations Data'!$B:$B,MD$5)&gt;0,1,0)</f>
        <v>0</v>
      </c>
      <c r="ME12" s="6">
        <f>IF(SUMIFS('Locations Data'!$C:$C,'Locations Data'!$G:$G,$B12,'Locations Data'!$B:$B,ME$5)&gt;0,1,0)</f>
        <v>0</v>
      </c>
      <c r="MF12" s="6">
        <f>IF(SUMIFS('Locations Data'!$C:$C,'Locations Data'!$G:$G,$B12,'Locations Data'!$B:$B,MF$5)&gt;0,1,0)</f>
        <v>1</v>
      </c>
      <c r="MG12" s="6">
        <f>IF(SUMIFS('Locations Data'!$C:$C,'Locations Data'!$G:$G,$B12,'Locations Data'!$B:$B,MG$5)&gt;0,1,0)</f>
        <v>1</v>
      </c>
      <c r="MH12" s="6">
        <f>IF(SUMIFS('Locations Data'!$C:$C,'Locations Data'!$G:$G,$B12,'Locations Data'!$B:$B,MH$5)&gt;0,1,0)</f>
        <v>1</v>
      </c>
      <c r="MI12" s="6">
        <f>IF(SUMIFS('Locations Data'!$C:$C,'Locations Data'!$G:$G,$B12,'Locations Data'!$B:$B,MI$5)&gt;0,1,0)</f>
        <v>1</v>
      </c>
      <c r="MJ12" s="6">
        <f>IF(SUMIFS('Locations Data'!$C:$C,'Locations Data'!$G:$G,$B12,'Locations Data'!$B:$B,MJ$5)&gt;0,1,0)</f>
        <v>1</v>
      </c>
      <c r="MK12" s="6">
        <f>IF(SUMIFS('Locations Data'!$C:$C,'Locations Data'!$G:$G,$B12,'Locations Data'!$B:$B,MK$5)&gt;0,1,0)</f>
        <v>0</v>
      </c>
      <c r="ML12" s="6">
        <f>IF(SUMIFS('Locations Data'!$C:$C,'Locations Data'!$G:$G,$B12,'Locations Data'!$B:$B,ML$5)&gt;0,1,0)</f>
        <v>0</v>
      </c>
      <c r="MM12" s="6">
        <f>IF(SUMIFS('Locations Data'!$C:$C,'Locations Data'!$G:$G,$B12,'Locations Data'!$B:$B,MM$5)&gt;0,1,0)</f>
        <v>1</v>
      </c>
      <c r="MN12" s="6">
        <f>IF(SUMIFS('Locations Data'!$C:$C,'Locations Data'!$G:$G,$B12,'Locations Data'!$B:$B,MN$5)&gt;0,1,0)</f>
        <v>1</v>
      </c>
      <c r="MO12" s="6">
        <f>IF(SUMIFS('Locations Data'!$C:$C,'Locations Data'!$G:$G,$B12,'Locations Data'!$B:$B,MO$5)&gt;0,1,0)</f>
        <v>1</v>
      </c>
      <c r="MP12" s="6">
        <f>IF(SUMIFS('Locations Data'!$C:$C,'Locations Data'!$G:$G,$B12,'Locations Data'!$B:$B,MP$5)&gt;0,1,0)</f>
        <v>1</v>
      </c>
      <c r="MQ12" s="6">
        <f>IF(SUMIFS('Locations Data'!$C:$C,'Locations Data'!$G:$G,$B12,'Locations Data'!$B:$B,MQ$5)&gt;0,1,0)</f>
        <v>1</v>
      </c>
      <c r="MR12" s="6">
        <f>IF(SUMIFS('Locations Data'!$C:$C,'Locations Data'!$G:$G,$B12,'Locations Data'!$B:$B,MR$5)&gt;0,1,0)</f>
        <v>0</v>
      </c>
      <c r="MS12" s="6">
        <f>IF(SUMIFS('Locations Data'!$C:$C,'Locations Data'!$G:$G,$B12,'Locations Data'!$B:$B,MS$5)&gt;0,1,0)</f>
        <v>0</v>
      </c>
      <c r="MT12" s="6">
        <f>IF(SUMIFS('Locations Data'!$C:$C,'Locations Data'!$G:$G,$B12,'Locations Data'!$B:$B,MT$5)&gt;0,1,0)</f>
        <v>1</v>
      </c>
      <c r="MU12" s="6">
        <f>IF(SUMIFS('Locations Data'!$C:$C,'Locations Data'!$G:$G,$B12,'Locations Data'!$B:$B,MU$5)&gt;0,1,0)</f>
        <v>1</v>
      </c>
      <c r="MV12" s="6">
        <f>IF(SUMIFS('Locations Data'!$C:$C,'Locations Data'!$G:$G,$B12,'Locations Data'!$B:$B,MV$5)&gt;0,1,0)</f>
        <v>1</v>
      </c>
      <c r="MW12" s="26">
        <v>0</v>
      </c>
      <c r="MX12" s="6">
        <f>IF(SUMIFS('Locations Data'!$C:$C,'Locations Data'!$G:$G,$B12,'Locations Data'!$B:$B,MX$5)&gt;0,1,0)</f>
        <v>1</v>
      </c>
      <c r="MY12" s="6">
        <f>IF(SUMIFS('Locations Data'!$C:$C,'Locations Data'!$G:$G,$B12,'Locations Data'!$B:$B,MY$5)&gt;0,1,0)</f>
        <v>0</v>
      </c>
      <c r="MZ12" s="6">
        <f>IF(SUMIFS('Locations Data'!$C:$C,'Locations Data'!$G:$G,$B12,'Locations Data'!$B:$B,MZ$5)&gt;0,1,0)</f>
        <v>0</v>
      </c>
      <c r="NA12" s="6">
        <f>IF(SUMIFS('Locations Data'!$C:$C,'Locations Data'!$G:$G,$B12,'Locations Data'!$B:$B,NA$5)&gt;0,1,0)</f>
        <v>1</v>
      </c>
      <c r="NB12" s="6">
        <f>IF(SUMIFS('Locations Data'!$C:$C,'Locations Data'!$G:$G,$B12,'Locations Data'!$B:$B,NB$5)&gt;0,1,0)</f>
        <v>1</v>
      </c>
      <c r="NC12" s="6">
        <f>IF(SUMIFS('Locations Data'!$C:$C,'Locations Data'!$G:$G,$B12,'Locations Data'!$B:$B,NC$5)&gt;0,1,0)</f>
        <v>1</v>
      </c>
    </row>
    <row r="13" spans="2:367">
      <c r="B13" s="20" t="s">
        <v>307</v>
      </c>
      <c r="C13" s="6">
        <v>0</v>
      </c>
      <c r="D13" s="6">
        <f>IF(SUMIFS('Locations Data'!$C:$C,'Locations Data'!$G:$G,$B13,'Locations Data'!$B:$B,D$5)&gt;0,1,0)</f>
        <v>1</v>
      </c>
      <c r="E13" s="6">
        <f>IF(SUMIFS('Locations Data'!$C:$C,'Locations Data'!$G:$G,$B13,'Locations Data'!$B:$B,E$5)&gt;0,1,0)</f>
        <v>1</v>
      </c>
      <c r="F13" s="6">
        <f>IF(SUMIFS('Locations Data'!$C:$C,'Locations Data'!$G:$G,$B13,'Locations Data'!$B:$B,F$5)&gt;0,1,0)</f>
        <v>0</v>
      </c>
      <c r="G13" s="6">
        <f>IF(SUMIFS('Locations Data'!$C:$C,'Locations Data'!$G:$G,$B13,'Locations Data'!$B:$B,G$5)&gt;0,1,0)</f>
        <v>1</v>
      </c>
      <c r="H13" s="6">
        <f>IF(SUMIFS('Locations Data'!$C:$C,'Locations Data'!$G:$G,$B13,'Locations Data'!$B:$B,H$5)&gt;0,1,0)</f>
        <v>1</v>
      </c>
      <c r="I13" s="6">
        <f>IF(SUMIFS('Locations Data'!$C:$C,'Locations Data'!$G:$G,$B13,'Locations Data'!$B:$B,I$5)&gt;0,1,0)</f>
        <v>1</v>
      </c>
      <c r="J13" s="6">
        <f>IF(SUMIFS('Locations Data'!$C:$C,'Locations Data'!$G:$G,$B13,'Locations Data'!$B:$B,J$5)&gt;0,1,0)</f>
        <v>1</v>
      </c>
      <c r="K13" s="6">
        <f>IF(SUMIFS('Locations Data'!$C:$C,'Locations Data'!$G:$G,$B13,'Locations Data'!$B:$B,K$5)&gt;0,1,0)</f>
        <v>1</v>
      </c>
      <c r="L13" s="6">
        <f>IF(SUMIFS('Locations Data'!$C:$C,'Locations Data'!$G:$G,$B13,'Locations Data'!$B:$B,L$5)&gt;0,1,0)</f>
        <v>1</v>
      </c>
      <c r="M13" s="6">
        <f>IF(SUMIFS('Locations Data'!$C:$C,'Locations Data'!$G:$G,$B13,'Locations Data'!$B:$B,M$5)&gt;0,1,0)</f>
        <v>0</v>
      </c>
      <c r="N13" s="6">
        <f>IF(SUMIFS('Locations Data'!$C:$C,'Locations Data'!$G:$G,$B13,'Locations Data'!$B:$B,N$5)&gt;0,1,0)</f>
        <v>1</v>
      </c>
      <c r="O13" s="6">
        <f>IF(SUMIFS('Locations Data'!$C:$C,'Locations Data'!$G:$G,$B13,'Locations Data'!$B:$B,O$5)&gt;0,1,0)</f>
        <v>1</v>
      </c>
      <c r="P13" s="6">
        <f>IF(SUMIFS('Locations Data'!$C:$C,'Locations Data'!$G:$G,$B13,'Locations Data'!$B:$B,P$5)&gt;0,1,0)</f>
        <v>1</v>
      </c>
      <c r="Q13" s="6">
        <f>IF(SUMIFS('Locations Data'!$C:$C,'Locations Data'!$G:$G,$B13,'Locations Data'!$B:$B,Q$5)&gt;0,1,0)</f>
        <v>1</v>
      </c>
      <c r="R13" s="6">
        <f>IF(SUMIFS('Locations Data'!$C:$C,'Locations Data'!$G:$G,$B13,'Locations Data'!$B:$B,R$5)&gt;0,1,0)</f>
        <v>1</v>
      </c>
      <c r="S13" s="6">
        <f>IF(SUMIFS('Locations Data'!$C:$C,'Locations Data'!$G:$G,$B13,'Locations Data'!$B:$B,S$5)&gt;0,1,0)</f>
        <v>1</v>
      </c>
      <c r="T13" s="6">
        <f>IF(SUMIFS('Locations Data'!$C:$C,'Locations Data'!$G:$G,$B13,'Locations Data'!$B:$B,T$5)&gt;0,1,0)</f>
        <v>0</v>
      </c>
      <c r="U13" s="6">
        <f>IF(SUMIFS('Locations Data'!$C:$C,'Locations Data'!$G:$G,$B13,'Locations Data'!$B:$B,U$5)&gt;0,1,0)</f>
        <v>1</v>
      </c>
      <c r="V13" s="6">
        <f>IF(SUMIFS('Locations Data'!$C:$C,'Locations Data'!$G:$G,$B13,'Locations Data'!$B:$B,V$5)&gt;0,1,0)</f>
        <v>1</v>
      </c>
      <c r="W13" s="6">
        <f>IF(SUMIFS('Locations Data'!$C:$C,'Locations Data'!$G:$G,$B13,'Locations Data'!$B:$B,W$5)&gt;0,1,0)</f>
        <v>1</v>
      </c>
      <c r="X13" s="6">
        <f>IF(SUMIFS('Locations Data'!$C:$C,'Locations Data'!$G:$G,$B13,'Locations Data'!$B:$B,X$5)&gt;0,1,0)</f>
        <v>1</v>
      </c>
      <c r="Y13" s="6">
        <f>IF(SUMIFS('Locations Data'!$C:$C,'Locations Data'!$G:$G,$B13,'Locations Data'!$B:$B,Y$5)&gt;0,1,0)</f>
        <v>1</v>
      </c>
      <c r="Z13" s="6">
        <f>IF(SUMIFS('Locations Data'!$C:$C,'Locations Data'!$G:$G,$B13,'Locations Data'!$B:$B,Z$5)&gt;0,1,0)</f>
        <v>1</v>
      </c>
      <c r="AA13" s="6">
        <f>IF(SUMIFS('Locations Data'!$C:$C,'Locations Data'!$G:$G,$B13,'Locations Data'!$B:$B,AA$5)&gt;0,1,0)</f>
        <v>0</v>
      </c>
      <c r="AB13" s="6">
        <f>IF(SUMIFS('Locations Data'!$C:$C,'Locations Data'!$G:$G,$B13,'Locations Data'!$B:$B,AB$5)&gt;0,1,0)</f>
        <v>1</v>
      </c>
      <c r="AC13" s="6">
        <f>IF(SUMIFS('Locations Data'!$C:$C,'Locations Data'!$G:$G,$B13,'Locations Data'!$B:$B,AC$5)&gt;0,1,0)</f>
        <v>1</v>
      </c>
      <c r="AD13" s="6">
        <f>IF(SUMIFS('Locations Data'!$C:$C,'Locations Data'!$G:$G,$B13,'Locations Data'!$B:$B,AD$5)&gt;0,1,0)</f>
        <v>1</v>
      </c>
      <c r="AE13" s="6">
        <f>IF(SUMIFS('Locations Data'!$C:$C,'Locations Data'!$G:$G,$B13,'Locations Data'!$B:$B,AE$5)&gt;0,1,0)</f>
        <v>1</v>
      </c>
      <c r="AF13" s="6">
        <f>IF(SUMIFS('Locations Data'!$C:$C,'Locations Data'!$G:$G,$B13,'Locations Data'!$B:$B,AF$5)&gt;0,1,0)</f>
        <v>1</v>
      </c>
      <c r="AG13" s="6">
        <f>IF(SUMIFS('Locations Data'!$C:$C,'Locations Data'!$G:$G,$B13,'Locations Data'!$B:$B,AG$5)&gt;0,1,0)</f>
        <v>1</v>
      </c>
      <c r="AH13" s="6">
        <f>IF(SUMIFS('Locations Data'!$C:$C,'Locations Data'!$G:$G,$B13,'Locations Data'!$B:$B,AH$5)&gt;0,1,0)</f>
        <v>0</v>
      </c>
      <c r="AI13" s="6">
        <f>IF(SUMIFS('Locations Data'!$C:$C,'Locations Data'!$G:$G,$B13,'Locations Data'!$B:$B,AI$5)&gt;0,1,0)</f>
        <v>1</v>
      </c>
      <c r="AJ13" s="6">
        <f>IF(SUMIFS('Locations Data'!$C:$C,'Locations Data'!$G:$G,$B13,'Locations Data'!$B:$B,AJ$5)&gt;0,1,0)</f>
        <v>1</v>
      </c>
      <c r="AK13" s="6">
        <f>IF(SUMIFS('Locations Data'!$C:$C,'Locations Data'!$G:$G,$B13,'Locations Data'!$B:$B,AK$5)&gt;0,1,0)</f>
        <v>1</v>
      </c>
      <c r="AL13" s="6">
        <f>IF(SUMIFS('Locations Data'!$C:$C,'Locations Data'!$G:$G,$B13,'Locations Data'!$B:$B,AL$5)&gt;0,1,0)</f>
        <v>1</v>
      </c>
      <c r="AM13" s="6">
        <f>IF(SUMIFS('Locations Data'!$C:$C,'Locations Data'!$G:$G,$B13,'Locations Data'!$B:$B,AM$5)&gt;0,1,0)</f>
        <v>1</v>
      </c>
      <c r="AN13" s="6">
        <f>IF(SUMIFS('Locations Data'!$C:$C,'Locations Data'!$G:$G,$B13,'Locations Data'!$B:$B,AN$5)&gt;0,1,0)</f>
        <v>1</v>
      </c>
      <c r="AO13" s="6">
        <f>IF(SUMIFS('Locations Data'!$C:$C,'Locations Data'!$G:$G,$B13,'Locations Data'!$B:$B,AO$5)&gt;0,1,0)</f>
        <v>0</v>
      </c>
      <c r="AP13" s="6">
        <f>IF(SUMIFS('Locations Data'!$C:$C,'Locations Data'!$G:$G,$B13,'Locations Data'!$B:$B,AP$5)&gt;0,1,0)</f>
        <v>1</v>
      </c>
      <c r="AQ13" s="6">
        <f>IF(SUMIFS('Locations Data'!$C:$C,'Locations Data'!$G:$G,$B13,'Locations Data'!$B:$B,AQ$5)&gt;0,1,0)</f>
        <v>1</v>
      </c>
      <c r="AR13" s="6">
        <f>IF(SUMIFS('Locations Data'!$C:$C,'Locations Data'!$G:$G,$B13,'Locations Data'!$B:$B,AR$5)&gt;0,1,0)</f>
        <v>1</v>
      </c>
      <c r="AS13" s="6">
        <f>IF(SUMIFS('Locations Data'!$C:$C,'Locations Data'!$G:$G,$B13,'Locations Data'!$B:$B,AS$5)&gt;0,1,0)</f>
        <v>1</v>
      </c>
      <c r="AT13" s="6">
        <f>IF(SUMIFS('Locations Data'!$C:$C,'Locations Data'!$G:$G,$B13,'Locations Data'!$B:$B,AT$5)&gt;0,1,0)</f>
        <v>1</v>
      </c>
      <c r="AU13" s="6">
        <f>IF(SUMIFS('Locations Data'!$C:$C,'Locations Data'!$G:$G,$B13,'Locations Data'!$B:$B,AU$5)&gt;0,1,0)</f>
        <v>1</v>
      </c>
      <c r="AV13" s="6">
        <f>IF(SUMIFS('Locations Data'!$C:$C,'Locations Data'!$G:$G,$B13,'Locations Data'!$B:$B,AV$5)&gt;0,1,0)</f>
        <v>0</v>
      </c>
      <c r="AW13" s="6">
        <f>IF(SUMIFS('Locations Data'!$C:$C,'Locations Data'!$G:$G,$B13,'Locations Data'!$B:$B,AW$5)&gt;0,1,0)</f>
        <v>1</v>
      </c>
      <c r="AX13" s="6">
        <f>IF(SUMIFS('Locations Data'!$C:$C,'Locations Data'!$G:$G,$B13,'Locations Data'!$B:$B,AX$5)&gt;0,1,0)</f>
        <v>1</v>
      </c>
      <c r="AY13" s="6">
        <f>IF(SUMIFS('Locations Data'!$C:$C,'Locations Data'!$G:$G,$B13,'Locations Data'!$B:$B,AY$5)&gt;0,1,0)</f>
        <v>1</v>
      </c>
      <c r="AZ13" s="6">
        <f>IF(SUMIFS('Locations Data'!$C:$C,'Locations Data'!$G:$G,$B13,'Locations Data'!$B:$B,AZ$5)&gt;0,1,0)</f>
        <v>1</v>
      </c>
      <c r="BA13" s="6">
        <f>IF(SUMIFS('Locations Data'!$C:$C,'Locations Data'!$G:$G,$B13,'Locations Data'!$B:$B,BA$5)&gt;0,1,0)</f>
        <v>1</v>
      </c>
      <c r="BB13" s="6">
        <f>IF(SUMIFS('Locations Data'!$C:$C,'Locations Data'!$G:$G,$B13,'Locations Data'!$B:$B,BB$5)&gt;0,1,0)</f>
        <v>1</v>
      </c>
      <c r="BC13" s="6">
        <f>IF(SUMIFS('Locations Data'!$C:$C,'Locations Data'!$G:$G,$B13,'Locations Data'!$B:$B,BC$5)&gt;0,1,0)</f>
        <v>0</v>
      </c>
      <c r="BD13" s="6">
        <f>IF(SUMIFS('Locations Data'!$C:$C,'Locations Data'!$G:$G,$B13,'Locations Data'!$B:$B,BD$5)&gt;0,1,0)</f>
        <v>1</v>
      </c>
      <c r="BE13" s="6">
        <f>IF(SUMIFS('Locations Data'!$C:$C,'Locations Data'!$G:$G,$B13,'Locations Data'!$B:$B,BE$5)&gt;0,1,0)</f>
        <v>1</v>
      </c>
      <c r="BF13" s="6">
        <f>IF(SUMIFS('Locations Data'!$C:$C,'Locations Data'!$G:$G,$B13,'Locations Data'!$B:$B,BF$5)&gt;0,1,0)</f>
        <v>1</v>
      </c>
      <c r="BG13" s="6">
        <f>IF(SUMIFS('Locations Data'!$C:$C,'Locations Data'!$G:$G,$B13,'Locations Data'!$B:$B,BG$5)&gt;0,1,0)</f>
        <v>1</v>
      </c>
      <c r="BH13" s="6">
        <f>IF(SUMIFS('Locations Data'!$C:$C,'Locations Data'!$G:$G,$B13,'Locations Data'!$B:$B,BH$5)&gt;0,1,0)</f>
        <v>1</v>
      </c>
      <c r="BI13" s="6">
        <f>IF(SUMIFS('Locations Data'!$C:$C,'Locations Data'!$G:$G,$B13,'Locations Data'!$B:$B,BI$5)&gt;0,1,0)</f>
        <v>1</v>
      </c>
      <c r="BJ13" s="6">
        <f>IF(SUMIFS('Locations Data'!$C:$C,'Locations Data'!$G:$G,$B13,'Locations Data'!$B:$B,BJ$5)&gt;0,1,0)</f>
        <v>0</v>
      </c>
      <c r="BK13" s="6">
        <f>IF(SUMIFS('Locations Data'!$C:$C,'Locations Data'!$G:$G,$B13,'Locations Data'!$B:$B,BK$5)&gt;0,1,0)</f>
        <v>1</v>
      </c>
      <c r="BL13" s="6">
        <f>IF(SUMIFS('Locations Data'!$C:$C,'Locations Data'!$G:$G,$B13,'Locations Data'!$B:$B,BL$5)&gt;0,1,0)</f>
        <v>1</v>
      </c>
      <c r="BM13" s="6">
        <f>IF(SUMIFS('Locations Data'!$C:$C,'Locations Data'!$G:$G,$B13,'Locations Data'!$B:$B,BM$5)&gt;0,1,0)</f>
        <v>1</v>
      </c>
      <c r="BN13" s="6">
        <f>IF(SUMIFS('Locations Data'!$C:$C,'Locations Data'!$G:$G,$B13,'Locations Data'!$B:$B,BN$5)&gt;0,1,0)</f>
        <v>1</v>
      </c>
      <c r="BO13" s="6">
        <f>IF(SUMIFS('Locations Data'!$C:$C,'Locations Data'!$G:$G,$B13,'Locations Data'!$B:$B,BO$5)&gt;0,1,0)</f>
        <v>1</v>
      </c>
      <c r="BP13" s="6">
        <f>IF(SUMIFS('Locations Data'!$C:$C,'Locations Data'!$G:$G,$B13,'Locations Data'!$B:$B,BP$5)&gt;0,1,0)</f>
        <v>1</v>
      </c>
      <c r="BQ13" s="6">
        <f>IF(SUMIFS('Locations Data'!$C:$C,'Locations Data'!$G:$G,$B13,'Locations Data'!$B:$B,BQ$5)&gt;0,1,0)</f>
        <v>0</v>
      </c>
      <c r="BR13" s="6">
        <f>IF(SUMIFS('Locations Data'!$C:$C,'Locations Data'!$G:$G,$B13,'Locations Data'!$B:$B,BR$5)&gt;0,1,0)</f>
        <v>1</v>
      </c>
      <c r="BS13" s="6">
        <f>IF(SUMIFS('Locations Data'!$C:$C,'Locations Data'!$G:$G,$B13,'Locations Data'!$B:$B,BS$5)&gt;0,1,0)</f>
        <v>1</v>
      </c>
      <c r="BT13" s="6">
        <f>IF(SUMIFS('Locations Data'!$C:$C,'Locations Data'!$G:$G,$B13,'Locations Data'!$B:$B,BT$5)&gt;0,1,0)</f>
        <v>1</v>
      </c>
      <c r="BU13" s="6">
        <f>IF(SUMIFS('Locations Data'!$C:$C,'Locations Data'!$G:$G,$B13,'Locations Data'!$B:$B,BU$5)&gt;0,1,0)</f>
        <v>1</v>
      </c>
      <c r="BV13" s="6">
        <f>IF(SUMIFS('Locations Data'!$C:$C,'Locations Data'!$G:$G,$B13,'Locations Data'!$B:$B,BV$5)&gt;0,1,0)</f>
        <v>1</v>
      </c>
      <c r="BW13" s="6">
        <f>IF(SUMIFS('Locations Data'!$C:$C,'Locations Data'!$G:$G,$B13,'Locations Data'!$B:$B,BW$5)&gt;0,1,0)</f>
        <v>1</v>
      </c>
      <c r="BX13" s="6">
        <f>IF(SUMIFS('Locations Data'!$C:$C,'Locations Data'!$G:$G,$B13,'Locations Data'!$B:$B,BX$5)&gt;0,1,0)</f>
        <v>0</v>
      </c>
      <c r="BY13" s="6">
        <f>IF(SUMIFS('Locations Data'!$C:$C,'Locations Data'!$G:$G,$B13,'Locations Data'!$B:$B,BY$5)&gt;0,1,0)</f>
        <v>1</v>
      </c>
      <c r="BZ13" s="6">
        <f>IF(SUMIFS('Locations Data'!$C:$C,'Locations Data'!$G:$G,$B13,'Locations Data'!$B:$B,BZ$5)&gt;0,1,0)</f>
        <v>1</v>
      </c>
      <c r="CA13" s="6">
        <f>IF(SUMIFS('Locations Data'!$C:$C,'Locations Data'!$G:$G,$B13,'Locations Data'!$B:$B,CA$5)&gt;0,1,0)</f>
        <v>1</v>
      </c>
      <c r="CB13" s="6">
        <f>IF(SUMIFS('Locations Data'!$C:$C,'Locations Data'!$G:$G,$B13,'Locations Data'!$B:$B,CB$5)&gt;0,1,0)</f>
        <v>1</v>
      </c>
      <c r="CC13" s="6">
        <f>IF(SUMIFS('Locations Data'!$C:$C,'Locations Data'!$G:$G,$B13,'Locations Data'!$B:$B,CC$5)&gt;0,1,0)</f>
        <v>1</v>
      </c>
      <c r="CD13" s="6">
        <f>IF(SUMIFS('Locations Data'!$C:$C,'Locations Data'!$G:$G,$B13,'Locations Data'!$B:$B,CD$5)&gt;0,1,0)</f>
        <v>1</v>
      </c>
      <c r="CE13" s="6">
        <f>IF(SUMIFS('Locations Data'!$C:$C,'Locations Data'!$G:$G,$B13,'Locations Data'!$B:$B,CE$5)&gt;0,1,0)</f>
        <v>0</v>
      </c>
      <c r="CF13" s="6">
        <f>IF(SUMIFS('Locations Data'!$C:$C,'Locations Data'!$G:$G,$B13,'Locations Data'!$B:$B,CF$5)&gt;0,1,0)</f>
        <v>1</v>
      </c>
      <c r="CG13" s="6">
        <f>IF(SUMIFS('Locations Data'!$C:$C,'Locations Data'!$G:$G,$B13,'Locations Data'!$B:$B,CG$5)&gt;0,1,0)</f>
        <v>1</v>
      </c>
      <c r="CH13" s="6">
        <f>IF(SUMIFS('Locations Data'!$C:$C,'Locations Data'!$G:$G,$B13,'Locations Data'!$B:$B,CH$5)&gt;0,1,0)</f>
        <v>1</v>
      </c>
      <c r="CI13" s="6">
        <f>IF(SUMIFS('Locations Data'!$C:$C,'Locations Data'!$G:$G,$B13,'Locations Data'!$B:$B,CI$5)&gt;0,1,0)</f>
        <v>1</v>
      </c>
      <c r="CJ13" s="6">
        <f>IF(SUMIFS('Locations Data'!$C:$C,'Locations Data'!$G:$G,$B13,'Locations Data'!$B:$B,CJ$5)&gt;0,1,0)</f>
        <v>1</v>
      </c>
      <c r="CK13" s="6">
        <f>IF(SUMIFS('Locations Data'!$C:$C,'Locations Data'!$G:$G,$B13,'Locations Data'!$B:$B,CK$5)&gt;0,1,0)</f>
        <v>1</v>
      </c>
      <c r="CL13" s="6">
        <f>IF(SUMIFS('Locations Data'!$C:$C,'Locations Data'!$G:$G,$B13,'Locations Data'!$B:$B,CL$5)&gt;0,1,0)</f>
        <v>0</v>
      </c>
      <c r="CM13" s="6">
        <f>IF(SUMIFS('Locations Data'!$C:$C,'Locations Data'!$G:$G,$B13,'Locations Data'!$B:$B,CM$5)&gt;0,1,0)</f>
        <v>1</v>
      </c>
      <c r="CN13" s="6">
        <f>IF(SUMIFS('Locations Data'!$C:$C,'Locations Data'!$G:$G,$B13,'Locations Data'!$B:$B,CN$5)&gt;0,1,0)</f>
        <v>1</v>
      </c>
      <c r="CO13" s="6">
        <f>IF(SUMIFS('Locations Data'!$C:$C,'Locations Data'!$G:$G,$B13,'Locations Data'!$B:$B,CO$5)&gt;0,1,0)</f>
        <v>1</v>
      </c>
      <c r="CP13" s="6">
        <f>IF(SUMIFS('Locations Data'!$C:$C,'Locations Data'!$G:$G,$B13,'Locations Data'!$B:$B,CP$5)&gt;0,1,0)</f>
        <v>1</v>
      </c>
      <c r="CQ13" s="6">
        <f>IF(SUMIFS('Locations Data'!$C:$C,'Locations Data'!$G:$G,$B13,'Locations Data'!$B:$B,CQ$5)&gt;0,1,0)</f>
        <v>1</v>
      </c>
      <c r="CR13" s="6">
        <f>IF(SUMIFS('Locations Data'!$C:$C,'Locations Data'!$G:$G,$B13,'Locations Data'!$B:$B,CR$5)&gt;0,1,0)</f>
        <v>1</v>
      </c>
      <c r="CS13" s="6">
        <f>IF(SUMIFS('Locations Data'!$C:$C,'Locations Data'!$G:$G,$B13,'Locations Data'!$B:$B,CS$5)&gt;0,1,0)</f>
        <v>0</v>
      </c>
      <c r="CT13" s="6">
        <f>IF(SUMIFS('Locations Data'!$C:$C,'Locations Data'!$G:$G,$B13,'Locations Data'!$B:$B,CT$5)&gt;0,1,0)</f>
        <v>1</v>
      </c>
      <c r="CU13" s="6">
        <f>IF(SUMIFS('Locations Data'!$C:$C,'Locations Data'!$G:$G,$B13,'Locations Data'!$B:$B,CU$5)&gt;0,1,0)</f>
        <v>1</v>
      </c>
      <c r="CV13" s="6">
        <f>IF(SUMIFS('Locations Data'!$C:$C,'Locations Data'!$G:$G,$B13,'Locations Data'!$B:$B,CV$5)&gt;0,1,0)</f>
        <v>1</v>
      </c>
      <c r="CW13" s="6">
        <f>IF(SUMIFS('Locations Data'!$C:$C,'Locations Data'!$G:$G,$B13,'Locations Data'!$B:$B,CW$5)&gt;0,1,0)</f>
        <v>1</v>
      </c>
      <c r="CX13" s="6">
        <f>IF(SUMIFS('Locations Data'!$C:$C,'Locations Data'!$G:$G,$B13,'Locations Data'!$B:$B,CX$5)&gt;0,1,0)</f>
        <v>1</v>
      </c>
      <c r="CY13" s="6">
        <f>IF(SUMIFS('Locations Data'!$C:$C,'Locations Data'!$G:$G,$B13,'Locations Data'!$B:$B,CY$5)&gt;0,1,0)</f>
        <v>1</v>
      </c>
      <c r="CZ13" s="6">
        <f>IF(SUMIFS('Locations Data'!$C:$C,'Locations Data'!$G:$G,$B13,'Locations Data'!$B:$B,CZ$5)&gt;0,1,0)</f>
        <v>0</v>
      </c>
      <c r="DA13" s="6">
        <f>IF(SUMIFS('Locations Data'!$C:$C,'Locations Data'!$G:$G,$B13,'Locations Data'!$B:$B,DA$5)&gt;0,1,0)</f>
        <v>1</v>
      </c>
      <c r="DB13" s="6">
        <f>IF(SUMIFS('Locations Data'!$C:$C,'Locations Data'!$G:$G,$B13,'Locations Data'!$B:$B,DB$5)&gt;0,1,0)</f>
        <v>1</v>
      </c>
      <c r="DC13" s="6">
        <f>IF(SUMIFS('Locations Data'!$C:$C,'Locations Data'!$G:$G,$B13,'Locations Data'!$B:$B,DC$5)&gt;0,1,0)</f>
        <v>1</v>
      </c>
      <c r="DD13" s="6">
        <f>IF(SUMIFS('Locations Data'!$C:$C,'Locations Data'!$G:$G,$B13,'Locations Data'!$B:$B,DD$5)&gt;0,1,0)</f>
        <v>1</v>
      </c>
      <c r="DE13" s="6">
        <f>IF(SUMIFS('Locations Data'!$C:$C,'Locations Data'!$G:$G,$B13,'Locations Data'!$B:$B,DE$5)&gt;0,1,0)</f>
        <v>1</v>
      </c>
      <c r="DF13" s="6">
        <f>IF(SUMIFS('Locations Data'!$C:$C,'Locations Data'!$G:$G,$B13,'Locations Data'!$B:$B,DF$5)&gt;0,1,0)</f>
        <v>1</v>
      </c>
      <c r="DG13" s="6">
        <f>IF(SUMIFS('Locations Data'!$C:$C,'Locations Data'!$G:$G,$B13,'Locations Data'!$B:$B,DG$5)&gt;0,1,0)</f>
        <v>0</v>
      </c>
      <c r="DH13" s="6">
        <f>IF(SUMIFS('Locations Data'!$C:$C,'Locations Data'!$G:$G,$B13,'Locations Data'!$B:$B,DH$5)&gt;0,1,0)</f>
        <v>1</v>
      </c>
      <c r="DI13" s="6">
        <f>IF(SUMIFS('Locations Data'!$C:$C,'Locations Data'!$G:$G,$B13,'Locations Data'!$B:$B,DI$5)&gt;0,1,0)</f>
        <v>1</v>
      </c>
      <c r="DJ13" s="6">
        <f>IF(SUMIFS('Locations Data'!$C:$C,'Locations Data'!$G:$G,$B13,'Locations Data'!$B:$B,DJ$5)&gt;0,1,0)</f>
        <v>1</v>
      </c>
      <c r="DK13" s="6">
        <f>IF(SUMIFS('Locations Data'!$C:$C,'Locations Data'!$G:$G,$B13,'Locations Data'!$B:$B,DK$5)&gt;0,1,0)</f>
        <v>1</v>
      </c>
      <c r="DL13" s="6">
        <f>IF(SUMIFS('Locations Data'!$C:$C,'Locations Data'!$G:$G,$B13,'Locations Data'!$B:$B,DL$5)&gt;0,1,0)</f>
        <v>1</v>
      </c>
      <c r="DM13" s="6">
        <f>IF(SUMIFS('Locations Data'!$C:$C,'Locations Data'!$G:$G,$B13,'Locations Data'!$B:$B,DM$5)&gt;0,1,0)</f>
        <v>1</v>
      </c>
      <c r="DN13" s="6">
        <f>IF(SUMIFS('Locations Data'!$C:$C,'Locations Data'!$G:$G,$B13,'Locations Data'!$B:$B,DN$5)&gt;0,1,0)</f>
        <v>0</v>
      </c>
      <c r="DO13" s="6">
        <f>IF(SUMIFS('Locations Data'!$C:$C,'Locations Data'!$G:$G,$B13,'Locations Data'!$B:$B,DO$5)&gt;0,1,0)</f>
        <v>1</v>
      </c>
      <c r="DP13" s="6">
        <f>IF(SUMIFS('Locations Data'!$C:$C,'Locations Data'!$G:$G,$B13,'Locations Data'!$B:$B,DP$5)&gt;0,1,0)</f>
        <v>1</v>
      </c>
      <c r="DQ13" s="6">
        <f>IF(SUMIFS('Locations Data'!$C:$C,'Locations Data'!$G:$G,$B13,'Locations Data'!$B:$B,DQ$5)&gt;0,1,0)</f>
        <v>1</v>
      </c>
      <c r="DR13" s="6">
        <f>IF(SUMIFS('Locations Data'!$C:$C,'Locations Data'!$G:$G,$B13,'Locations Data'!$B:$B,DR$5)&gt;0,1,0)</f>
        <v>1</v>
      </c>
      <c r="DS13" s="6">
        <f>IF(SUMIFS('Locations Data'!$C:$C,'Locations Data'!$G:$G,$B13,'Locations Data'!$B:$B,DS$5)&gt;0,1,0)</f>
        <v>1</v>
      </c>
      <c r="DT13" s="6">
        <f>IF(SUMIFS('Locations Data'!$C:$C,'Locations Data'!$G:$G,$B13,'Locations Data'!$B:$B,DT$5)&gt;0,1,0)</f>
        <v>1</v>
      </c>
      <c r="DU13" s="6">
        <f>IF(SUMIFS('Locations Data'!$C:$C,'Locations Data'!$G:$G,$B13,'Locations Data'!$B:$B,DU$5)&gt;0,1,0)</f>
        <v>0</v>
      </c>
      <c r="DV13" s="6">
        <f>IF(SUMIFS('Locations Data'!$C:$C,'Locations Data'!$G:$G,$B13,'Locations Data'!$B:$B,DV$5)&gt;0,1,0)</f>
        <v>1</v>
      </c>
      <c r="DW13" s="6">
        <f>IF(SUMIFS('Locations Data'!$C:$C,'Locations Data'!$G:$G,$B13,'Locations Data'!$B:$B,DW$5)&gt;0,1,0)</f>
        <v>1</v>
      </c>
      <c r="DX13" s="6">
        <f>IF(SUMIFS('Locations Data'!$C:$C,'Locations Data'!$G:$G,$B13,'Locations Data'!$B:$B,DX$5)&gt;0,1,0)</f>
        <v>1</v>
      </c>
      <c r="DY13" s="6">
        <f>IF(SUMIFS('Locations Data'!$C:$C,'Locations Data'!$G:$G,$B13,'Locations Data'!$B:$B,DY$5)&gt;0,1,0)</f>
        <v>1</v>
      </c>
      <c r="DZ13" s="6">
        <f>IF(SUMIFS('Locations Data'!$C:$C,'Locations Data'!$G:$G,$B13,'Locations Data'!$B:$B,DZ$5)&gt;0,1,0)</f>
        <v>1</v>
      </c>
      <c r="EA13" s="6">
        <f>IF(SUMIFS('Locations Data'!$C:$C,'Locations Data'!$G:$G,$B13,'Locations Data'!$B:$B,EA$5)&gt;0,1,0)</f>
        <v>1</v>
      </c>
      <c r="EB13" s="6">
        <f>IF(SUMIFS('Locations Data'!$C:$C,'Locations Data'!$G:$G,$B13,'Locations Data'!$B:$B,EB$5)&gt;0,1,0)</f>
        <v>0</v>
      </c>
      <c r="EC13" s="6">
        <f>IF(SUMIFS('Locations Data'!$C:$C,'Locations Data'!$G:$G,$B13,'Locations Data'!$B:$B,EC$5)&gt;0,1,0)</f>
        <v>1</v>
      </c>
      <c r="ED13" s="6">
        <f>IF(SUMIFS('Locations Data'!$C:$C,'Locations Data'!$G:$G,$B13,'Locations Data'!$B:$B,ED$5)&gt;0,1,0)</f>
        <v>1</v>
      </c>
      <c r="EE13" s="6">
        <f>IF(SUMIFS('Locations Data'!$C:$C,'Locations Data'!$G:$G,$B13,'Locations Data'!$B:$B,EE$5)&gt;0,1,0)</f>
        <v>1</v>
      </c>
      <c r="EF13" s="6">
        <f>IF(SUMIFS('Locations Data'!$C:$C,'Locations Data'!$G:$G,$B13,'Locations Data'!$B:$B,EF$5)&gt;0,1,0)</f>
        <v>1</v>
      </c>
      <c r="EG13" s="6">
        <f>IF(SUMIFS('Locations Data'!$C:$C,'Locations Data'!$G:$G,$B13,'Locations Data'!$B:$B,EG$5)&gt;0,1,0)</f>
        <v>1</v>
      </c>
      <c r="EH13" s="6">
        <f>IF(SUMIFS('Locations Data'!$C:$C,'Locations Data'!$G:$G,$B13,'Locations Data'!$B:$B,EH$5)&gt;0,1,0)</f>
        <v>1</v>
      </c>
      <c r="EI13" s="6">
        <f>IF(SUMIFS('Locations Data'!$C:$C,'Locations Data'!$G:$G,$B13,'Locations Data'!$B:$B,EI$5)&gt;0,1,0)</f>
        <v>0</v>
      </c>
      <c r="EJ13" s="6">
        <f>IF(SUMIFS('Locations Data'!$C:$C,'Locations Data'!$G:$G,$B13,'Locations Data'!$B:$B,EJ$5)&gt;0,1,0)</f>
        <v>1</v>
      </c>
      <c r="EK13" s="6">
        <f>IF(SUMIFS('Locations Data'!$C:$C,'Locations Data'!$G:$G,$B13,'Locations Data'!$B:$B,EK$5)&gt;0,1,0)</f>
        <v>1</v>
      </c>
      <c r="EL13" s="6">
        <f>IF(SUMIFS('Locations Data'!$C:$C,'Locations Data'!$G:$G,$B13,'Locations Data'!$B:$B,EL$5)&gt;0,1,0)</f>
        <v>1</v>
      </c>
      <c r="EM13" s="6">
        <f>IF(SUMIFS('Locations Data'!$C:$C,'Locations Data'!$G:$G,$B13,'Locations Data'!$B:$B,EM$5)&gt;0,1,0)</f>
        <v>1</v>
      </c>
      <c r="EN13" s="6">
        <f>IF(SUMIFS('Locations Data'!$C:$C,'Locations Data'!$G:$G,$B13,'Locations Data'!$B:$B,EN$5)&gt;0,1,0)</f>
        <v>1</v>
      </c>
      <c r="EO13" s="6">
        <f>IF(SUMIFS('Locations Data'!$C:$C,'Locations Data'!$G:$G,$B13,'Locations Data'!$B:$B,EO$5)&gt;0,1,0)</f>
        <v>1</v>
      </c>
      <c r="EP13" s="6">
        <f>IF(SUMIFS('Locations Data'!$C:$C,'Locations Data'!$G:$G,$B13,'Locations Data'!$B:$B,EP$5)&gt;0,1,0)</f>
        <v>0</v>
      </c>
      <c r="EQ13" s="6">
        <f>IF(SUMIFS('Locations Data'!$C:$C,'Locations Data'!$G:$G,$B13,'Locations Data'!$B:$B,EQ$5)&gt;0,1,0)</f>
        <v>1</v>
      </c>
      <c r="ER13" s="6">
        <f>IF(SUMIFS('Locations Data'!$C:$C,'Locations Data'!$G:$G,$B13,'Locations Data'!$B:$B,ER$5)&gt;0,1,0)</f>
        <v>1</v>
      </c>
      <c r="ES13" s="6">
        <f>IF(SUMIFS('Locations Data'!$C:$C,'Locations Data'!$G:$G,$B13,'Locations Data'!$B:$B,ES$5)&gt;0,1,0)</f>
        <v>1</v>
      </c>
      <c r="ET13" s="6">
        <f>IF(SUMIFS('Locations Data'!$C:$C,'Locations Data'!$G:$G,$B13,'Locations Data'!$B:$B,ET$5)&gt;0,1,0)</f>
        <v>1</v>
      </c>
      <c r="EU13" s="6">
        <f>IF(SUMIFS('Locations Data'!$C:$C,'Locations Data'!$G:$G,$B13,'Locations Data'!$B:$B,EU$5)&gt;0,1,0)</f>
        <v>1</v>
      </c>
      <c r="EV13" s="6">
        <f>IF(SUMIFS('Locations Data'!$C:$C,'Locations Data'!$G:$G,$B13,'Locations Data'!$B:$B,EV$5)&gt;0,1,0)</f>
        <v>1</v>
      </c>
      <c r="EW13" s="6">
        <f>IF(SUMIFS('Locations Data'!$C:$C,'Locations Data'!$G:$G,$B13,'Locations Data'!$B:$B,EW$5)&gt;0,1,0)</f>
        <v>0</v>
      </c>
      <c r="EX13" s="6">
        <f>IF(SUMIFS('Locations Data'!$C:$C,'Locations Data'!$G:$G,$B13,'Locations Data'!$B:$B,EX$5)&gt;0,1,0)</f>
        <v>1</v>
      </c>
      <c r="EY13" s="6">
        <f>IF(SUMIFS('Locations Data'!$C:$C,'Locations Data'!$G:$G,$B13,'Locations Data'!$B:$B,EY$5)&gt;0,1,0)</f>
        <v>1</v>
      </c>
      <c r="EZ13" s="6">
        <f>IF(SUMIFS('Locations Data'!$C:$C,'Locations Data'!$G:$G,$B13,'Locations Data'!$B:$B,EZ$5)&gt;0,1,0)</f>
        <v>1</v>
      </c>
      <c r="FA13" s="6">
        <f>IF(SUMIFS('Locations Data'!$C:$C,'Locations Data'!$G:$G,$B13,'Locations Data'!$B:$B,FA$5)&gt;0,1,0)</f>
        <v>1</v>
      </c>
      <c r="FB13" s="6">
        <f>IF(SUMIFS('Locations Data'!$C:$C,'Locations Data'!$G:$G,$B13,'Locations Data'!$B:$B,FB$5)&gt;0,1,0)</f>
        <v>1</v>
      </c>
      <c r="FC13" s="6">
        <f>IF(SUMIFS('Locations Data'!$C:$C,'Locations Data'!$G:$G,$B13,'Locations Data'!$B:$B,FC$5)&gt;0,1,0)</f>
        <v>1</v>
      </c>
      <c r="FD13" s="6">
        <f>IF(SUMIFS('Locations Data'!$C:$C,'Locations Data'!$G:$G,$B13,'Locations Data'!$B:$B,FD$5)&gt;0,1,0)</f>
        <v>0</v>
      </c>
      <c r="FE13" s="6">
        <f>IF(SUMIFS('Locations Data'!$C:$C,'Locations Data'!$G:$G,$B13,'Locations Data'!$B:$B,FE$5)&gt;0,1,0)</f>
        <v>1</v>
      </c>
      <c r="FF13" s="6">
        <f>IF(SUMIFS('Locations Data'!$C:$C,'Locations Data'!$G:$G,$B13,'Locations Data'!$B:$B,FF$5)&gt;0,1,0)</f>
        <v>1</v>
      </c>
      <c r="FG13" s="6">
        <f>IF(SUMIFS('Locations Data'!$C:$C,'Locations Data'!$G:$G,$B13,'Locations Data'!$B:$B,FG$5)&gt;0,1,0)</f>
        <v>1</v>
      </c>
      <c r="FH13" s="6">
        <f>IF(SUMIFS('Locations Data'!$C:$C,'Locations Data'!$G:$G,$B13,'Locations Data'!$B:$B,FH$5)&gt;0,1,0)</f>
        <v>1</v>
      </c>
      <c r="FI13" s="6">
        <f>IF(SUMIFS('Locations Data'!$C:$C,'Locations Data'!$G:$G,$B13,'Locations Data'!$B:$B,FI$5)&gt;0,1,0)</f>
        <v>1</v>
      </c>
      <c r="FJ13" s="6">
        <f>IF(SUMIFS('Locations Data'!$C:$C,'Locations Data'!$G:$G,$B13,'Locations Data'!$B:$B,FJ$5)&gt;0,1,0)</f>
        <v>1</v>
      </c>
      <c r="FK13" s="6">
        <f>IF(SUMIFS('Locations Data'!$C:$C,'Locations Data'!$G:$G,$B13,'Locations Data'!$B:$B,FK$5)&gt;0,1,0)</f>
        <v>0</v>
      </c>
      <c r="FL13" s="6">
        <f>IF(SUMIFS('Locations Data'!$C:$C,'Locations Data'!$G:$G,$B13,'Locations Data'!$B:$B,FL$5)&gt;0,1,0)</f>
        <v>1</v>
      </c>
      <c r="FM13" s="6">
        <f>IF(SUMIFS('Locations Data'!$C:$C,'Locations Data'!$G:$G,$B13,'Locations Data'!$B:$B,FM$5)&gt;0,1,0)</f>
        <v>1</v>
      </c>
      <c r="FN13" s="6">
        <f>IF(SUMIFS('Locations Data'!$C:$C,'Locations Data'!$G:$G,$B13,'Locations Data'!$B:$B,FN$5)&gt;0,1,0)</f>
        <v>1</v>
      </c>
      <c r="FO13" s="6">
        <f>IF(SUMIFS('Locations Data'!$C:$C,'Locations Data'!$G:$G,$B13,'Locations Data'!$B:$B,FO$5)&gt;0,1,0)</f>
        <v>1</v>
      </c>
      <c r="FP13" s="6">
        <f>IF(SUMIFS('Locations Data'!$C:$C,'Locations Data'!$G:$G,$B13,'Locations Data'!$B:$B,FP$5)&gt;0,1,0)</f>
        <v>1</v>
      </c>
      <c r="FQ13" s="6">
        <f>IF(SUMIFS('Locations Data'!$C:$C,'Locations Data'!$G:$G,$B13,'Locations Data'!$B:$B,FQ$5)&gt;0,1,0)</f>
        <v>1</v>
      </c>
      <c r="FR13" s="6">
        <f>IF(SUMIFS('Locations Data'!$C:$C,'Locations Data'!$G:$G,$B13,'Locations Data'!$B:$B,FR$5)&gt;0,1,0)</f>
        <v>0</v>
      </c>
      <c r="FS13" s="6">
        <f>IF(SUMIFS('Locations Data'!$C:$C,'Locations Data'!$G:$G,$B13,'Locations Data'!$B:$B,FS$5)&gt;0,1,0)</f>
        <v>1</v>
      </c>
      <c r="FT13" s="6">
        <f>IF(SUMIFS('Locations Data'!$C:$C,'Locations Data'!$G:$G,$B13,'Locations Data'!$B:$B,FT$5)&gt;0,1,0)</f>
        <v>1</v>
      </c>
      <c r="FU13" s="6">
        <f>IF(SUMIFS('Locations Data'!$C:$C,'Locations Data'!$G:$G,$B13,'Locations Data'!$B:$B,FU$5)&gt;0,1,0)</f>
        <v>1</v>
      </c>
      <c r="FV13" s="6">
        <f>IF(SUMIFS('Locations Data'!$C:$C,'Locations Data'!$G:$G,$B13,'Locations Data'!$B:$B,FV$5)&gt;0,1,0)</f>
        <v>1</v>
      </c>
      <c r="FW13" s="6">
        <f>IF(SUMIFS('Locations Data'!$C:$C,'Locations Data'!$G:$G,$B13,'Locations Data'!$B:$B,FW$5)&gt;0,1,0)</f>
        <v>1</v>
      </c>
      <c r="FX13" s="6">
        <f>IF(SUMIFS('Locations Data'!$C:$C,'Locations Data'!$G:$G,$B13,'Locations Data'!$B:$B,FX$5)&gt;0,1,0)</f>
        <v>1</v>
      </c>
      <c r="FY13" s="6">
        <f>IF(SUMIFS('Locations Data'!$C:$C,'Locations Data'!$G:$G,$B13,'Locations Data'!$B:$B,FY$5)&gt;0,1,0)</f>
        <v>0</v>
      </c>
      <c r="FZ13" s="6">
        <f>IF(SUMIFS('Locations Data'!$C:$C,'Locations Data'!$G:$G,$B13,'Locations Data'!$B:$B,FZ$5)&gt;0,1,0)</f>
        <v>1</v>
      </c>
      <c r="GA13" s="6">
        <f>IF(SUMIFS('Locations Data'!$C:$C,'Locations Data'!$G:$G,$B13,'Locations Data'!$B:$B,GA$5)&gt;0,1,0)</f>
        <v>1</v>
      </c>
      <c r="GB13" s="6">
        <f>IF(SUMIFS('Locations Data'!$C:$C,'Locations Data'!$G:$G,$B13,'Locations Data'!$B:$B,GB$5)&gt;0,1,0)</f>
        <v>1</v>
      </c>
      <c r="GC13" s="6">
        <f>IF(SUMIFS('Locations Data'!$C:$C,'Locations Data'!$G:$G,$B13,'Locations Data'!$B:$B,GC$5)&gt;0,1,0)</f>
        <v>1</v>
      </c>
      <c r="GD13" s="6">
        <f>IF(SUMIFS('Locations Data'!$C:$C,'Locations Data'!$G:$G,$B13,'Locations Data'!$B:$B,GD$5)&gt;0,1,0)</f>
        <v>1</v>
      </c>
      <c r="GE13" s="6">
        <f>IF(SUMIFS('Locations Data'!$C:$C,'Locations Data'!$G:$G,$B13,'Locations Data'!$B:$B,GE$5)&gt;0,1,0)</f>
        <v>1</v>
      </c>
      <c r="GF13" s="6">
        <f>IF(SUMIFS('Locations Data'!$C:$C,'Locations Data'!$G:$G,$B13,'Locations Data'!$B:$B,GF$5)&gt;0,1,0)</f>
        <v>0</v>
      </c>
      <c r="GG13" s="6">
        <f>IF(SUMIFS('Locations Data'!$C:$C,'Locations Data'!$G:$G,$B13,'Locations Data'!$B:$B,GG$5)&gt;0,1,0)</f>
        <v>1</v>
      </c>
      <c r="GH13" s="6">
        <f>IF(SUMIFS('Locations Data'!$C:$C,'Locations Data'!$G:$G,$B13,'Locations Data'!$B:$B,GH$5)&gt;0,1,0)</f>
        <v>1</v>
      </c>
      <c r="GI13" s="6">
        <f>IF(SUMIFS('Locations Data'!$C:$C,'Locations Data'!$G:$G,$B13,'Locations Data'!$B:$B,GI$5)&gt;0,1,0)</f>
        <v>1</v>
      </c>
      <c r="GJ13" s="6">
        <f>IF(SUMIFS('Locations Data'!$C:$C,'Locations Data'!$G:$G,$B13,'Locations Data'!$B:$B,GJ$5)&gt;0,1,0)</f>
        <v>1</v>
      </c>
      <c r="GK13" s="6">
        <f>IF(SUMIFS('Locations Data'!$C:$C,'Locations Data'!$G:$G,$B13,'Locations Data'!$B:$B,GK$5)&gt;0,1,0)</f>
        <v>1</v>
      </c>
      <c r="GL13" s="6">
        <f>IF(SUMIFS('Locations Data'!$C:$C,'Locations Data'!$G:$G,$B13,'Locations Data'!$B:$B,GL$5)&gt;0,1,0)</f>
        <v>1</v>
      </c>
      <c r="GM13" s="6">
        <f>IF(SUMIFS('Locations Data'!$C:$C,'Locations Data'!$G:$G,$B13,'Locations Data'!$B:$B,GM$5)&gt;0,1,0)</f>
        <v>0</v>
      </c>
      <c r="GN13" s="6">
        <f>IF(SUMIFS('Locations Data'!$C:$C,'Locations Data'!$G:$G,$B13,'Locations Data'!$B:$B,GN$5)&gt;0,1,0)</f>
        <v>1</v>
      </c>
      <c r="GO13" s="6">
        <f>IF(SUMIFS('Locations Data'!$C:$C,'Locations Data'!$G:$G,$B13,'Locations Data'!$B:$B,GO$5)&gt;0,1,0)</f>
        <v>1</v>
      </c>
      <c r="GP13" s="6">
        <f>IF(SUMIFS('Locations Data'!$C:$C,'Locations Data'!$G:$G,$B13,'Locations Data'!$B:$B,GP$5)&gt;0,1,0)</f>
        <v>1</v>
      </c>
      <c r="GQ13" s="6">
        <f>IF(SUMIFS('Locations Data'!$C:$C,'Locations Data'!$G:$G,$B13,'Locations Data'!$B:$B,GQ$5)&gt;0,1,0)</f>
        <v>1</v>
      </c>
      <c r="GR13" s="6">
        <f>IF(SUMIFS('Locations Data'!$C:$C,'Locations Data'!$G:$G,$B13,'Locations Data'!$B:$B,GR$5)&gt;0,1,0)</f>
        <v>1</v>
      </c>
      <c r="GS13" s="6">
        <f>IF(SUMIFS('Locations Data'!$C:$C,'Locations Data'!$G:$G,$B13,'Locations Data'!$B:$B,GS$5)&gt;0,1,0)</f>
        <v>1</v>
      </c>
      <c r="GT13" s="6">
        <f>IF(SUMIFS('Locations Data'!$C:$C,'Locations Data'!$G:$G,$B13,'Locations Data'!$B:$B,GT$5)&gt;0,1,0)</f>
        <v>0</v>
      </c>
      <c r="GU13" s="6">
        <f>IF(SUMIFS('Locations Data'!$C:$C,'Locations Data'!$G:$G,$B13,'Locations Data'!$B:$B,GU$5)&gt;0,1,0)</f>
        <v>1</v>
      </c>
      <c r="GV13" s="6">
        <f>IF(SUMIFS('Locations Data'!$C:$C,'Locations Data'!$G:$G,$B13,'Locations Data'!$B:$B,GV$5)&gt;0,1,0)</f>
        <v>1</v>
      </c>
      <c r="GW13" s="6">
        <f>IF(SUMIFS('Locations Data'!$C:$C,'Locations Data'!$G:$G,$B13,'Locations Data'!$B:$B,GW$5)&gt;0,1,0)</f>
        <v>1</v>
      </c>
      <c r="GX13" s="6">
        <f>IF(SUMIFS('Locations Data'!$C:$C,'Locations Data'!$G:$G,$B13,'Locations Data'!$B:$B,GX$5)&gt;0,1,0)</f>
        <v>1</v>
      </c>
      <c r="GY13" s="6">
        <f>IF(SUMIFS('Locations Data'!$C:$C,'Locations Data'!$G:$G,$B13,'Locations Data'!$B:$B,GY$5)&gt;0,1,0)</f>
        <v>1</v>
      </c>
      <c r="GZ13" s="6">
        <f>IF(SUMIFS('Locations Data'!$C:$C,'Locations Data'!$G:$G,$B13,'Locations Data'!$B:$B,GZ$5)&gt;0,1,0)</f>
        <v>1</v>
      </c>
      <c r="HA13" s="6">
        <f>IF(SUMIFS('Locations Data'!$C:$C,'Locations Data'!$G:$G,$B13,'Locations Data'!$B:$B,HA$5)&gt;0,1,0)</f>
        <v>0</v>
      </c>
      <c r="HB13" s="6">
        <f>IF(SUMIFS('Locations Data'!$C:$C,'Locations Data'!$G:$G,$B13,'Locations Data'!$B:$B,HB$5)&gt;0,1,0)</f>
        <v>1</v>
      </c>
      <c r="HC13" s="6">
        <f>IF(SUMIFS('Locations Data'!$C:$C,'Locations Data'!$G:$G,$B13,'Locations Data'!$B:$B,HC$5)&gt;0,1,0)</f>
        <v>1</v>
      </c>
      <c r="HD13" s="6">
        <f>IF(SUMIFS('Locations Data'!$C:$C,'Locations Data'!$G:$G,$B13,'Locations Data'!$B:$B,HD$5)&gt;0,1,0)</f>
        <v>1</v>
      </c>
      <c r="HE13" s="6">
        <f>IF(SUMIFS('Locations Data'!$C:$C,'Locations Data'!$G:$G,$B13,'Locations Data'!$B:$B,HE$5)&gt;0,1,0)</f>
        <v>1</v>
      </c>
      <c r="HF13" s="6">
        <f>IF(SUMIFS('Locations Data'!$C:$C,'Locations Data'!$G:$G,$B13,'Locations Data'!$B:$B,HF$5)&gt;0,1,0)</f>
        <v>1</v>
      </c>
      <c r="HG13" s="6">
        <f>IF(SUMIFS('Locations Data'!$C:$C,'Locations Data'!$G:$G,$B13,'Locations Data'!$B:$B,HG$5)&gt;0,1,0)</f>
        <v>1</v>
      </c>
      <c r="HH13" s="6">
        <f>IF(SUMIFS('Locations Data'!$C:$C,'Locations Data'!$G:$G,$B13,'Locations Data'!$B:$B,HH$5)&gt;0,1,0)</f>
        <v>0</v>
      </c>
      <c r="HI13" s="6">
        <f>IF(SUMIFS('Locations Data'!$C:$C,'Locations Data'!$G:$G,$B13,'Locations Data'!$B:$B,HI$5)&gt;0,1,0)</f>
        <v>1</v>
      </c>
      <c r="HJ13" s="6">
        <f>IF(SUMIFS('Locations Data'!$C:$C,'Locations Data'!$G:$G,$B13,'Locations Data'!$B:$B,HJ$5)&gt;0,1,0)</f>
        <v>1</v>
      </c>
      <c r="HK13" s="6">
        <f>IF(SUMIFS('Locations Data'!$C:$C,'Locations Data'!$G:$G,$B13,'Locations Data'!$B:$B,HK$5)&gt;0,1,0)</f>
        <v>1</v>
      </c>
      <c r="HL13" s="6">
        <f>IF(SUMIFS('Locations Data'!$C:$C,'Locations Data'!$G:$G,$B13,'Locations Data'!$B:$B,HL$5)&gt;0,1,0)</f>
        <v>1</v>
      </c>
      <c r="HM13" s="6">
        <f>IF(SUMIFS('Locations Data'!$C:$C,'Locations Data'!$G:$G,$B13,'Locations Data'!$B:$B,HM$5)&gt;0,1,0)</f>
        <v>1</v>
      </c>
      <c r="HN13" s="6">
        <f>IF(SUMIFS('Locations Data'!$C:$C,'Locations Data'!$G:$G,$B13,'Locations Data'!$B:$B,HN$5)&gt;0,1,0)</f>
        <v>1</v>
      </c>
      <c r="HO13" s="6">
        <f>IF(SUMIFS('Locations Data'!$C:$C,'Locations Data'!$G:$G,$B13,'Locations Data'!$B:$B,HO$5)&gt;0,1,0)</f>
        <v>0</v>
      </c>
      <c r="HP13" s="6">
        <f>IF(SUMIFS('Locations Data'!$C:$C,'Locations Data'!$G:$G,$B13,'Locations Data'!$B:$B,HP$5)&gt;0,1,0)</f>
        <v>1</v>
      </c>
      <c r="HQ13" s="6">
        <f>IF(SUMIFS('Locations Data'!$C:$C,'Locations Data'!$G:$G,$B13,'Locations Data'!$B:$B,HQ$5)&gt;0,1,0)</f>
        <v>1</v>
      </c>
      <c r="HR13" s="6">
        <f>IF(SUMIFS('Locations Data'!$C:$C,'Locations Data'!$G:$G,$B13,'Locations Data'!$B:$B,HR$5)&gt;0,1,0)</f>
        <v>1</v>
      </c>
      <c r="HS13" s="6">
        <f>IF(SUMIFS('Locations Data'!$C:$C,'Locations Data'!$G:$G,$B13,'Locations Data'!$B:$B,HS$5)&gt;0,1,0)</f>
        <v>1</v>
      </c>
      <c r="HT13" s="6">
        <f>IF(SUMIFS('Locations Data'!$C:$C,'Locations Data'!$G:$G,$B13,'Locations Data'!$B:$B,HT$5)&gt;0,1,0)</f>
        <v>1</v>
      </c>
      <c r="HU13" s="6">
        <f>IF(SUMIFS('Locations Data'!$C:$C,'Locations Data'!$G:$G,$B13,'Locations Data'!$B:$B,HU$5)&gt;0,1,0)</f>
        <v>1</v>
      </c>
      <c r="HV13" s="6">
        <f>IF(SUMIFS('Locations Data'!$C:$C,'Locations Data'!$G:$G,$B13,'Locations Data'!$B:$B,HV$5)&gt;0,1,0)</f>
        <v>0</v>
      </c>
      <c r="HW13" s="6">
        <f>IF(SUMIFS('Locations Data'!$C:$C,'Locations Data'!$G:$G,$B13,'Locations Data'!$B:$B,HW$5)&gt;0,1,0)</f>
        <v>1</v>
      </c>
      <c r="HX13" s="6">
        <f>IF(SUMIFS('Locations Data'!$C:$C,'Locations Data'!$G:$G,$B13,'Locations Data'!$B:$B,HX$5)&gt;0,1,0)</f>
        <v>1</v>
      </c>
      <c r="HY13" s="6">
        <f>IF(SUMIFS('Locations Data'!$C:$C,'Locations Data'!$G:$G,$B13,'Locations Data'!$B:$B,HY$5)&gt;0,1,0)</f>
        <v>1</v>
      </c>
      <c r="HZ13" s="6">
        <f>IF(SUMIFS('Locations Data'!$C:$C,'Locations Data'!$G:$G,$B13,'Locations Data'!$B:$B,HZ$5)&gt;0,1,0)</f>
        <v>1</v>
      </c>
      <c r="IA13" s="6">
        <f>IF(SUMIFS('Locations Data'!$C:$C,'Locations Data'!$G:$G,$B13,'Locations Data'!$B:$B,IA$5)&gt;0,1,0)</f>
        <v>1</v>
      </c>
      <c r="IB13" s="6">
        <f>IF(SUMIFS('Locations Data'!$C:$C,'Locations Data'!$G:$G,$B13,'Locations Data'!$B:$B,IB$5)&gt;0,1,0)</f>
        <v>1</v>
      </c>
      <c r="IC13" s="6">
        <f>IF(SUMIFS('Locations Data'!$C:$C,'Locations Data'!$G:$G,$B13,'Locations Data'!$B:$B,IC$5)&gt;0,1,0)</f>
        <v>0</v>
      </c>
      <c r="ID13" s="6">
        <f>IF(SUMIFS('Locations Data'!$C:$C,'Locations Data'!$G:$G,$B13,'Locations Data'!$B:$B,ID$5)&gt;0,1,0)</f>
        <v>1</v>
      </c>
      <c r="IE13" s="6">
        <f>IF(SUMIFS('Locations Data'!$C:$C,'Locations Data'!$G:$G,$B13,'Locations Data'!$B:$B,IE$5)&gt;0,1,0)</f>
        <v>1</v>
      </c>
      <c r="IF13" s="6">
        <f>IF(SUMIFS('Locations Data'!$C:$C,'Locations Data'!$G:$G,$B13,'Locations Data'!$B:$B,IF$5)&gt;0,1,0)</f>
        <v>1</v>
      </c>
      <c r="IG13" s="6">
        <f>IF(SUMIFS('Locations Data'!$C:$C,'Locations Data'!$G:$G,$B13,'Locations Data'!$B:$B,IG$5)&gt;0,1,0)</f>
        <v>1</v>
      </c>
      <c r="IH13" s="6">
        <f>IF(SUMIFS('Locations Data'!$C:$C,'Locations Data'!$G:$G,$B13,'Locations Data'!$B:$B,IH$5)&gt;0,1,0)</f>
        <v>1</v>
      </c>
      <c r="II13" s="6">
        <f>IF(SUMIFS('Locations Data'!$C:$C,'Locations Data'!$G:$G,$B13,'Locations Data'!$B:$B,II$5)&gt;0,1,0)</f>
        <v>1</v>
      </c>
      <c r="IJ13" s="6">
        <f>IF(SUMIFS('Locations Data'!$C:$C,'Locations Data'!$G:$G,$B13,'Locations Data'!$B:$B,IJ$5)&gt;0,1,0)</f>
        <v>0</v>
      </c>
      <c r="IK13" s="6">
        <f>IF(SUMIFS('Locations Data'!$C:$C,'Locations Data'!$G:$G,$B13,'Locations Data'!$B:$B,IK$5)&gt;0,1,0)</f>
        <v>1</v>
      </c>
      <c r="IL13" s="6">
        <f>IF(SUMIFS('Locations Data'!$C:$C,'Locations Data'!$G:$G,$B13,'Locations Data'!$B:$B,IL$5)&gt;0,1,0)</f>
        <v>1</v>
      </c>
      <c r="IM13" s="6">
        <f>IF(SUMIFS('Locations Data'!$C:$C,'Locations Data'!$G:$G,$B13,'Locations Data'!$B:$B,IM$5)&gt;0,1,0)</f>
        <v>1</v>
      </c>
      <c r="IN13" s="6">
        <f>IF(SUMIFS('Locations Data'!$C:$C,'Locations Data'!$G:$G,$B13,'Locations Data'!$B:$B,IN$5)&gt;0,1,0)</f>
        <v>1</v>
      </c>
      <c r="IO13" s="6">
        <f>IF(SUMIFS('Locations Data'!$C:$C,'Locations Data'!$G:$G,$B13,'Locations Data'!$B:$B,IO$5)&gt;0,1,0)</f>
        <v>1</v>
      </c>
      <c r="IP13" s="6">
        <f>IF(SUMIFS('Locations Data'!$C:$C,'Locations Data'!$G:$G,$B13,'Locations Data'!$B:$B,IP$5)&gt;0,1,0)</f>
        <v>1</v>
      </c>
      <c r="IQ13" s="6">
        <f>IF(SUMIFS('Locations Data'!$C:$C,'Locations Data'!$G:$G,$B13,'Locations Data'!$B:$B,IQ$5)&gt;0,1,0)</f>
        <v>0</v>
      </c>
      <c r="IR13" s="6">
        <f>IF(SUMIFS('Locations Data'!$C:$C,'Locations Data'!$G:$G,$B13,'Locations Data'!$B:$B,IR$5)&gt;0,1,0)</f>
        <v>1</v>
      </c>
      <c r="IS13" s="6">
        <f>IF(SUMIFS('Locations Data'!$C:$C,'Locations Data'!$G:$G,$B13,'Locations Data'!$B:$B,IS$5)&gt;0,1,0)</f>
        <v>1</v>
      </c>
      <c r="IT13" s="6">
        <f>IF(SUMIFS('Locations Data'!$C:$C,'Locations Data'!$G:$G,$B13,'Locations Data'!$B:$B,IT$5)&gt;0,1,0)</f>
        <v>1</v>
      </c>
      <c r="IU13" s="6">
        <f>IF(SUMIFS('Locations Data'!$C:$C,'Locations Data'!$G:$G,$B13,'Locations Data'!$B:$B,IU$5)&gt;0,1,0)</f>
        <v>1</v>
      </c>
      <c r="IV13" s="6">
        <f>IF(SUMIFS('Locations Data'!$C:$C,'Locations Data'!$G:$G,$B13,'Locations Data'!$B:$B,IV$5)&gt;0,1,0)</f>
        <v>1</v>
      </c>
      <c r="IW13" s="6">
        <f>IF(SUMIFS('Locations Data'!$C:$C,'Locations Data'!$G:$G,$B13,'Locations Data'!$B:$B,IW$5)&gt;0,1,0)</f>
        <v>1</v>
      </c>
      <c r="IX13" s="6">
        <f>IF(SUMIFS('Locations Data'!$C:$C,'Locations Data'!$G:$G,$B13,'Locations Data'!$B:$B,IX$5)&gt;0,1,0)</f>
        <v>0</v>
      </c>
      <c r="IY13" s="6">
        <f>IF(SUMIFS('Locations Data'!$C:$C,'Locations Data'!$G:$G,$B13,'Locations Data'!$B:$B,IY$5)&gt;0,1,0)</f>
        <v>1</v>
      </c>
      <c r="IZ13" s="6">
        <f>IF(SUMIFS('Locations Data'!$C:$C,'Locations Data'!$G:$G,$B13,'Locations Data'!$B:$B,IZ$5)&gt;0,1,0)</f>
        <v>1</v>
      </c>
      <c r="JA13" s="6">
        <f>IF(SUMIFS('Locations Data'!$C:$C,'Locations Data'!$G:$G,$B13,'Locations Data'!$B:$B,JA$5)&gt;0,1,0)</f>
        <v>1</v>
      </c>
      <c r="JB13" s="6">
        <f>IF(SUMIFS('Locations Data'!$C:$C,'Locations Data'!$G:$G,$B13,'Locations Data'!$B:$B,JB$5)&gt;0,1,0)</f>
        <v>1</v>
      </c>
      <c r="JC13" s="6">
        <f>IF(SUMIFS('Locations Data'!$C:$C,'Locations Data'!$G:$G,$B13,'Locations Data'!$B:$B,JC$5)&gt;0,1,0)</f>
        <v>1</v>
      </c>
      <c r="JD13" s="6">
        <f>IF(SUMIFS('Locations Data'!$C:$C,'Locations Data'!$G:$G,$B13,'Locations Data'!$B:$B,JD$5)&gt;0,1,0)</f>
        <v>1</v>
      </c>
      <c r="JE13" s="6">
        <f>IF(SUMIFS('Locations Data'!$C:$C,'Locations Data'!$G:$G,$B13,'Locations Data'!$B:$B,JE$5)&gt;0,1,0)</f>
        <v>0</v>
      </c>
      <c r="JF13" s="6">
        <f>IF(SUMIFS('Locations Data'!$C:$C,'Locations Data'!$G:$G,$B13,'Locations Data'!$B:$B,JF$5)&gt;0,1,0)</f>
        <v>1</v>
      </c>
      <c r="JG13" s="6">
        <f>IF(SUMIFS('Locations Data'!$C:$C,'Locations Data'!$G:$G,$B13,'Locations Data'!$B:$B,JG$5)&gt;0,1,0)</f>
        <v>1</v>
      </c>
      <c r="JH13" s="6">
        <f>IF(SUMIFS('Locations Data'!$C:$C,'Locations Data'!$G:$G,$B13,'Locations Data'!$B:$B,JH$5)&gt;0,1,0)</f>
        <v>1</v>
      </c>
      <c r="JI13" s="6">
        <f>IF(SUMIFS('Locations Data'!$C:$C,'Locations Data'!$G:$G,$B13,'Locations Data'!$B:$B,JI$5)&gt;0,1,0)</f>
        <v>1</v>
      </c>
      <c r="JJ13" s="6">
        <f>IF(SUMIFS('Locations Data'!$C:$C,'Locations Data'!$G:$G,$B13,'Locations Data'!$B:$B,JJ$5)&gt;0,1,0)</f>
        <v>1</v>
      </c>
      <c r="JK13" s="6">
        <f>IF(SUMIFS('Locations Data'!$C:$C,'Locations Data'!$G:$G,$B13,'Locations Data'!$B:$B,JK$5)&gt;0,1,0)</f>
        <v>1</v>
      </c>
      <c r="JL13" s="6">
        <f>IF(SUMIFS('Locations Data'!$C:$C,'Locations Data'!$G:$G,$B13,'Locations Data'!$B:$B,JL$5)&gt;0,1,0)</f>
        <v>0</v>
      </c>
      <c r="JM13" s="6">
        <f>IF(SUMIFS('Locations Data'!$C:$C,'Locations Data'!$G:$G,$B13,'Locations Data'!$B:$B,JM$5)&gt;0,1,0)</f>
        <v>1</v>
      </c>
      <c r="JN13" s="6">
        <f>IF(SUMIFS('Locations Data'!$C:$C,'Locations Data'!$G:$G,$B13,'Locations Data'!$B:$B,JN$5)&gt;0,1,0)</f>
        <v>1</v>
      </c>
      <c r="JO13" s="6">
        <f>IF(SUMIFS('Locations Data'!$C:$C,'Locations Data'!$G:$G,$B13,'Locations Data'!$B:$B,JO$5)&gt;0,1,0)</f>
        <v>1</v>
      </c>
      <c r="JP13" s="6">
        <f>IF(SUMIFS('Locations Data'!$C:$C,'Locations Data'!$G:$G,$B13,'Locations Data'!$B:$B,JP$5)&gt;0,1,0)</f>
        <v>1</v>
      </c>
      <c r="JQ13" s="6">
        <f>IF(SUMIFS('Locations Data'!$C:$C,'Locations Data'!$G:$G,$B13,'Locations Data'!$B:$B,JQ$5)&gt;0,1,0)</f>
        <v>1</v>
      </c>
      <c r="JR13" s="6">
        <f>IF(SUMIFS('Locations Data'!$C:$C,'Locations Data'!$G:$G,$B13,'Locations Data'!$B:$B,JR$5)&gt;0,1,0)</f>
        <v>1</v>
      </c>
      <c r="JS13" s="6">
        <f>IF(SUMIFS('Locations Data'!$C:$C,'Locations Data'!$G:$G,$B13,'Locations Data'!$B:$B,JS$5)&gt;0,1,0)</f>
        <v>0</v>
      </c>
      <c r="JT13" s="6">
        <f>IF(SUMIFS('Locations Data'!$C:$C,'Locations Data'!$G:$G,$B13,'Locations Data'!$B:$B,JT$5)&gt;0,1,0)</f>
        <v>1</v>
      </c>
      <c r="JU13" s="6">
        <f>IF(SUMIFS('Locations Data'!$C:$C,'Locations Data'!$G:$G,$B13,'Locations Data'!$B:$B,JU$5)&gt;0,1,0)</f>
        <v>1</v>
      </c>
      <c r="JV13" s="6">
        <f>IF(SUMIFS('Locations Data'!$C:$C,'Locations Data'!$G:$G,$B13,'Locations Data'!$B:$B,JV$5)&gt;0,1,0)</f>
        <v>1</v>
      </c>
      <c r="JW13" s="6">
        <f>IF(SUMIFS('Locations Data'!$C:$C,'Locations Data'!$G:$G,$B13,'Locations Data'!$B:$B,JW$5)&gt;0,1,0)</f>
        <v>1</v>
      </c>
      <c r="JX13" s="6">
        <f>IF(SUMIFS('Locations Data'!$C:$C,'Locations Data'!$G:$G,$B13,'Locations Data'!$B:$B,JX$5)&gt;0,1,0)</f>
        <v>1</v>
      </c>
      <c r="JY13" s="6">
        <f>IF(SUMIFS('Locations Data'!$C:$C,'Locations Data'!$G:$G,$B13,'Locations Data'!$B:$B,JY$5)&gt;0,1,0)</f>
        <v>1</v>
      </c>
      <c r="JZ13" s="6">
        <f>IF(SUMIFS('Locations Data'!$C:$C,'Locations Data'!$G:$G,$B13,'Locations Data'!$B:$B,JZ$5)&gt;0,1,0)</f>
        <v>0</v>
      </c>
      <c r="KA13" s="6">
        <f>IF(SUMIFS('Locations Data'!$C:$C,'Locations Data'!$G:$G,$B13,'Locations Data'!$B:$B,KA$5)&gt;0,1,0)</f>
        <v>1</v>
      </c>
      <c r="KB13" s="6">
        <f>IF(SUMIFS('Locations Data'!$C:$C,'Locations Data'!$G:$G,$B13,'Locations Data'!$B:$B,KB$5)&gt;0,1,0)</f>
        <v>1</v>
      </c>
      <c r="KC13" s="6">
        <f>IF(SUMIFS('Locations Data'!$C:$C,'Locations Data'!$G:$G,$B13,'Locations Data'!$B:$B,KC$5)&gt;0,1,0)</f>
        <v>1</v>
      </c>
      <c r="KD13" s="6">
        <f>IF(SUMIFS('Locations Data'!$C:$C,'Locations Data'!$G:$G,$B13,'Locations Data'!$B:$B,KD$5)&gt;0,1,0)</f>
        <v>1</v>
      </c>
      <c r="KE13" s="6">
        <f>IF(SUMIFS('Locations Data'!$C:$C,'Locations Data'!$G:$G,$B13,'Locations Data'!$B:$B,KE$5)&gt;0,1,0)</f>
        <v>1</v>
      </c>
      <c r="KF13" s="6">
        <f>IF(SUMIFS('Locations Data'!$C:$C,'Locations Data'!$G:$G,$B13,'Locations Data'!$B:$B,KF$5)&gt;0,1,0)</f>
        <v>1</v>
      </c>
      <c r="KG13" s="6">
        <f>IF(SUMIFS('Locations Data'!$C:$C,'Locations Data'!$G:$G,$B13,'Locations Data'!$B:$B,KG$5)&gt;0,1,0)</f>
        <v>0</v>
      </c>
      <c r="KH13" s="6">
        <f>IF(SUMIFS('Locations Data'!$C:$C,'Locations Data'!$G:$G,$B13,'Locations Data'!$B:$B,KH$5)&gt;0,1,0)</f>
        <v>1</v>
      </c>
      <c r="KI13" s="6">
        <f>IF(SUMIFS('Locations Data'!$C:$C,'Locations Data'!$G:$G,$B13,'Locations Data'!$B:$B,KI$5)&gt;0,1,0)</f>
        <v>1</v>
      </c>
      <c r="KJ13" s="6">
        <f>IF(SUMIFS('Locations Data'!$C:$C,'Locations Data'!$G:$G,$B13,'Locations Data'!$B:$B,KJ$5)&gt;0,1,0)</f>
        <v>1</v>
      </c>
      <c r="KK13" s="6">
        <f>IF(SUMIFS('Locations Data'!$C:$C,'Locations Data'!$G:$G,$B13,'Locations Data'!$B:$B,KK$5)&gt;0,1,0)</f>
        <v>1</v>
      </c>
      <c r="KL13" s="6">
        <f>IF(SUMIFS('Locations Data'!$C:$C,'Locations Data'!$G:$G,$B13,'Locations Data'!$B:$B,KL$5)&gt;0,1,0)</f>
        <v>1</v>
      </c>
      <c r="KM13" s="6">
        <f>IF(SUMIFS('Locations Data'!$C:$C,'Locations Data'!$G:$G,$B13,'Locations Data'!$B:$B,KM$5)&gt;0,1,0)</f>
        <v>1</v>
      </c>
      <c r="KN13" s="6">
        <f>IF(SUMIFS('Locations Data'!$C:$C,'Locations Data'!$G:$G,$B13,'Locations Data'!$B:$B,KN$5)&gt;0,1,0)</f>
        <v>0</v>
      </c>
      <c r="KO13" s="6">
        <f>IF(SUMIFS('Locations Data'!$C:$C,'Locations Data'!$G:$G,$B13,'Locations Data'!$B:$B,KO$5)&gt;0,1,0)</f>
        <v>1</v>
      </c>
      <c r="KP13" s="6">
        <f>IF(SUMIFS('Locations Data'!$C:$C,'Locations Data'!$G:$G,$B13,'Locations Data'!$B:$B,KP$5)&gt;0,1,0)</f>
        <v>1</v>
      </c>
      <c r="KQ13" s="6">
        <f>IF(SUMIFS('Locations Data'!$C:$C,'Locations Data'!$G:$G,$B13,'Locations Data'!$B:$B,KQ$5)&gt;0,1,0)</f>
        <v>1</v>
      </c>
      <c r="KR13" s="6">
        <f>IF(SUMIFS('Locations Data'!$C:$C,'Locations Data'!$G:$G,$B13,'Locations Data'!$B:$B,KR$5)&gt;0,1,0)</f>
        <v>1</v>
      </c>
      <c r="KS13" s="6">
        <f>IF(SUMIFS('Locations Data'!$C:$C,'Locations Data'!$G:$G,$B13,'Locations Data'!$B:$B,KS$5)&gt;0,1,0)</f>
        <v>1</v>
      </c>
      <c r="KT13" s="6">
        <f>IF(SUMIFS('Locations Data'!$C:$C,'Locations Data'!$G:$G,$B13,'Locations Data'!$B:$B,KT$5)&gt;0,1,0)</f>
        <v>1</v>
      </c>
      <c r="KU13" s="6">
        <f>IF(SUMIFS('Locations Data'!$C:$C,'Locations Data'!$G:$G,$B13,'Locations Data'!$B:$B,KU$5)&gt;0,1,0)</f>
        <v>0</v>
      </c>
      <c r="KV13" s="6">
        <f>IF(SUMIFS('Locations Data'!$C:$C,'Locations Data'!$G:$G,$B13,'Locations Data'!$B:$B,KV$5)&gt;0,1,0)</f>
        <v>1</v>
      </c>
      <c r="KW13" s="6">
        <f>IF(SUMIFS('Locations Data'!$C:$C,'Locations Data'!$G:$G,$B13,'Locations Data'!$B:$B,KW$5)&gt;0,1,0)</f>
        <v>1</v>
      </c>
      <c r="KX13" s="6">
        <f>IF(SUMIFS('Locations Data'!$C:$C,'Locations Data'!$G:$G,$B13,'Locations Data'!$B:$B,KX$5)&gt;0,1,0)</f>
        <v>1</v>
      </c>
      <c r="KY13" s="6">
        <f>IF(SUMIFS('Locations Data'!$C:$C,'Locations Data'!$G:$G,$B13,'Locations Data'!$B:$B,KY$5)&gt;0,1,0)</f>
        <v>1</v>
      </c>
      <c r="KZ13" s="6">
        <f>IF(SUMIFS('Locations Data'!$C:$C,'Locations Data'!$G:$G,$B13,'Locations Data'!$B:$B,KZ$5)&gt;0,1,0)</f>
        <v>1</v>
      </c>
      <c r="LA13" s="6">
        <f>IF(SUMIFS('Locations Data'!$C:$C,'Locations Data'!$G:$G,$B13,'Locations Data'!$B:$B,LA$5)&gt;0,1,0)</f>
        <v>1</v>
      </c>
      <c r="LB13" s="6">
        <f>IF(SUMIFS('Locations Data'!$C:$C,'Locations Data'!$G:$G,$B13,'Locations Data'!$B:$B,LB$5)&gt;0,1,0)</f>
        <v>0</v>
      </c>
      <c r="LC13" s="6">
        <f>IF(SUMIFS('Locations Data'!$C:$C,'Locations Data'!$G:$G,$B13,'Locations Data'!$B:$B,LC$5)&gt;0,1,0)</f>
        <v>1</v>
      </c>
      <c r="LD13" s="6">
        <f>IF(SUMIFS('Locations Data'!$C:$C,'Locations Data'!$G:$G,$B13,'Locations Data'!$B:$B,LD$5)&gt;0,1,0)</f>
        <v>1</v>
      </c>
      <c r="LE13" s="6">
        <f>IF(SUMIFS('Locations Data'!$C:$C,'Locations Data'!$G:$G,$B13,'Locations Data'!$B:$B,LE$5)&gt;0,1,0)</f>
        <v>1</v>
      </c>
      <c r="LF13" s="6">
        <f>IF(SUMIFS('Locations Data'!$C:$C,'Locations Data'!$G:$G,$B13,'Locations Data'!$B:$B,LF$5)&gt;0,1,0)</f>
        <v>1</v>
      </c>
      <c r="LG13" s="6">
        <f>IF(SUMIFS('Locations Data'!$C:$C,'Locations Data'!$G:$G,$B13,'Locations Data'!$B:$B,LG$5)&gt;0,1,0)</f>
        <v>1</v>
      </c>
      <c r="LH13" s="6">
        <f>IF(SUMIFS('Locations Data'!$C:$C,'Locations Data'!$G:$G,$B13,'Locations Data'!$B:$B,LH$5)&gt;0,1,0)</f>
        <v>1</v>
      </c>
      <c r="LI13" s="6">
        <f>IF(SUMIFS('Locations Data'!$C:$C,'Locations Data'!$G:$G,$B13,'Locations Data'!$B:$B,LI$5)&gt;0,1,0)</f>
        <v>0</v>
      </c>
      <c r="LJ13" s="6">
        <f>IF(SUMIFS('Locations Data'!$C:$C,'Locations Data'!$G:$G,$B13,'Locations Data'!$B:$B,LJ$5)&gt;0,1,0)</f>
        <v>1</v>
      </c>
      <c r="LK13" s="6">
        <f>IF(SUMIFS('Locations Data'!$C:$C,'Locations Data'!$G:$G,$B13,'Locations Data'!$B:$B,LK$5)&gt;0,1,0)</f>
        <v>1</v>
      </c>
      <c r="LL13" s="6">
        <f>IF(SUMIFS('Locations Data'!$C:$C,'Locations Data'!$G:$G,$B13,'Locations Data'!$B:$B,LL$5)&gt;0,1,0)</f>
        <v>1</v>
      </c>
      <c r="LM13" s="6">
        <f>IF(SUMIFS('Locations Data'!$C:$C,'Locations Data'!$G:$G,$B13,'Locations Data'!$B:$B,LM$5)&gt;0,1,0)</f>
        <v>1</v>
      </c>
      <c r="LN13" s="6">
        <f>IF(SUMIFS('Locations Data'!$C:$C,'Locations Data'!$G:$G,$B13,'Locations Data'!$B:$B,LN$5)&gt;0,1,0)</f>
        <v>1</v>
      </c>
      <c r="LO13" s="6">
        <f>IF(SUMIFS('Locations Data'!$C:$C,'Locations Data'!$G:$G,$B13,'Locations Data'!$B:$B,LO$5)&gt;0,1,0)</f>
        <v>1</v>
      </c>
      <c r="LP13" s="6">
        <f>IF(SUMIFS('Locations Data'!$C:$C,'Locations Data'!$G:$G,$B13,'Locations Data'!$B:$B,LP$5)&gt;0,1,0)</f>
        <v>0</v>
      </c>
      <c r="LQ13" s="6">
        <f>IF(SUMIFS('Locations Data'!$C:$C,'Locations Data'!$G:$G,$B13,'Locations Data'!$B:$B,LQ$5)&gt;0,1,0)</f>
        <v>1</v>
      </c>
      <c r="LR13" s="6">
        <f>IF(SUMIFS('Locations Data'!$C:$C,'Locations Data'!$G:$G,$B13,'Locations Data'!$B:$B,LR$5)&gt;0,1,0)</f>
        <v>1</v>
      </c>
      <c r="LS13" s="6">
        <f>IF(SUMIFS('Locations Data'!$C:$C,'Locations Data'!$G:$G,$B13,'Locations Data'!$B:$B,LS$5)&gt;0,1,0)</f>
        <v>1</v>
      </c>
      <c r="LT13" s="6">
        <f>IF(SUMIFS('Locations Data'!$C:$C,'Locations Data'!$G:$G,$B13,'Locations Data'!$B:$B,LT$5)&gt;0,1,0)</f>
        <v>1</v>
      </c>
      <c r="LU13" s="6">
        <f>IF(SUMIFS('Locations Data'!$C:$C,'Locations Data'!$G:$G,$B13,'Locations Data'!$B:$B,LU$5)&gt;0,1,0)</f>
        <v>1</v>
      </c>
      <c r="LV13" s="6">
        <f>IF(SUMIFS('Locations Data'!$C:$C,'Locations Data'!$G:$G,$B13,'Locations Data'!$B:$B,LV$5)&gt;0,1,0)</f>
        <v>1</v>
      </c>
      <c r="LW13" s="6">
        <f>IF(SUMIFS('Locations Data'!$C:$C,'Locations Data'!$G:$G,$B13,'Locations Data'!$B:$B,LW$5)&gt;0,1,0)</f>
        <v>0</v>
      </c>
      <c r="LX13" s="6">
        <f>IF(SUMIFS('Locations Data'!$C:$C,'Locations Data'!$G:$G,$B13,'Locations Data'!$B:$B,LX$5)&gt;0,1,0)</f>
        <v>1</v>
      </c>
      <c r="LY13" s="6">
        <f>IF(SUMIFS('Locations Data'!$C:$C,'Locations Data'!$G:$G,$B13,'Locations Data'!$B:$B,LY$5)&gt;0,1,0)</f>
        <v>1</v>
      </c>
      <c r="LZ13" s="6">
        <f>IF(SUMIFS('Locations Data'!$C:$C,'Locations Data'!$G:$G,$B13,'Locations Data'!$B:$B,LZ$5)&gt;0,1,0)</f>
        <v>1</v>
      </c>
      <c r="MA13" s="6">
        <f>IF(SUMIFS('Locations Data'!$C:$C,'Locations Data'!$G:$G,$B13,'Locations Data'!$B:$B,MA$5)&gt;0,1,0)</f>
        <v>1</v>
      </c>
      <c r="MB13" s="6">
        <f>IF(SUMIFS('Locations Data'!$C:$C,'Locations Data'!$G:$G,$B13,'Locations Data'!$B:$B,MB$5)&gt;0,1,0)</f>
        <v>1</v>
      </c>
      <c r="MC13" s="6">
        <f>IF(SUMIFS('Locations Data'!$C:$C,'Locations Data'!$G:$G,$B13,'Locations Data'!$B:$B,MC$5)&gt;0,1,0)</f>
        <v>1</v>
      </c>
      <c r="MD13" s="6">
        <f>IF(SUMIFS('Locations Data'!$C:$C,'Locations Data'!$G:$G,$B13,'Locations Data'!$B:$B,MD$5)&gt;0,1,0)</f>
        <v>0</v>
      </c>
      <c r="ME13" s="6">
        <f>IF(SUMIFS('Locations Data'!$C:$C,'Locations Data'!$G:$G,$B13,'Locations Data'!$B:$B,ME$5)&gt;0,1,0)</f>
        <v>1</v>
      </c>
      <c r="MF13" s="6">
        <f>IF(SUMIFS('Locations Data'!$C:$C,'Locations Data'!$G:$G,$B13,'Locations Data'!$B:$B,MF$5)&gt;0,1,0)</f>
        <v>1</v>
      </c>
      <c r="MG13" s="6">
        <f>IF(SUMIFS('Locations Data'!$C:$C,'Locations Data'!$G:$G,$B13,'Locations Data'!$B:$B,MG$5)&gt;0,1,0)</f>
        <v>1</v>
      </c>
      <c r="MH13" s="6">
        <f>IF(SUMIFS('Locations Data'!$C:$C,'Locations Data'!$G:$G,$B13,'Locations Data'!$B:$B,MH$5)&gt;0,1,0)</f>
        <v>1</v>
      </c>
      <c r="MI13" s="6">
        <f>IF(SUMIFS('Locations Data'!$C:$C,'Locations Data'!$G:$G,$B13,'Locations Data'!$B:$B,MI$5)&gt;0,1,0)</f>
        <v>1</v>
      </c>
      <c r="MJ13" s="6">
        <f>IF(SUMIFS('Locations Data'!$C:$C,'Locations Data'!$G:$G,$B13,'Locations Data'!$B:$B,MJ$5)&gt;0,1,0)</f>
        <v>1</v>
      </c>
      <c r="MK13" s="6">
        <f>IF(SUMIFS('Locations Data'!$C:$C,'Locations Data'!$G:$G,$B13,'Locations Data'!$B:$B,MK$5)&gt;0,1,0)</f>
        <v>0</v>
      </c>
      <c r="ML13" s="6">
        <f>IF(SUMIFS('Locations Data'!$C:$C,'Locations Data'!$G:$G,$B13,'Locations Data'!$B:$B,ML$5)&gt;0,1,0)</f>
        <v>1</v>
      </c>
      <c r="MM13" s="6">
        <f>IF(SUMIFS('Locations Data'!$C:$C,'Locations Data'!$G:$G,$B13,'Locations Data'!$B:$B,MM$5)&gt;0,1,0)</f>
        <v>1</v>
      </c>
      <c r="MN13" s="6">
        <f>IF(SUMIFS('Locations Data'!$C:$C,'Locations Data'!$G:$G,$B13,'Locations Data'!$B:$B,MN$5)&gt;0,1,0)</f>
        <v>1</v>
      </c>
      <c r="MO13" s="6">
        <f>IF(SUMIFS('Locations Data'!$C:$C,'Locations Data'!$G:$G,$B13,'Locations Data'!$B:$B,MO$5)&gt;0,1,0)</f>
        <v>1</v>
      </c>
      <c r="MP13" s="6">
        <f>IF(SUMIFS('Locations Data'!$C:$C,'Locations Data'!$G:$G,$B13,'Locations Data'!$B:$B,MP$5)&gt;0,1,0)</f>
        <v>1</v>
      </c>
      <c r="MQ13" s="6">
        <f>IF(SUMIFS('Locations Data'!$C:$C,'Locations Data'!$G:$G,$B13,'Locations Data'!$B:$B,MQ$5)&gt;0,1,0)</f>
        <v>1</v>
      </c>
      <c r="MR13" s="6">
        <f>IF(SUMIFS('Locations Data'!$C:$C,'Locations Data'!$G:$G,$B13,'Locations Data'!$B:$B,MR$5)&gt;0,1,0)</f>
        <v>0</v>
      </c>
      <c r="MS13" s="6">
        <f>IF(SUMIFS('Locations Data'!$C:$C,'Locations Data'!$G:$G,$B13,'Locations Data'!$B:$B,MS$5)&gt;0,1,0)</f>
        <v>1</v>
      </c>
      <c r="MT13" s="6">
        <f>IF(SUMIFS('Locations Data'!$C:$C,'Locations Data'!$G:$G,$B13,'Locations Data'!$B:$B,MT$5)&gt;0,1,0)</f>
        <v>1</v>
      </c>
      <c r="MU13" s="6">
        <f>IF(SUMIFS('Locations Data'!$C:$C,'Locations Data'!$G:$G,$B13,'Locations Data'!$B:$B,MU$5)&gt;0,1,0)</f>
        <v>1</v>
      </c>
      <c r="MV13" s="6">
        <f>IF(SUMIFS('Locations Data'!$C:$C,'Locations Data'!$G:$G,$B13,'Locations Data'!$B:$B,MV$5)&gt;0,1,0)</f>
        <v>1</v>
      </c>
      <c r="MW13" s="26">
        <v>0</v>
      </c>
      <c r="MX13" s="6">
        <f>IF(SUMIFS('Locations Data'!$C:$C,'Locations Data'!$G:$G,$B13,'Locations Data'!$B:$B,MX$5)&gt;0,1,0)</f>
        <v>1</v>
      </c>
      <c r="MY13" s="6">
        <f>IF(SUMIFS('Locations Data'!$C:$C,'Locations Data'!$G:$G,$B13,'Locations Data'!$B:$B,MY$5)&gt;0,1,0)</f>
        <v>0</v>
      </c>
      <c r="MZ13" s="6">
        <f>IF(SUMIFS('Locations Data'!$C:$C,'Locations Data'!$G:$G,$B13,'Locations Data'!$B:$B,MZ$5)&gt;0,1,0)</f>
        <v>1</v>
      </c>
      <c r="NA13" s="6">
        <f>IF(SUMIFS('Locations Data'!$C:$C,'Locations Data'!$G:$G,$B13,'Locations Data'!$B:$B,NA$5)&gt;0,1,0)</f>
        <v>1</v>
      </c>
      <c r="NB13" s="6">
        <f>IF(SUMIFS('Locations Data'!$C:$C,'Locations Data'!$G:$G,$B13,'Locations Data'!$B:$B,NB$5)&gt;0,1,0)</f>
        <v>1</v>
      </c>
      <c r="NC13" s="6">
        <f>IF(SUMIFS('Locations Data'!$C:$C,'Locations Data'!$G:$G,$B13,'Locations Data'!$B:$B,NC$5)&gt;0,1,0)</f>
        <v>1</v>
      </c>
    </row>
    <row r="14" spans="2:367">
      <c r="B14" s="20" t="s">
        <v>308</v>
      </c>
      <c r="C14" s="6">
        <v>0</v>
      </c>
      <c r="D14" s="6">
        <f>IF(SUMIFS('Locations Data'!$C:$C,'Locations Data'!$G:$G,$B14,'Locations Data'!$B:$B,D$5)&gt;0,1,0)</f>
        <v>1</v>
      </c>
      <c r="E14" s="6">
        <f>IF(SUMIFS('Locations Data'!$C:$C,'Locations Data'!$G:$G,$B14,'Locations Data'!$B:$B,E$5)&gt;0,1,0)</f>
        <v>1</v>
      </c>
      <c r="F14" s="6">
        <f>IF(SUMIFS('Locations Data'!$C:$C,'Locations Data'!$G:$G,$B14,'Locations Data'!$B:$B,F$5)&gt;0,1,0)</f>
        <v>0</v>
      </c>
      <c r="G14" s="6">
        <f>IF(SUMIFS('Locations Data'!$C:$C,'Locations Data'!$G:$G,$B14,'Locations Data'!$B:$B,G$5)&gt;0,1,0)</f>
        <v>0</v>
      </c>
      <c r="H14" s="6">
        <f>IF(SUMIFS('Locations Data'!$C:$C,'Locations Data'!$G:$G,$B14,'Locations Data'!$B:$B,H$5)&gt;0,1,0)</f>
        <v>1</v>
      </c>
      <c r="I14" s="6">
        <f>IF(SUMIFS('Locations Data'!$C:$C,'Locations Data'!$G:$G,$B14,'Locations Data'!$B:$B,I$5)&gt;0,1,0)</f>
        <v>1</v>
      </c>
      <c r="J14" s="6">
        <f>IF(SUMIFS('Locations Data'!$C:$C,'Locations Data'!$G:$G,$B14,'Locations Data'!$B:$B,J$5)&gt;0,1,0)</f>
        <v>1</v>
      </c>
      <c r="K14" s="6">
        <f>IF(SUMIFS('Locations Data'!$C:$C,'Locations Data'!$G:$G,$B14,'Locations Data'!$B:$B,K$5)&gt;0,1,0)</f>
        <v>1</v>
      </c>
      <c r="L14" s="6">
        <f>IF(SUMIFS('Locations Data'!$C:$C,'Locations Data'!$G:$G,$B14,'Locations Data'!$B:$B,L$5)&gt;0,1,0)</f>
        <v>1</v>
      </c>
      <c r="M14" s="6">
        <f>IF(SUMIFS('Locations Data'!$C:$C,'Locations Data'!$G:$G,$B14,'Locations Data'!$B:$B,M$5)&gt;0,1,0)</f>
        <v>0</v>
      </c>
      <c r="N14" s="6">
        <f>IF(SUMIFS('Locations Data'!$C:$C,'Locations Data'!$G:$G,$B14,'Locations Data'!$B:$B,N$5)&gt;0,1,0)</f>
        <v>0</v>
      </c>
      <c r="O14" s="6">
        <f>IF(SUMIFS('Locations Data'!$C:$C,'Locations Data'!$G:$G,$B14,'Locations Data'!$B:$B,O$5)&gt;0,1,0)</f>
        <v>1</v>
      </c>
      <c r="P14" s="6">
        <f>IF(SUMIFS('Locations Data'!$C:$C,'Locations Data'!$G:$G,$B14,'Locations Data'!$B:$B,P$5)&gt;0,1,0)</f>
        <v>1</v>
      </c>
      <c r="Q14" s="6">
        <f>IF(SUMIFS('Locations Data'!$C:$C,'Locations Data'!$G:$G,$B14,'Locations Data'!$B:$B,Q$5)&gt;0,1,0)</f>
        <v>1</v>
      </c>
      <c r="R14" s="6">
        <f>IF(SUMIFS('Locations Data'!$C:$C,'Locations Data'!$G:$G,$B14,'Locations Data'!$B:$B,R$5)&gt;0,1,0)</f>
        <v>1</v>
      </c>
      <c r="S14" s="6">
        <f>IF(SUMIFS('Locations Data'!$C:$C,'Locations Data'!$G:$G,$B14,'Locations Data'!$B:$B,S$5)&gt;0,1,0)</f>
        <v>1</v>
      </c>
      <c r="T14" s="6">
        <f>IF(SUMIFS('Locations Data'!$C:$C,'Locations Data'!$G:$G,$B14,'Locations Data'!$B:$B,T$5)&gt;0,1,0)</f>
        <v>0</v>
      </c>
      <c r="U14" s="6">
        <f>IF(SUMIFS('Locations Data'!$C:$C,'Locations Data'!$G:$G,$B14,'Locations Data'!$B:$B,U$5)&gt;0,1,0)</f>
        <v>0</v>
      </c>
      <c r="V14" s="6">
        <f>IF(SUMIFS('Locations Data'!$C:$C,'Locations Data'!$G:$G,$B14,'Locations Data'!$B:$B,V$5)&gt;0,1,0)</f>
        <v>1</v>
      </c>
      <c r="W14" s="6">
        <f>IF(SUMIFS('Locations Data'!$C:$C,'Locations Data'!$G:$G,$B14,'Locations Data'!$B:$B,W$5)&gt;0,1,0)</f>
        <v>1</v>
      </c>
      <c r="X14" s="6">
        <f>IF(SUMIFS('Locations Data'!$C:$C,'Locations Data'!$G:$G,$B14,'Locations Data'!$B:$B,X$5)&gt;0,1,0)</f>
        <v>1</v>
      </c>
      <c r="Y14" s="6">
        <f>IF(SUMIFS('Locations Data'!$C:$C,'Locations Data'!$G:$G,$B14,'Locations Data'!$B:$B,Y$5)&gt;0,1,0)</f>
        <v>1</v>
      </c>
      <c r="Z14" s="6">
        <f>IF(SUMIFS('Locations Data'!$C:$C,'Locations Data'!$G:$G,$B14,'Locations Data'!$B:$B,Z$5)&gt;0,1,0)</f>
        <v>1</v>
      </c>
      <c r="AA14" s="6">
        <f>IF(SUMIFS('Locations Data'!$C:$C,'Locations Data'!$G:$G,$B14,'Locations Data'!$B:$B,AA$5)&gt;0,1,0)</f>
        <v>0</v>
      </c>
      <c r="AB14" s="6">
        <f>IF(SUMIFS('Locations Data'!$C:$C,'Locations Data'!$G:$G,$B14,'Locations Data'!$B:$B,AB$5)&gt;0,1,0)</f>
        <v>0</v>
      </c>
      <c r="AC14" s="6">
        <f>IF(SUMIFS('Locations Data'!$C:$C,'Locations Data'!$G:$G,$B14,'Locations Data'!$B:$B,AC$5)&gt;0,1,0)</f>
        <v>1</v>
      </c>
      <c r="AD14" s="6">
        <f>IF(SUMIFS('Locations Data'!$C:$C,'Locations Data'!$G:$G,$B14,'Locations Data'!$B:$B,AD$5)&gt;0,1,0)</f>
        <v>1</v>
      </c>
      <c r="AE14" s="6">
        <f>IF(SUMIFS('Locations Data'!$C:$C,'Locations Data'!$G:$G,$B14,'Locations Data'!$B:$B,AE$5)&gt;0,1,0)</f>
        <v>1</v>
      </c>
      <c r="AF14" s="6">
        <f>IF(SUMIFS('Locations Data'!$C:$C,'Locations Data'!$G:$G,$B14,'Locations Data'!$B:$B,AF$5)&gt;0,1,0)</f>
        <v>1</v>
      </c>
      <c r="AG14" s="6">
        <f>IF(SUMIFS('Locations Data'!$C:$C,'Locations Data'!$G:$G,$B14,'Locations Data'!$B:$B,AG$5)&gt;0,1,0)</f>
        <v>1</v>
      </c>
      <c r="AH14" s="6">
        <f>IF(SUMIFS('Locations Data'!$C:$C,'Locations Data'!$G:$G,$B14,'Locations Data'!$B:$B,AH$5)&gt;0,1,0)</f>
        <v>0</v>
      </c>
      <c r="AI14" s="6">
        <f>IF(SUMIFS('Locations Data'!$C:$C,'Locations Data'!$G:$G,$B14,'Locations Data'!$B:$B,AI$5)&gt;0,1,0)</f>
        <v>0</v>
      </c>
      <c r="AJ14" s="6">
        <f>IF(SUMIFS('Locations Data'!$C:$C,'Locations Data'!$G:$G,$B14,'Locations Data'!$B:$B,AJ$5)&gt;0,1,0)</f>
        <v>1</v>
      </c>
      <c r="AK14" s="6">
        <f>IF(SUMIFS('Locations Data'!$C:$C,'Locations Data'!$G:$G,$B14,'Locations Data'!$B:$B,AK$5)&gt;0,1,0)</f>
        <v>1</v>
      </c>
      <c r="AL14" s="6">
        <f>IF(SUMIFS('Locations Data'!$C:$C,'Locations Data'!$G:$G,$B14,'Locations Data'!$B:$B,AL$5)&gt;0,1,0)</f>
        <v>1</v>
      </c>
      <c r="AM14" s="6">
        <f>IF(SUMIFS('Locations Data'!$C:$C,'Locations Data'!$G:$G,$B14,'Locations Data'!$B:$B,AM$5)&gt;0,1,0)</f>
        <v>1</v>
      </c>
      <c r="AN14" s="6">
        <f>IF(SUMIFS('Locations Data'!$C:$C,'Locations Data'!$G:$G,$B14,'Locations Data'!$B:$B,AN$5)&gt;0,1,0)</f>
        <v>1</v>
      </c>
      <c r="AO14" s="6">
        <f>IF(SUMIFS('Locations Data'!$C:$C,'Locations Data'!$G:$G,$B14,'Locations Data'!$B:$B,AO$5)&gt;0,1,0)</f>
        <v>0</v>
      </c>
      <c r="AP14" s="6">
        <f>IF(SUMIFS('Locations Data'!$C:$C,'Locations Data'!$G:$G,$B14,'Locations Data'!$B:$B,AP$5)&gt;0,1,0)</f>
        <v>0</v>
      </c>
      <c r="AQ14" s="6">
        <f>IF(SUMIFS('Locations Data'!$C:$C,'Locations Data'!$G:$G,$B14,'Locations Data'!$B:$B,AQ$5)&gt;0,1,0)</f>
        <v>1</v>
      </c>
      <c r="AR14" s="6">
        <f>IF(SUMIFS('Locations Data'!$C:$C,'Locations Data'!$G:$G,$B14,'Locations Data'!$B:$B,AR$5)&gt;0,1,0)</f>
        <v>1</v>
      </c>
      <c r="AS14" s="6">
        <f>IF(SUMIFS('Locations Data'!$C:$C,'Locations Data'!$G:$G,$B14,'Locations Data'!$B:$B,AS$5)&gt;0,1,0)</f>
        <v>1</v>
      </c>
      <c r="AT14" s="6">
        <f>IF(SUMIFS('Locations Data'!$C:$C,'Locations Data'!$G:$G,$B14,'Locations Data'!$B:$B,AT$5)&gt;0,1,0)</f>
        <v>1</v>
      </c>
      <c r="AU14" s="6">
        <f>IF(SUMIFS('Locations Data'!$C:$C,'Locations Data'!$G:$G,$B14,'Locations Data'!$B:$B,AU$5)&gt;0,1,0)</f>
        <v>1</v>
      </c>
      <c r="AV14" s="6">
        <f>IF(SUMIFS('Locations Data'!$C:$C,'Locations Data'!$G:$G,$B14,'Locations Data'!$B:$B,AV$5)&gt;0,1,0)</f>
        <v>0</v>
      </c>
      <c r="AW14" s="6">
        <f>IF(SUMIFS('Locations Data'!$C:$C,'Locations Data'!$G:$G,$B14,'Locations Data'!$B:$B,AW$5)&gt;0,1,0)</f>
        <v>0</v>
      </c>
      <c r="AX14" s="6">
        <f>IF(SUMIFS('Locations Data'!$C:$C,'Locations Data'!$G:$G,$B14,'Locations Data'!$B:$B,AX$5)&gt;0,1,0)</f>
        <v>1</v>
      </c>
      <c r="AY14" s="6">
        <f>IF(SUMIFS('Locations Data'!$C:$C,'Locations Data'!$G:$G,$B14,'Locations Data'!$B:$B,AY$5)&gt;0,1,0)</f>
        <v>1</v>
      </c>
      <c r="AZ14" s="6">
        <f>IF(SUMIFS('Locations Data'!$C:$C,'Locations Data'!$G:$G,$B14,'Locations Data'!$B:$B,AZ$5)&gt;0,1,0)</f>
        <v>1</v>
      </c>
      <c r="BA14" s="6">
        <f>IF(SUMIFS('Locations Data'!$C:$C,'Locations Data'!$G:$G,$B14,'Locations Data'!$B:$B,BA$5)&gt;0,1,0)</f>
        <v>1</v>
      </c>
      <c r="BB14" s="6">
        <f>IF(SUMIFS('Locations Data'!$C:$C,'Locations Data'!$G:$G,$B14,'Locations Data'!$B:$B,BB$5)&gt;0,1,0)</f>
        <v>1</v>
      </c>
      <c r="BC14" s="6">
        <f>IF(SUMIFS('Locations Data'!$C:$C,'Locations Data'!$G:$G,$B14,'Locations Data'!$B:$B,BC$5)&gt;0,1,0)</f>
        <v>0</v>
      </c>
      <c r="BD14" s="6">
        <f>IF(SUMIFS('Locations Data'!$C:$C,'Locations Data'!$G:$G,$B14,'Locations Data'!$B:$B,BD$5)&gt;0,1,0)</f>
        <v>0</v>
      </c>
      <c r="BE14" s="6">
        <f>IF(SUMIFS('Locations Data'!$C:$C,'Locations Data'!$G:$G,$B14,'Locations Data'!$B:$B,BE$5)&gt;0,1,0)</f>
        <v>1</v>
      </c>
      <c r="BF14" s="6">
        <f>IF(SUMIFS('Locations Data'!$C:$C,'Locations Data'!$G:$G,$B14,'Locations Data'!$B:$B,BF$5)&gt;0,1,0)</f>
        <v>1</v>
      </c>
      <c r="BG14" s="6">
        <f>IF(SUMIFS('Locations Data'!$C:$C,'Locations Data'!$G:$G,$B14,'Locations Data'!$B:$B,BG$5)&gt;0,1,0)</f>
        <v>1</v>
      </c>
      <c r="BH14" s="6">
        <f>IF(SUMIFS('Locations Data'!$C:$C,'Locations Data'!$G:$G,$B14,'Locations Data'!$B:$B,BH$5)&gt;0,1,0)</f>
        <v>1</v>
      </c>
      <c r="BI14" s="6">
        <f>IF(SUMIFS('Locations Data'!$C:$C,'Locations Data'!$G:$G,$B14,'Locations Data'!$B:$B,BI$5)&gt;0,1,0)</f>
        <v>1</v>
      </c>
      <c r="BJ14" s="6">
        <f>IF(SUMIFS('Locations Data'!$C:$C,'Locations Data'!$G:$G,$B14,'Locations Data'!$B:$B,BJ$5)&gt;0,1,0)</f>
        <v>0</v>
      </c>
      <c r="BK14" s="6">
        <f>IF(SUMIFS('Locations Data'!$C:$C,'Locations Data'!$G:$G,$B14,'Locations Data'!$B:$B,BK$5)&gt;0,1,0)</f>
        <v>0</v>
      </c>
      <c r="BL14" s="6">
        <f>IF(SUMIFS('Locations Data'!$C:$C,'Locations Data'!$G:$G,$B14,'Locations Data'!$B:$B,BL$5)&gt;0,1,0)</f>
        <v>1</v>
      </c>
      <c r="BM14" s="6">
        <f>IF(SUMIFS('Locations Data'!$C:$C,'Locations Data'!$G:$G,$B14,'Locations Data'!$B:$B,BM$5)&gt;0,1,0)</f>
        <v>1</v>
      </c>
      <c r="BN14" s="6">
        <f>IF(SUMIFS('Locations Data'!$C:$C,'Locations Data'!$G:$G,$B14,'Locations Data'!$B:$B,BN$5)&gt;0,1,0)</f>
        <v>1</v>
      </c>
      <c r="BO14" s="6">
        <f>IF(SUMIFS('Locations Data'!$C:$C,'Locations Data'!$G:$G,$B14,'Locations Data'!$B:$B,BO$5)&gt;0,1,0)</f>
        <v>1</v>
      </c>
      <c r="BP14" s="6">
        <f>IF(SUMIFS('Locations Data'!$C:$C,'Locations Data'!$G:$G,$B14,'Locations Data'!$B:$B,BP$5)&gt;0,1,0)</f>
        <v>1</v>
      </c>
      <c r="BQ14" s="6">
        <f>IF(SUMIFS('Locations Data'!$C:$C,'Locations Data'!$G:$G,$B14,'Locations Data'!$B:$B,BQ$5)&gt;0,1,0)</f>
        <v>0</v>
      </c>
      <c r="BR14" s="6">
        <f>IF(SUMIFS('Locations Data'!$C:$C,'Locations Data'!$G:$G,$B14,'Locations Data'!$B:$B,BR$5)&gt;0,1,0)</f>
        <v>0</v>
      </c>
      <c r="BS14" s="6">
        <f>IF(SUMIFS('Locations Data'!$C:$C,'Locations Data'!$G:$G,$B14,'Locations Data'!$B:$B,BS$5)&gt;0,1,0)</f>
        <v>1</v>
      </c>
      <c r="BT14" s="6">
        <f>IF(SUMIFS('Locations Data'!$C:$C,'Locations Data'!$G:$G,$B14,'Locations Data'!$B:$B,BT$5)&gt;0,1,0)</f>
        <v>1</v>
      </c>
      <c r="BU14" s="6">
        <f>IF(SUMIFS('Locations Data'!$C:$C,'Locations Data'!$G:$G,$B14,'Locations Data'!$B:$B,BU$5)&gt;0,1,0)</f>
        <v>1</v>
      </c>
      <c r="BV14" s="6">
        <f>IF(SUMIFS('Locations Data'!$C:$C,'Locations Data'!$G:$G,$B14,'Locations Data'!$B:$B,BV$5)&gt;0,1,0)</f>
        <v>1</v>
      </c>
      <c r="BW14" s="6">
        <f>IF(SUMIFS('Locations Data'!$C:$C,'Locations Data'!$G:$G,$B14,'Locations Data'!$B:$B,BW$5)&gt;0,1,0)</f>
        <v>1</v>
      </c>
      <c r="BX14" s="6">
        <f>IF(SUMIFS('Locations Data'!$C:$C,'Locations Data'!$G:$G,$B14,'Locations Data'!$B:$B,BX$5)&gt;0,1,0)</f>
        <v>0</v>
      </c>
      <c r="BY14" s="6">
        <f>IF(SUMIFS('Locations Data'!$C:$C,'Locations Data'!$G:$G,$B14,'Locations Data'!$B:$B,BY$5)&gt;0,1,0)</f>
        <v>0</v>
      </c>
      <c r="BZ14" s="6">
        <f>IF(SUMIFS('Locations Data'!$C:$C,'Locations Data'!$G:$G,$B14,'Locations Data'!$B:$B,BZ$5)&gt;0,1,0)</f>
        <v>1</v>
      </c>
      <c r="CA14" s="6">
        <f>IF(SUMIFS('Locations Data'!$C:$C,'Locations Data'!$G:$G,$B14,'Locations Data'!$B:$B,CA$5)&gt;0,1,0)</f>
        <v>1</v>
      </c>
      <c r="CB14" s="6">
        <f>IF(SUMIFS('Locations Data'!$C:$C,'Locations Data'!$G:$G,$B14,'Locations Data'!$B:$B,CB$5)&gt;0,1,0)</f>
        <v>1</v>
      </c>
      <c r="CC14" s="6">
        <f>IF(SUMIFS('Locations Data'!$C:$C,'Locations Data'!$G:$G,$B14,'Locations Data'!$B:$B,CC$5)&gt;0,1,0)</f>
        <v>1</v>
      </c>
      <c r="CD14" s="6">
        <f>IF(SUMIFS('Locations Data'!$C:$C,'Locations Data'!$G:$G,$B14,'Locations Data'!$B:$B,CD$5)&gt;0,1,0)</f>
        <v>1</v>
      </c>
      <c r="CE14" s="6">
        <f>IF(SUMIFS('Locations Data'!$C:$C,'Locations Data'!$G:$G,$B14,'Locations Data'!$B:$B,CE$5)&gt;0,1,0)</f>
        <v>0</v>
      </c>
      <c r="CF14" s="6">
        <f>IF(SUMIFS('Locations Data'!$C:$C,'Locations Data'!$G:$G,$B14,'Locations Data'!$B:$B,CF$5)&gt;0,1,0)</f>
        <v>0</v>
      </c>
      <c r="CG14" s="6">
        <f>IF(SUMIFS('Locations Data'!$C:$C,'Locations Data'!$G:$G,$B14,'Locations Data'!$B:$B,CG$5)&gt;0,1,0)</f>
        <v>1</v>
      </c>
      <c r="CH14" s="6">
        <f>IF(SUMIFS('Locations Data'!$C:$C,'Locations Data'!$G:$G,$B14,'Locations Data'!$B:$B,CH$5)&gt;0,1,0)</f>
        <v>1</v>
      </c>
      <c r="CI14" s="6">
        <f>IF(SUMIFS('Locations Data'!$C:$C,'Locations Data'!$G:$G,$B14,'Locations Data'!$B:$B,CI$5)&gt;0,1,0)</f>
        <v>1</v>
      </c>
      <c r="CJ14" s="6">
        <f>IF(SUMIFS('Locations Data'!$C:$C,'Locations Data'!$G:$G,$B14,'Locations Data'!$B:$B,CJ$5)&gt;0,1,0)</f>
        <v>1</v>
      </c>
      <c r="CK14" s="6">
        <f>IF(SUMIFS('Locations Data'!$C:$C,'Locations Data'!$G:$G,$B14,'Locations Data'!$B:$B,CK$5)&gt;0,1,0)</f>
        <v>1</v>
      </c>
      <c r="CL14" s="6">
        <f>IF(SUMIFS('Locations Data'!$C:$C,'Locations Data'!$G:$G,$B14,'Locations Data'!$B:$B,CL$5)&gt;0,1,0)</f>
        <v>0</v>
      </c>
      <c r="CM14" s="6">
        <f>IF(SUMIFS('Locations Data'!$C:$C,'Locations Data'!$G:$G,$B14,'Locations Data'!$B:$B,CM$5)&gt;0,1,0)</f>
        <v>0</v>
      </c>
      <c r="CN14" s="6">
        <f>IF(SUMIFS('Locations Data'!$C:$C,'Locations Data'!$G:$G,$B14,'Locations Data'!$B:$B,CN$5)&gt;0,1,0)</f>
        <v>1</v>
      </c>
      <c r="CO14" s="6">
        <f>IF(SUMIFS('Locations Data'!$C:$C,'Locations Data'!$G:$G,$B14,'Locations Data'!$B:$B,CO$5)&gt;0,1,0)</f>
        <v>1</v>
      </c>
      <c r="CP14" s="6">
        <f>IF(SUMIFS('Locations Data'!$C:$C,'Locations Data'!$G:$G,$B14,'Locations Data'!$B:$B,CP$5)&gt;0,1,0)</f>
        <v>1</v>
      </c>
      <c r="CQ14" s="6">
        <f>IF(SUMIFS('Locations Data'!$C:$C,'Locations Data'!$G:$G,$B14,'Locations Data'!$B:$B,CQ$5)&gt;0,1,0)</f>
        <v>1</v>
      </c>
      <c r="CR14" s="6">
        <f>IF(SUMIFS('Locations Data'!$C:$C,'Locations Data'!$G:$G,$B14,'Locations Data'!$B:$B,CR$5)&gt;0,1,0)</f>
        <v>1</v>
      </c>
      <c r="CS14" s="6">
        <f>IF(SUMIFS('Locations Data'!$C:$C,'Locations Data'!$G:$G,$B14,'Locations Data'!$B:$B,CS$5)&gt;0,1,0)</f>
        <v>0</v>
      </c>
      <c r="CT14" s="6">
        <f>IF(SUMIFS('Locations Data'!$C:$C,'Locations Data'!$G:$G,$B14,'Locations Data'!$B:$B,CT$5)&gt;0,1,0)</f>
        <v>0</v>
      </c>
      <c r="CU14" s="6">
        <f>IF(SUMIFS('Locations Data'!$C:$C,'Locations Data'!$G:$G,$B14,'Locations Data'!$B:$B,CU$5)&gt;0,1,0)</f>
        <v>1</v>
      </c>
      <c r="CV14" s="6">
        <f>IF(SUMIFS('Locations Data'!$C:$C,'Locations Data'!$G:$G,$B14,'Locations Data'!$B:$B,CV$5)&gt;0,1,0)</f>
        <v>1</v>
      </c>
      <c r="CW14" s="6">
        <f>IF(SUMIFS('Locations Data'!$C:$C,'Locations Data'!$G:$G,$B14,'Locations Data'!$B:$B,CW$5)&gt;0,1,0)</f>
        <v>1</v>
      </c>
      <c r="CX14" s="6">
        <f>IF(SUMIFS('Locations Data'!$C:$C,'Locations Data'!$G:$G,$B14,'Locations Data'!$B:$B,CX$5)&gt;0,1,0)</f>
        <v>1</v>
      </c>
      <c r="CY14" s="6">
        <f>IF(SUMIFS('Locations Data'!$C:$C,'Locations Data'!$G:$G,$B14,'Locations Data'!$B:$B,CY$5)&gt;0,1,0)</f>
        <v>1</v>
      </c>
      <c r="CZ14" s="6">
        <f>IF(SUMIFS('Locations Data'!$C:$C,'Locations Data'!$G:$G,$B14,'Locations Data'!$B:$B,CZ$5)&gt;0,1,0)</f>
        <v>0</v>
      </c>
      <c r="DA14" s="6">
        <f>IF(SUMIFS('Locations Data'!$C:$C,'Locations Data'!$G:$G,$B14,'Locations Data'!$B:$B,DA$5)&gt;0,1,0)</f>
        <v>0</v>
      </c>
      <c r="DB14" s="6">
        <f>IF(SUMIFS('Locations Data'!$C:$C,'Locations Data'!$G:$G,$B14,'Locations Data'!$B:$B,DB$5)&gt;0,1,0)</f>
        <v>1</v>
      </c>
      <c r="DC14" s="6">
        <f>IF(SUMIFS('Locations Data'!$C:$C,'Locations Data'!$G:$G,$B14,'Locations Data'!$B:$B,DC$5)&gt;0,1,0)</f>
        <v>1</v>
      </c>
      <c r="DD14" s="6">
        <f>IF(SUMIFS('Locations Data'!$C:$C,'Locations Data'!$G:$G,$B14,'Locations Data'!$B:$B,DD$5)&gt;0,1,0)</f>
        <v>1</v>
      </c>
      <c r="DE14" s="6">
        <f>IF(SUMIFS('Locations Data'!$C:$C,'Locations Data'!$G:$G,$B14,'Locations Data'!$B:$B,DE$5)&gt;0,1,0)</f>
        <v>1</v>
      </c>
      <c r="DF14" s="6">
        <f>IF(SUMIFS('Locations Data'!$C:$C,'Locations Data'!$G:$G,$B14,'Locations Data'!$B:$B,DF$5)&gt;0,1,0)</f>
        <v>1</v>
      </c>
      <c r="DG14" s="6">
        <f>IF(SUMIFS('Locations Data'!$C:$C,'Locations Data'!$G:$G,$B14,'Locations Data'!$B:$B,DG$5)&gt;0,1,0)</f>
        <v>0</v>
      </c>
      <c r="DH14" s="6">
        <f>IF(SUMIFS('Locations Data'!$C:$C,'Locations Data'!$G:$G,$B14,'Locations Data'!$B:$B,DH$5)&gt;0,1,0)</f>
        <v>0</v>
      </c>
      <c r="DI14" s="6">
        <f>IF(SUMIFS('Locations Data'!$C:$C,'Locations Data'!$G:$G,$B14,'Locations Data'!$B:$B,DI$5)&gt;0,1,0)</f>
        <v>1</v>
      </c>
      <c r="DJ14" s="6">
        <f>IF(SUMIFS('Locations Data'!$C:$C,'Locations Data'!$G:$G,$B14,'Locations Data'!$B:$B,DJ$5)&gt;0,1,0)</f>
        <v>1</v>
      </c>
      <c r="DK14" s="6">
        <f>IF(SUMIFS('Locations Data'!$C:$C,'Locations Data'!$G:$G,$B14,'Locations Data'!$B:$B,DK$5)&gt;0,1,0)</f>
        <v>1</v>
      </c>
      <c r="DL14" s="6">
        <f>IF(SUMIFS('Locations Data'!$C:$C,'Locations Data'!$G:$G,$B14,'Locations Data'!$B:$B,DL$5)&gt;0,1,0)</f>
        <v>1</v>
      </c>
      <c r="DM14" s="6">
        <f>IF(SUMIFS('Locations Data'!$C:$C,'Locations Data'!$G:$G,$B14,'Locations Data'!$B:$B,DM$5)&gt;0,1,0)</f>
        <v>1</v>
      </c>
      <c r="DN14" s="6">
        <f>IF(SUMIFS('Locations Data'!$C:$C,'Locations Data'!$G:$G,$B14,'Locations Data'!$B:$B,DN$5)&gt;0,1,0)</f>
        <v>0</v>
      </c>
      <c r="DO14" s="6">
        <f>IF(SUMIFS('Locations Data'!$C:$C,'Locations Data'!$G:$G,$B14,'Locations Data'!$B:$B,DO$5)&gt;0,1,0)</f>
        <v>0</v>
      </c>
      <c r="DP14" s="6">
        <f>IF(SUMIFS('Locations Data'!$C:$C,'Locations Data'!$G:$G,$B14,'Locations Data'!$B:$B,DP$5)&gt;0,1,0)</f>
        <v>1</v>
      </c>
      <c r="DQ14" s="6">
        <f>IF(SUMIFS('Locations Data'!$C:$C,'Locations Data'!$G:$G,$B14,'Locations Data'!$B:$B,DQ$5)&gt;0,1,0)</f>
        <v>1</v>
      </c>
      <c r="DR14" s="6">
        <f>IF(SUMIFS('Locations Data'!$C:$C,'Locations Data'!$G:$G,$B14,'Locations Data'!$B:$B,DR$5)&gt;0,1,0)</f>
        <v>1</v>
      </c>
      <c r="DS14" s="6">
        <f>IF(SUMIFS('Locations Data'!$C:$C,'Locations Data'!$G:$G,$B14,'Locations Data'!$B:$B,DS$5)&gt;0,1,0)</f>
        <v>1</v>
      </c>
      <c r="DT14" s="6">
        <f>IF(SUMIFS('Locations Data'!$C:$C,'Locations Data'!$G:$G,$B14,'Locations Data'!$B:$B,DT$5)&gt;0,1,0)</f>
        <v>1</v>
      </c>
      <c r="DU14" s="6">
        <f>IF(SUMIFS('Locations Data'!$C:$C,'Locations Data'!$G:$G,$B14,'Locations Data'!$B:$B,DU$5)&gt;0,1,0)</f>
        <v>0</v>
      </c>
      <c r="DV14" s="6">
        <f>IF(SUMIFS('Locations Data'!$C:$C,'Locations Data'!$G:$G,$B14,'Locations Data'!$B:$B,DV$5)&gt;0,1,0)</f>
        <v>0</v>
      </c>
      <c r="DW14" s="6">
        <f>IF(SUMIFS('Locations Data'!$C:$C,'Locations Data'!$G:$G,$B14,'Locations Data'!$B:$B,DW$5)&gt;0,1,0)</f>
        <v>1</v>
      </c>
      <c r="DX14" s="6">
        <f>IF(SUMIFS('Locations Data'!$C:$C,'Locations Data'!$G:$G,$B14,'Locations Data'!$B:$B,DX$5)&gt;0,1,0)</f>
        <v>1</v>
      </c>
      <c r="DY14" s="6">
        <f>IF(SUMIFS('Locations Data'!$C:$C,'Locations Data'!$G:$G,$B14,'Locations Data'!$B:$B,DY$5)&gt;0,1,0)</f>
        <v>1</v>
      </c>
      <c r="DZ14" s="6">
        <f>IF(SUMIFS('Locations Data'!$C:$C,'Locations Data'!$G:$G,$B14,'Locations Data'!$B:$B,DZ$5)&gt;0,1,0)</f>
        <v>1</v>
      </c>
      <c r="EA14" s="6">
        <f>IF(SUMIFS('Locations Data'!$C:$C,'Locations Data'!$G:$G,$B14,'Locations Data'!$B:$B,EA$5)&gt;0,1,0)</f>
        <v>1</v>
      </c>
      <c r="EB14" s="6">
        <f>IF(SUMIFS('Locations Data'!$C:$C,'Locations Data'!$G:$G,$B14,'Locations Data'!$B:$B,EB$5)&gt;0,1,0)</f>
        <v>0</v>
      </c>
      <c r="EC14" s="6">
        <f>IF(SUMIFS('Locations Data'!$C:$C,'Locations Data'!$G:$G,$B14,'Locations Data'!$B:$B,EC$5)&gt;0,1,0)</f>
        <v>0</v>
      </c>
      <c r="ED14" s="6">
        <f>IF(SUMIFS('Locations Data'!$C:$C,'Locations Data'!$G:$G,$B14,'Locations Data'!$B:$B,ED$5)&gt;0,1,0)</f>
        <v>1</v>
      </c>
      <c r="EE14" s="6">
        <f>IF(SUMIFS('Locations Data'!$C:$C,'Locations Data'!$G:$G,$B14,'Locations Data'!$B:$B,EE$5)&gt;0,1,0)</f>
        <v>1</v>
      </c>
      <c r="EF14" s="6">
        <f>IF(SUMIFS('Locations Data'!$C:$C,'Locations Data'!$G:$G,$B14,'Locations Data'!$B:$B,EF$5)&gt;0,1,0)</f>
        <v>1</v>
      </c>
      <c r="EG14" s="6">
        <f>IF(SUMIFS('Locations Data'!$C:$C,'Locations Data'!$G:$G,$B14,'Locations Data'!$B:$B,EG$5)&gt;0,1,0)</f>
        <v>1</v>
      </c>
      <c r="EH14" s="6">
        <f>IF(SUMIFS('Locations Data'!$C:$C,'Locations Data'!$G:$G,$B14,'Locations Data'!$B:$B,EH$5)&gt;0,1,0)</f>
        <v>1</v>
      </c>
      <c r="EI14" s="6">
        <f>IF(SUMIFS('Locations Data'!$C:$C,'Locations Data'!$G:$G,$B14,'Locations Data'!$B:$B,EI$5)&gt;0,1,0)</f>
        <v>0</v>
      </c>
      <c r="EJ14" s="6">
        <f>IF(SUMIFS('Locations Data'!$C:$C,'Locations Data'!$G:$G,$B14,'Locations Data'!$B:$B,EJ$5)&gt;0,1,0)</f>
        <v>0</v>
      </c>
      <c r="EK14" s="6">
        <f>IF(SUMIFS('Locations Data'!$C:$C,'Locations Data'!$G:$G,$B14,'Locations Data'!$B:$B,EK$5)&gt;0,1,0)</f>
        <v>1</v>
      </c>
      <c r="EL14" s="6">
        <f>IF(SUMIFS('Locations Data'!$C:$C,'Locations Data'!$G:$G,$B14,'Locations Data'!$B:$B,EL$5)&gt;0,1,0)</f>
        <v>1</v>
      </c>
      <c r="EM14" s="6">
        <f>IF(SUMIFS('Locations Data'!$C:$C,'Locations Data'!$G:$G,$B14,'Locations Data'!$B:$B,EM$5)&gt;0,1,0)</f>
        <v>1</v>
      </c>
      <c r="EN14" s="6">
        <f>IF(SUMIFS('Locations Data'!$C:$C,'Locations Data'!$G:$G,$B14,'Locations Data'!$B:$B,EN$5)&gt;0,1,0)</f>
        <v>1</v>
      </c>
      <c r="EO14" s="6">
        <f>IF(SUMIFS('Locations Data'!$C:$C,'Locations Data'!$G:$G,$B14,'Locations Data'!$B:$B,EO$5)&gt;0,1,0)</f>
        <v>1</v>
      </c>
      <c r="EP14" s="6">
        <f>IF(SUMIFS('Locations Data'!$C:$C,'Locations Data'!$G:$G,$B14,'Locations Data'!$B:$B,EP$5)&gt;0,1,0)</f>
        <v>0</v>
      </c>
      <c r="EQ14" s="6">
        <f>IF(SUMIFS('Locations Data'!$C:$C,'Locations Data'!$G:$G,$B14,'Locations Data'!$B:$B,EQ$5)&gt;0,1,0)</f>
        <v>0</v>
      </c>
      <c r="ER14" s="6">
        <f>IF(SUMIFS('Locations Data'!$C:$C,'Locations Data'!$G:$G,$B14,'Locations Data'!$B:$B,ER$5)&gt;0,1,0)</f>
        <v>1</v>
      </c>
      <c r="ES14" s="6">
        <f>IF(SUMIFS('Locations Data'!$C:$C,'Locations Data'!$G:$G,$B14,'Locations Data'!$B:$B,ES$5)&gt;0,1,0)</f>
        <v>1</v>
      </c>
      <c r="ET14" s="6">
        <f>IF(SUMIFS('Locations Data'!$C:$C,'Locations Data'!$G:$G,$B14,'Locations Data'!$B:$B,ET$5)&gt;0,1,0)</f>
        <v>1</v>
      </c>
      <c r="EU14" s="6">
        <f>IF(SUMIFS('Locations Data'!$C:$C,'Locations Data'!$G:$G,$B14,'Locations Data'!$B:$B,EU$5)&gt;0,1,0)</f>
        <v>1</v>
      </c>
      <c r="EV14" s="6">
        <f>IF(SUMIFS('Locations Data'!$C:$C,'Locations Data'!$G:$G,$B14,'Locations Data'!$B:$B,EV$5)&gt;0,1,0)</f>
        <v>1</v>
      </c>
      <c r="EW14" s="6">
        <f>IF(SUMIFS('Locations Data'!$C:$C,'Locations Data'!$G:$G,$B14,'Locations Data'!$B:$B,EW$5)&gt;0,1,0)</f>
        <v>0</v>
      </c>
      <c r="EX14" s="6">
        <f>IF(SUMIFS('Locations Data'!$C:$C,'Locations Data'!$G:$G,$B14,'Locations Data'!$B:$B,EX$5)&gt;0,1,0)</f>
        <v>0</v>
      </c>
      <c r="EY14" s="6">
        <f>IF(SUMIFS('Locations Data'!$C:$C,'Locations Data'!$G:$G,$B14,'Locations Data'!$B:$B,EY$5)&gt;0,1,0)</f>
        <v>1</v>
      </c>
      <c r="EZ14" s="6">
        <f>IF(SUMIFS('Locations Data'!$C:$C,'Locations Data'!$G:$G,$B14,'Locations Data'!$B:$B,EZ$5)&gt;0,1,0)</f>
        <v>1</v>
      </c>
      <c r="FA14" s="6">
        <f>IF(SUMIFS('Locations Data'!$C:$C,'Locations Data'!$G:$G,$B14,'Locations Data'!$B:$B,FA$5)&gt;0,1,0)</f>
        <v>1</v>
      </c>
      <c r="FB14" s="6">
        <f>IF(SUMIFS('Locations Data'!$C:$C,'Locations Data'!$G:$G,$B14,'Locations Data'!$B:$B,FB$5)&gt;0,1,0)</f>
        <v>1</v>
      </c>
      <c r="FC14" s="6">
        <f>IF(SUMIFS('Locations Data'!$C:$C,'Locations Data'!$G:$G,$B14,'Locations Data'!$B:$B,FC$5)&gt;0,1,0)</f>
        <v>1</v>
      </c>
      <c r="FD14" s="6">
        <f>IF(SUMIFS('Locations Data'!$C:$C,'Locations Data'!$G:$G,$B14,'Locations Data'!$B:$B,FD$5)&gt;0,1,0)</f>
        <v>0</v>
      </c>
      <c r="FE14" s="6">
        <f>IF(SUMIFS('Locations Data'!$C:$C,'Locations Data'!$G:$G,$B14,'Locations Data'!$B:$B,FE$5)&gt;0,1,0)</f>
        <v>0</v>
      </c>
      <c r="FF14" s="6">
        <f>IF(SUMIFS('Locations Data'!$C:$C,'Locations Data'!$G:$G,$B14,'Locations Data'!$B:$B,FF$5)&gt;0,1,0)</f>
        <v>1</v>
      </c>
      <c r="FG14" s="6">
        <f>IF(SUMIFS('Locations Data'!$C:$C,'Locations Data'!$G:$G,$B14,'Locations Data'!$B:$B,FG$5)&gt;0,1,0)</f>
        <v>1</v>
      </c>
      <c r="FH14" s="6">
        <f>IF(SUMIFS('Locations Data'!$C:$C,'Locations Data'!$G:$G,$B14,'Locations Data'!$B:$B,FH$5)&gt;0,1,0)</f>
        <v>1</v>
      </c>
      <c r="FI14" s="6">
        <f>IF(SUMIFS('Locations Data'!$C:$C,'Locations Data'!$G:$G,$B14,'Locations Data'!$B:$B,FI$5)&gt;0,1,0)</f>
        <v>1</v>
      </c>
      <c r="FJ14" s="6">
        <f>IF(SUMIFS('Locations Data'!$C:$C,'Locations Data'!$G:$G,$B14,'Locations Data'!$B:$B,FJ$5)&gt;0,1,0)</f>
        <v>1</v>
      </c>
      <c r="FK14" s="6">
        <f>IF(SUMIFS('Locations Data'!$C:$C,'Locations Data'!$G:$G,$B14,'Locations Data'!$B:$B,FK$5)&gt;0,1,0)</f>
        <v>0</v>
      </c>
      <c r="FL14" s="6">
        <f>IF(SUMIFS('Locations Data'!$C:$C,'Locations Data'!$G:$G,$B14,'Locations Data'!$B:$B,FL$5)&gt;0,1,0)</f>
        <v>0</v>
      </c>
      <c r="FM14" s="6">
        <f>IF(SUMIFS('Locations Data'!$C:$C,'Locations Data'!$G:$G,$B14,'Locations Data'!$B:$B,FM$5)&gt;0,1,0)</f>
        <v>1</v>
      </c>
      <c r="FN14" s="6">
        <f>IF(SUMIFS('Locations Data'!$C:$C,'Locations Data'!$G:$G,$B14,'Locations Data'!$B:$B,FN$5)&gt;0,1,0)</f>
        <v>1</v>
      </c>
      <c r="FO14" s="6">
        <f>IF(SUMIFS('Locations Data'!$C:$C,'Locations Data'!$G:$G,$B14,'Locations Data'!$B:$B,FO$5)&gt;0,1,0)</f>
        <v>1</v>
      </c>
      <c r="FP14" s="6">
        <f>IF(SUMIFS('Locations Data'!$C:$C,'Locations Data'!$G:$G,$B14,'Locations Data'!$B:$B,FP$5)&gt;0,1,0)</f>
        <v>1</v>
      </c>
      <c r="FQ14" s="6">
        <f>IF(SUMIFS('Locations Data'!$C:$C,'Locations Data'!$G:$G,$B14,'Locations Data'!$B:$B,FQ$5)&gt;0,1,0)</f>
        <v>1</v>
      </c>
      <c r="FR14" s="6">
        <f>IF(SUMIFS('Locations Data'!$C:$C,'Locations Data'!$G:$G,$B14,'Locations Data'!$B:$B,FR$5)&gt;0,1,0)</f>
        <v>0</v>
      </c>
      <c r="FS14" s="6">
        <f>IF(SUMIFS('Locations Data'!$C:$C,'Locations Data'!$G:$G,$B14,'Locations Data'!$B:$B,FS$5)&gt;0,1,0)</f>
        <v>0</v>
      </c>
      <c r="FT14" s="6">
        <f>IF(SUMIFS('Locations Data'!$C:$C,'Locations Data'!$G:$G,$B14,'Locations Data'!$B:$B,FT$5)&gt;0,1,0)</f>
        <v>1</v>
      </c>
      <c r="FU14" s="6">
        <f>IF(SUMIFS('Locations Data'!$C:$C,'Locations Data'!$G:$G,$B14,'Locations Data'!$B:$B,FU$5)&gt;0,1,0)</f>
        <v>1</v>
      </c>
      <c r="FV14" s="6">
        <f>IF(SUMIFS('Locations Data'!$C:$C,'Locations Data'!$G:$G,$B14,'Locations Data'!$B:$B,FV$5)&gt;0,1,0)</f>
        <v>1</v>
      </c>
      <c r="FW14" s="6">
        <f>IF(SUMIFS('Locations Data'!$C:$C,'Locations Data'!$G:$G,$B14,'Locations Data'!$B:$B,FW$5)&gt;0,1,0)</f>
        <v>1</v>
      </c>
      <c r="FX14" s="6">
        <f>IF(SUMIFS('Locations Data'!$C:$C,'Locations Data'!$G:$G,$B14,'Locations Data'!$B:$B,FX$5)&gt;0,1,0)</f>
        <v>1</v>
      </c>
      <c r="FY14" s="6">
        <f>IF(SUMIFS('Locations Data'!$C:$C,'Locations Data'!$G:$G,$B14,'Locations Data'!$B:$B,FY$5)&gt;0,1,0)</f>
        <v>0</v>
      </c>
      <c r="FZ14" s="6">
        <f>IF(SUMIFS('Locations Data'!$C:$C,'Locations Data'!$G:$G,$B14,'Locations Data'!$B:$B,FZ$5)&gt;0,1,0)</f>
        <v>0</v>
      </c>
      <c r="GA14" s="6">
        <f>IF(SUMIFS('Locations Data'!$C:$C,'Locations Data'!$G:$G,$B14,'Locations Data'!$B:$B,GA$5)&gt;0,1,0)</f>
        <v>1</v>
      </c>
      <c r="GB14" s="6">
        <f>IF(SUMIFS('Locations Data'!$C:$C,'Locations Data'!$G:$G,$B14,'Locations Data'!$B:$B,GB$5)&gt;0,1,0)</f>
        <v>1</v>
      </c>
      <c r="GC14" s="6">
        <f>IF(SUMIFS('Locations Data'!$C:$C,'Locations Data'!$G:$G,$B14,'Locations Data'!$B:$B,GC$5)&gt;0,1,0)</f>
        <v>1</v>
      </c>
      <c r="GD14" s="6">
        <f>IF(SUMIFS('Locations Data'!$C:$C,'Locations Data'!$G:$G,$B14,'Locations Data'!$B:$B,GD$5)&gt;0,1,0)</f>
        <v>1</v>
      </c>
      <c r="GE14" s="6">
        <f>IF(SUMIFS('Locations Data'!$C:$C,'Locations Data'!$G:$G,$B14,'Locations Data'!$B:$B,GE$5)&gt;0,1,0)</f>
        <v>1</v>
      </c>
      <c r="GF14" s="6">
        <f>IF(SUMIFS('Locations Data'!$C:$C,'Locations Data'!$G:$G,$B14,'Locations Data'!$B:$B,GF$5)&gt;0,1,0)</f>
        <v>0</v>
      </c>
      <c r="GG14" s="6">
        <f>IF(SUMIFS('Locations Data'!$C:$C,'Locations Data'!$G:$G,$B14,'Locations Data'!$B:$B,GG$5)&gt;0,1,0)</f>
        <v>0</v>
      </c>
      <c r="GH14" s="6">
        <f>IF(SUMIFS('Locations Data'!$C:$C,'Locations Data'!$G:$G,$B14,'Locations Data'!$B:$B,GH$5)&gt;0,1,0)</f>
        <v>1</v>
      </c>
      <c r="GI14" s="6">
        <f>IF(SUMIFS('Locations Data'!$C:$C,'Locations Data'!$G:$G,$B14,'Locations Data'!$B:$B,GI$5)&gt;0,1,0)</f>
        <v>1</v>
      </c>
      <c r="GJ14" s="6">
        <f>IF(SUMIFS('Locations Data'!$C:$C,'Locations Data'!$G:$G,$B14,'Locations Data'!$B:$B,GJ$5)&gt;0,1,0)</f>
        <v>1</v>
      </c>
      <c r="GK14" s="6">
        <f>IF(SUMIFS('Locations Data'!$C:$C,'Locations Data'!$G:$G,$B14,'Locations Data'!$B:$B,GK$5)&gt;0,1,0)</f>
        <v>1</v>
      </c>
      <c r="GL14" s="6">
        <f>IF(SUMIFS('Locations Data'!$C:$C,'Locations Data'!$G:$G,$B14,'Locations Data'!$B:$B,GL$5)&gt;0,1,0)</f>
        <v>1</v>
      </c>
      <c r="GM14" s="6">
        <f>IF(SUMIFS('Locations Data'!$C:$C,'Locations Data'!$G:$G,$B14,'Locations Data'!$B:$B,GM$5)&gt;0,1,0)</f>
        <v>0</v>
      </c>
      <c r="GN14" s="6">
        <f>IF(SUMIFS('Locations Data'!$C:$C,'Locations Data'!$G:$G,$B14,'Locations Data'!$B:$B,GN$5)&gt;0,1,0)</f>
        <v>0</v>
      </c>
      <c r="GO14" s="6">
        <f>IF(SUMIFS('Locations Data'!$C:$C,'Locations Data'!$G:$G,$B14,'Locations Data'!$B:$B,GO$5)&gt;0,1,0)</f>
        <v>1</v>
      </c>
      <c r="GP14" s="6">
        <f>IF(SUMIFS('Locations Data'!$C:$C,'Locations Data'!$G:$G,$B14,'Locations Data'!$B:$B,GP$5)&gt;0,1,0)</f>
        <v>1</v>
      </c>
      <c r="GQ14" s="6">
        <f>IF(SUMIFS('Locations Data'!$C:$C,'Locations Data'!$G:$G,$B14,'Locations Data'!$B:$B,GQ$5)&gt;0,1,0)</f>
        <v>1</v>
      </c>
      <c r="GR14" s="6">
        <f>IF(SUMIFS('Locations Data'!$C:$C,'Locations Data'!$G:$G,$B14,'Locations Data'!$B:$B,GR$5)&gt;0,1,0)</f>
        <v>1</v>
      </c>
      <c r="GS14" s="6">
        <f>IF(SUMIFS('Locations Data'!$C:$C,'Locations Data'!$G:$G,$B14,'Locations Data'!$B:$B,GS$5)&gt;0,1,0)</f>
        <v>1</v>
      </c>
      <c r="GT14" s="6">
        <f>IF(SUMIFS('Locations Data'!$C:$C,'Locations Data'!$G:$G,$B14,'Locations Data'!$B:$B,GT$5)&gt;0,1,0)</f>
        <v>0</v>
      </c>
      <c r="GU14" s="6">
        <f>IF(SUMIFS('Locations Data'!$C:$C,'Locations Data'!$G:$G,$B14,'Locations Data'!$B:$B,GU$5)&gt;0,1,0)</f>
        <v>0</v>
      </c>
      <c r="GV14" s="6">
        <f>IF(SUMIFS('Locations Data'!$C:$C,'Locations Data'!$G:$G,$B14,'Locations Data'!$B:$B,GV$5)&gt;0,1,0)</f>
        <v>1</v>
      </c>
      <c r="GW14" s="6">
        <f>IF(SUMIFS('Locations Data'!$C:$C,'Locations Data'!$G:$G,$B14,'Locations Data'!$B:$B,GW$5)&gt;0,1,0)</f>
        <v>1</v>
      </c>
      <c r="GX14" s="6">
        <f>IF(SUMIFS('Locations Data'!$C:$C,'Locations Data'!$G:$G,$B14,'Locations Data'!$B:$B,GX$5)&gt;0,1,0)</f>
        <v>1</v>
      </c>
      <c r="GY14" s="6">
        <f>IF(SUMIFS('Locations Data'!$C:$C,'Locations Data'!$G:$G,$B14,'Locations Data'!$B:$B,GY$5)&gt;0,1,0)</f>
        <v>1</v>
      </c>
      <c r="GZ14" s="6">
        <f>IF(SUMIFS('Locations Data'!$C:$C,'Locations Data'!$G:$G,$B14,'Locations Data'!$B:$B,GZ$5)&gt;0,1,0)</f>
        <v>1</v>
      </c>
      <c r="HA14" s="6">
        <f>IF(SUMIFS('Locations Data'!$C:$C,'Locations Data'!$G:$G,$B14,'Locations Data'!$B:$B,HA$5)&gt;0,1,0)</f>
        <v>0</v>
      </c>
      <c r="HB14" s="6">
        <f>IF(SUMIFS('Locations Data'!$C:$C,'Locations Data'!$G:$G,$B14,'Locations Data'!$B:$B,HB$5)&gt;0,1,0)</f>
        <v>0</v>
      </c>
      <c r="HC14" s="6">
        <f>IF(SUMIFS('Locations Data'!$C:$C,'Locations Data'!$G:$G,$B14,'Locations Data'!$B:$B,HC$5)&gt;0,1,0)</f>
        <v>1</v>
      </c>
      <c r="HD14" s="6">
        <f>IF(SUMIFS('Locations Data'!$C:$C,'Locations Data'!$G:$G,$B14,'Locations Data'!$B:$B,HD$5)&gt;0,1,0)</f>
        <v>1</v>
      </c>
      <c r="HE14" s="6">
        <f>IF(SUMIFS('Locations Data'!$C:$C,'Locations Data'!$G:$G,$B14,'Locations Data'!$B:$B,HE$5)&gt;0,1,0)</f>
        <v>1</v>
      </c>
      <c r="HF14" s="6">
        <f>IF(SUMIFS('Locations Data'!$C:$C,'Locations Data'!$G:$G,$B14,'Locations Data'!$B:$B,HF$5)&gt;0,1,0)</f>
        <v>1</v>
      </c>
      <c r="HG14" s="6">
        <f>IF(SUMIFS('Locations Data'!$C:$C,'Locations Data'!$G:$G,$B14,'Locations Data'!$B:$B,HG$5)&gt;0,1,0)</f>
        <v>1</v>
      </c>
      <c r="HH14" s="6">
        <f>IF(SUMIFS('Locations Data'!$C:$C,'Locations Data'!$G:$G,$B14,'Locations Data'!$B:$B,HH$5)&gt;0,1,0)</f>
        <v>0</v>
      </c>
      <c r="HI14" s="6">
        <f>IF(SUMIFS('Locations Data'!$C:$C,'Locations Data'!$G:$G,$B14,'Locations Data'!$B:$B,HI$5)&gt;0,1,0)</f>
        <v>0</v>
      </c>
      <c r="HJ14" s="6">
        <f>IF(SUMIFS('Locations Data'!$C:$C,'Locations Data'!$G:$G,$B14,'Locations Data'!$B:$B,HJ$5)&gt;0,1,0)</f>
        <v>1</v>
      </c>
      <c r="HK14" s="6">
        <f>IF(SUMIFS('Locations Data'!$C:$C,'Locations Data'!$G:$G,$B14,'Locations Data'!$B:$B,HK$5)&gt;0,1,0)</f>
        <v>1</v>
      </c>
      <c r="HL14" s="6">
        <f>IF(SUMIFS('Locations Data'!$C:$C,'Locations Data'!$G:$G,$B14,'Locations Data'!$B:$B,HL$5)&gt;0,1,0)</f>
        <v>1</v>
      </c>
      <c r="HM14" s="6">
        <f>IF(SUMIFS('Locations Data'!$C:$C,'Locations Data'!$G:$G,$B14,'Locations Data'!$B:$B,HM$5)&gt;0,1,0)</f>
        <v>1</v>
      </c>
      <c r="HN14" s="6">
        <f>IF(SUMIFS('Locations Data'!$C:$C,'Locations Data'!$G:$G,$B14,'Locations Data'!$B:$B,HN$5)&gt;0,1,0)</f>
        <v>1</v>
      </c>
      <c r="HO14" s="6">
        <f>IF(SUMIFS('Locations Data'!$C:$C,'Locations Data'!$G:$G,$B14,'Locations Data'!$B:$B,HO$5)&gt;0,1,0)</f>
        <v>0</v>
      </c>
      <c r="HP14" s="6">
        <f>IF(SUMIFS('Locations Data'!$C:$C,'Locations Data'!$G:$G,$B14,'Locations Data'!$B:$B,HP$5)&gt;0,1,0)</f>
        <v>0</v>
      </c>
      <c r="HQ14" s="6">
        <f>IF(SUMIFS('Locations Data'!$C:$C,'Locations Data'!$G:$G,$B14,'Locations Data'!$B:$B,HQ$5)&gt;0,1,0)</f>
        <v>1</v>
      </c>
      <c r="HR14" s="6">
        <f>IF(SUMIFS('Locations Data'!$C:$C,'Locations Data'!$G:$G,$B14,'Locations Data'!$B:$B,HR$5)&gt;0,1,0)</f>
        <v>1</v>
      </c>
      <c r="HS14" s="6">
        <f>IF(SUMIFS('Locations Data'!$C:$C,'Locations Data'!$G:$G,$B14,'Locations Data'!$B:$B,HS$5)&gt;0,1,0)</f>
        <v>1</v>
      </c>
      <c r="HT14" s="6">
        <f>IF(SUMIFS('Locations Data'!$C:$C,'Locations Data'!$G:$G,$B14,'Locations Data'!$B:$B,HT$5)&gt;0,1,0)</f>
        <v>1</v>
      </c>
      <c r="HU14" s="6">
        <f>IF(SUMIFS('Locations Data'!$C:$C,'Locations Data'!$G:$G,$B14,'Locations Data'!$B:$B,HU$5)&gt;0,1,0)</f>
        <v>1</v>
      </c>
      <c r="HV14" s="6">
        <f>IF(SUMIFS('Locations Data'!$C:$C,'Locations Data'!$G:$G,$B14,'Locations Data'!$B:$B,HV$5)&gt;0,1,0)</f>
        <v>0</v>
      </c>
      <c r="HW14" s="6">
        <f>IF(SUMIFS('Locations Data'!$C:$C,'Locations Data'!$G:$G,$B14,'Locations Data'!$B:$B,HW$5)&gt;0,1,0)</f>
        <v>0</v>
      </c>
      <c r="HX14" s="6">
        <f>IF(SUMIFS('Locations Data'!$C:$C,'Locations Data'!$G:$G,$B14,'Locations Data'!$B:$B,HX$5)&gt;0,1,0)</f>
        <v>1</v>
      </c>
      <c r="HY14" s="6">
        <f>IF(SUMIFS('Locations Data'!$C:$C,'Locations Data'!$G:$G,$B14,'Locations Data'!$B:$B,HY$5)&gt;0,1,0)</f>
        <v>1</v>
      </c>
      <c r="HZ14" s="6">
        <f>IF(SUMIFS('Locations Data'!$C:$C,'Locations Data'!$G:$G,$B14,'Locations Data'!$B:$B,HZ$5)&gt;0,1,0)</f>
        <v>1</v>
      </c>
      <c r="IA14" s="6">
        <f>IF(SUMIFS('Locations Data'!$C:$C,'Locations Data'!$G:$G,$B14,'Locations Data'!$B:$B,IA$5)&gt;0,1,0)</f>
        <v>1</v>
      </c>
      <c r="IB14" s="6">
        <f>IF(SUMIFS('Locations Data'!$C:$C,'Locations Data'!$G:$G,$B14,'Locations Data'!$B:$B,IB$5)&gt;0,1,0)</f>
        <v>1</v>
      </c>
      <c r="IC14" s="6">
        <f>IF(SUMIFS('Locations Data'!$C:$C,'Locations Data'!$G:$G,$B14,'Locations Data'!$B:$B,IC$5)&gt;0,1,0)</f>
        <v>0</v>
      </c>
      <c r="ID14" s="6">
        <f>IF(SUMIFS('Locations Data'!$C:$C,'Locations Data'!$G:$G,$B14,'Locations Data'!$B:$B,ID$5)&gt;0,1,0)</f>
        <v>0</v>
      </c>
      <c r="IE14" s="6">
        <f>IF(SUMIFS('Locations Data'!$C:$C,'Locations Data'!$G:$G,$B14,'Locations Data'!$B:$B,IE$5)&gt;0,1,0)</f>
        <v>1</v>
      </c>
      <c r="IF14" s="6">
        <f>IF(SUMIFS('Locations Data'!$C:$C,'Locations Data'!$G:$G,$B14,'Locations Data'!$B:$B,IF$5)&gt;0,1,0)</f>
        <v>1</v>
      </c>
      <c r="IG14" s="6">
        <f>IF(SUMIFS('Locations Data'!$C:$C,'Locations Data'!$G:$G,$B14,'Locations Data'!$B:$B,IG$5)&gt;0,1,0)</f>
        <v>1</v>
      </c>
      <c r="IH14" s="6">
        <f>IF(SUMIFS('Locations Data'!$C:$C,'Locations Data'!$G:$G,$B14,'Locations Data'!$B:$B,IH$5)&gt;0,1,0)</f>
        <v>1</v>
      </c>
      <c r="II14" s="6">
        <f>IF(SUMIFS('Locations Data'!$C:$C,'Locations Data'!$G:$G,$B14,'Locations Data'!$B:$B,II$5)&gt;0,1,0)</f>
        <v>1</v>
      </c>
      <c r="IJ14" s="6">
        <f>IF(SUMIFS('Locations Data'!$C:$C,'Locations Data'!$G:$G,$B14,'Locations Data'!$B:$B,IJ$5)&gt;0,1,0)</f>
        <v>0</v>
      </c>
      <c r="IK14" s="6">
        <f>IF(SUMIFS('Locations Data'!$C:$C,'Locations Data'!$G:$G,$B14,'Locations Data'!$B:$B,IK$5)&gt;0,1,0)</f>
        <v>0</v>
      </c>
      <c r="IL14" s="6">
        <f>IF(SUMIFS('Locations Data'!$C:$C,'Locations Data'!$G:$G,$B14,'Locations Data'!$B:$B,IL$5)&gt;0,1,0)</f>
        <v>1</v>
      </c>
      <c r="IM14" s="6">
        <f>IF(SUMIFS('Locations Data'!$C:$C,'Locations Data'!$G:$G,$B14,'Locations Data'!$B:$B,IM$5)&gt;0,1,0)</f>
        <v>1</v>
      </c>
      <c r="IN14" s="6">
        <f>IF(SUMIFS('Locations Data'!$C:$C,'Locations Data'!$G:$G,$B14,'Locations Data'!$B:$B,IN$5)&gt;0,1,0)</f>
        <v>1</v>
      </c>
      <c r="IO14" s="6">
        <f>IF(SUMIFS('Locations Data'!$C:$C,'Locations Data'!$G:$G,$B14,'Locations Data'!$B:$B,IO$5)&gt;0,1,0)</f>
        <v>1</v>
      </c>
      <c r="IP14" s="6">
        <f>IF(SUMIFS('Locations Data'!$C:$C,'Locations Data'!$G:$G,$B14,'Locations Data'!$B:$B,IP$5)&gt;0,1,0)</f>
        <v>1</v>
      </c>
      <c r="IQ14" s="6">
        <f>IF(SUMIFS('Locations Data'!$C:$C,'Locations Data'!$G:$G,$B14,'Locations Data'!$B:$B,IQ$5)&gt;0,1,0)</f>
        <v>0</v>
      </c>
      <c r="IR14" s="6">
        <f>IF(SUMIFS('Locations Data'!$C:$C,'Locations Data'!$G:$G,$B14,'Locations Data'!$B:$B,IR$5)&gt;0,1,0)</f>
        <v>0</v>
      </c>
      <c r="IS14" s="6">
        <f>IF(SUMIFS('Locations Data'!$C:$C,'Locations Data'!$G:$G,$B14,'Locations Data'!$B:$B,IS$5)&gt;0,1,0)</f>
        <v>1</v>
      </c>
      <c r="IT14" s="6">
        <f>IF(SUMIFS('Locations Data'!$C:$C,'Locations Data'!$G:$G,$B14,'Locations Data'!$B:$B,IT$5)&gt;0,1,0)</f>
        <v>1</v>
      </c>
      <c r="IU14" s="6">
        <f>IF(SUMIFS('Locations Data'!$C:$C,'Locations Data'!$G:$G,$B14,'Locations Data'!$B:$B,IU$5)&gt;0,1,0)</f>
        <v>1</v>
      </c>
      <c r="IV14" s="6">
        <f>IF(SUMIFS('Locations Data'!$C:$C,'Locations Data'!$G:$G,$B14,'Locations Data'!$B:$B,IV$5)&gt;0,1,0)</f>
        <v>1</v>
      </c>
      <c r="IW14" s="6">
        <f>IF(SUMIFS('Locations Data'!$C:$C,'Locations Data'!$G:$G,$B14,'Locations Data'!$B:$B,IW$5)&gt;0,1,0)</f>
        <v>1</v>
      </c>
      <c r="IX14" s="6">
        <f>IF(SUMIFS('Locations Data'!$C:$C,'Locations Data'!$G:$G,$B14,'Locations Data'!$B:$B,IX$5)&gt;0,1,0)</f>
        <v>0</v>
      </c>
      <c r="IY14" s="6">
        <f>IF(SUMIFS('Locations Data'!$C:$C,'Locations Data'!$G:$G,$B14,'Locations Data'!$B:$B,IY$5)&gt;0,1,0)</f>
        <v>0</v>
      </c>
      <c r="IZ14" s="6">
        <f>IF(SUMIFS('Locations Data'!$C:$C,'Locations Data'!$G:$G,$B14,'Locations Data'!$B:$B,IZ$5)&gt;0,1,0)</f>
        <v>1</v>
      </c>
      <c r="JA14" s="6">
        <f>IF(SUMIFS('Locations Data'!$C:$C,'Locations Data'!$G:$G,$B14,'Locations Data'!$B:$B,JA$5)&gt;0,1,0)</f>
        <v>1</v>
      </c>
      <c r="JB14" s="6">
        <f>IF(SUMIFS('Locations Data'!$C:$C,'Locations Data'!$G:$G,$B14,'Locations Data'!$B:$B,JB$5)&gt;0,1,0)</f>
        <v>1</v>
      </c>
      <c r="JC14" s="6">
        <f>IF(SUMIFS('Locations Data'!$C:$C,'Locations Data'!$G:$G,$B14,'Locations Data'!$B:$B,JC$5)&gt;0,1,0)</f>
        <v>1</v>
      </c>
      <c r="JD14" s="6">
        <f>IF(SUMIFS('Locations Data'!$C:$C,'Locations Data'!$G:$G,$B14,'Locations Data'!$B:$B,JD$5)&gt;0,1,0)</f>
        <v>1</v>
      </c>
      <c r="JE14" s="6">
        <f>IF(SUMIFS('Locations Data'!$C:$C,'Locations Data'!$G:$G,$B14,'Locations Data'!$B:$B,JE$5)&gt;0,1,0)</f>
        <v>0</v>
      </c>
      <c r="JF14" s="6">
        <f>IF(SUMIFS('Locations Data'!$C:$C,'Locations Data'!$G:$G,$B14,'Locations Data'!$B:$B,JF$5)&gt;0,1,0)</f>
        <v>0</v>
      </c>
      <c r="JG14" s="6">
        <f>IF(SUMIFS('Locations Data'!$C:$C,'Locations Data'!$G:$G,$B14,'Locations Data'!$B:$B,JG$5)&gt;0,1,0)</f>
        <v>1</v>
      </c>
      <c r="JH14" s="6">
        <f>IF(SUMIFS('Locations Data'!$C:$C,'Locations Data'!$G:$G,$B14,'Locations Data'!$B:$B,JH$5)&gt;0,1,0)</f>
        <v>1</v>
      </c>
      <c r="JI14" s="6">
        <f>IF(SUMIFS('Locations Data'!$C:$C,'Locations Data'!$G:$G,$B14,'Locations Data'!$B:$B,JI$5)&gt;0,1,0)</f>
        <v>1</v>
      </c>
      <c r="JJ14" s="6">
        <f>IF(SUMIFS('Locations Data'!$C:$C,'Locations Data'!$G:$G,$B14,'Locations Data'!$B:$B,JJ$5)&gt;0,1,0)</f>
        <v>1</v>
      </c>
      <c r="JK14" s="6">
        <f>IF(SUMIFS('Locations Data'!$C:$C,'Locations Data'!$G:$G,$B14,'Locations Data'!$B:$B,JK$5)&gt;0,1,0)</f>
        <v>1</v>
      </c>
      <c r="JL14" s="6">
        <f>IF(SUMIFS('Locations Data'!$C:$C,'Locations Data'!$G:$G,$B14,'Locations Data'!$B:$B,JL$5)&gt;0,1,0)</f>
        <v>0</v>
      </c>
      <c r="JM14" s="6">
        <f>IF(SUMIFS('Locations Data'!$C:$C,'Locations Data'!$G:$G,$B14,'Locations Data'!$B:$B,JM$5)&gt;0,1,0)</f>
        <v>0</v>
      </c>
      <c r="JN14" s="6">
        <f>IF(SUMIFS('Locations Data'!$C:$C,'Locations Data'!$G:$G,$B14,'Locations Data'!$B:$B,JN$5)&gt;0,1,0)</f>
        <v>1</v>
      </c>
      <c r="JO14" s="6">
        <f>IF(SUMIFS('Locations Data'!$C:$C,'Locations Data'!$G:$G,$B14,'Locations Data'!$B:$B,JO$5)&gt;0,1,0)</f>
        <v>1</v>
      </c>
      <c r="JP14" s="6">
        <f>IF(SUMIFS('Locations Data'!$C:$C,'Locations Data'!$G:$G,$B14,'Locations Data'!$B:$B,JP$5)&gt;0,1,0)</f>
        <v>1</v>
      </c>
      <c r="JQ14" s="6">
        <f>IF(SUMIFS('Locations Data'!$C:$C,'Locations Data'!$G:$G,$B14,'Locations Data'!$B:$B,JQ$5)&gt;0,1,0)</f>
        <v>1</v>
      </c>
      <c r="JR14" s="6">
        <f>IF(SUMIFS('Locations Data'!$C:$C,'Locations Data'!$G:$G,$B14,'Locations Data'!$B:$B,JR$5)&gt;0,1,0)</f>
        <v>1</v>
      </c>
      <c r="JS14" s="6">
        <f>IF(SUMIFS('Locations Data'!$C:$C,'Locations Data'!$G:$G,$B14,'Locations Data'!$B:$B,JS$5)&gt;0,1,0)</f>
        <v>0</v>
      </c>
      <c r="JT14" s="6">
        <f>IF(SUMIFS('Locations Data'!$C:$C,'Locations Data'!$G:$G,$B14,'Locations Data'!$B:$B,JT$5)&gt;0,1,0)</f>
        <v>0</v>
      </c>
      <c r="JU14" s="6">
        <f>IF(SUMIFS('Locations Data'!$C:$C,'Locations Data'!$G:$G,$B14,'Locations Data'!$B:$B,JU$5)&gt;0,1,0)</f>
        <v>1</v>
      </c>
      <c r="JV14" s="6">
        <f>IF(SUMIFS('Locations Data'!$C:$C,'Locations Data'!$G:$G,$B14,'Locations Data'!$B:$B,JV$5)&gt;0,1,0)</f>
        <v>1</v>
      </c>
      <c r="JW14" s="6">
        <f>IF(SUMIFS('Locations Data'!$C:$C,'Locations Data'!$G:$G,$B14,'Locations Data'!$B:$B,JW$5)&gt;0,1,0)</f>
        <v>1</v>
      </c>
      <c r="JX14" s="6">
        <f>IF(SUMIFS('Locations Data'!$C:$C,'Locations Data'!$G:$G,$B14,'Locations Data'!$B:$B,JX$5)&gt;0,1,0)</f>
        <v>1</v>
      </c>
      <c r="JY14" s="6">
        <f>IF(SUMIFS('Locations Data'!$C:$C,'Locations Data'!$G:$G,$B14,'Locations Data'!$B:$B,JY$5)&gt;0,1,0)</f>
        <v>1</v>
      </c>
      <c r="JZ14" s="6">
        <f>IF(SUMIFS('Locations Data'!$C:$C,'Locations Data'!$G:$G,$B14,'Locations Data'!$B:$B,JZ$5)&gt;0,1,0)</f>
        <v>0</v>
      </c>
      <c r="KA14" s="6">
        <f>IF(SUMIFS('Locations Data'!$C:$C,'Locations Data'!$G:$G,$B14,'Locations Data'!$B:$B,KA$5)&gt;0,1,0)</f>
        <v>0</v>
      </c>
      <c r="KB14" s="6">
        <f>IF(SUMIFS('Locations Data'!$C:$C,'Locations Data'!$G:$G,$B14,'Locations Data'!$B:$B,KB$5)&gt;0,1,0)</f>
        <v>1</v>
      </c>
      <c r="KC14" s="6">
        <f>IF(SUMIFS('Locations Data'!$C:$C,'Locations Data'!$G:$G,$B14,'Locations Data'!$B:$B,KC$5)&gt;0,1,0)</f>
        <v>1</v>
      </c>
      <c r="KD14" s="6">
        <f>IF(SUMIFS('Locations Data'!$C:$C,'Locations Data'!$G:$G,$B14,'Locations Data'!$B:$B,KD$5)&gt;0,1,0)</f>
        <v>1</v>
      </c>
      <c r="KE14" s="6">
        <f>IF(SUMIFS('Locations Data'!$C:$C,'Locations Data'!$G:$G,$B14,'Locations Data'!$B:$B,KE$5)&gt;0,1,0)</f>
        <v>1</v>
      </c>
      <c r="KF14" s="6">
        <f>IF(SUMIFS('Locations Data'!$C:$C,'Locations Data'!$G:$G,$B14,'Locations Data'!$B:$B,KF$5)&gt;0,1,0)</f>
        <v>1</v>
      </c>
      <c r="KG14" s="6">
        <f>IF(SUMIFS('Locations Data'!$C:$C,'Locations Data'!$G:$G,$B14,'Locations Data'!$B:$B,KG$5)&gt;0,1,0)</f>
        <v>0</v>
      </c>
      <c r="KH14" s="6">
        <f>IF(SUMIFS('Locations Data'!$C:$C,'Locations Data'!$G:$G,$B14,'Locations Data'!$B:$B,KH$5)&gt;0,1,0)</f>
        <v>0</v>
      </c>
      <c r="KI14" s="6">
        <f>IF(SUMIFS('Locations Data'!$C:$C,'Locations Data'!$G:$G,$B14,'Locations Data'!$B:$B,KI$5)&gt;0,1,0)</f>
        <v>1</v>
      </c>
      <c r="KJ14" s="6">
        <f>IF(SUMIFS('Locations Data'!$C:$C,'Locations Data'!$G:$G,$B14,'Locations Data'!$B:$B,KJ$5)&gt;0,1,0)</f>
        <v>1</v>
      </c>
      <c r="KK14" s="6">
        <f>IF(SUMIFS('Locations Data'!$C:$C,'Locations Data'!$G:$G,$B14,'Locations Data'!$B:$B,KK$5)&gt;0,1,0)</f>
        <v>1</v>
      </c>
      <c r="KL14" s="6">
        <f>IF(SUMIFS('Locations Data'!$C:$C,'Locations Data'!$G:$G,$B14,'Locations Data'!$B:$B,KL$5)&gt;0,1,0)</f>
        <v>1</v>
      </c>
      <c r="KM14" s="6">
        <f>IF(SUMIFS('Locations Data'!$C:$C,'Locations Data'!$G:$G,$B14,'Locations Data'!$B:$B,KM$5)&gt;0,1,0)</f>
        <v>1</v>
      </c>
      <c r="KN14" s="6">
        <f>IF(SUMIFS('Locations Data'!$C:$C,'Locations Data'!$G:$G,$B14,'Locations Data'!$B:$B,KN$5)&gt;0,1,0)</f>
        <v>0</v>
      </c>
      <c r="KO14" s="6">
        <f>IF(SUMIFS('Locations Data'!$C:$C,'Locations Data'!$G:$G,$B14,'Locations Data'!$B:$B,KO$5)&gt;0,1,0)</f>
        <v>0</v>
      </c>
      <c r="KP14" s="6">
        <f>IF(SUMIFS('Locations Data'!$C:$C,'Locations Data'!$G:$G,$B14,'Locations Data'!$B:$B,KP$5)&gt;0,1,0)</f>
        <v>1</v>
      </c>
      <c r="KQ14" s="6">
        <f>IF(SUMIFS('Locations Data'!$C:$C,'Locations Data'!$G:$G,$B14,'Locations Data'!$B:$B,KQ$5)&gt;0,1,0)</f>
        <v>1</v>
      </c>
      <c r="KR14" s="6">
        <f>IF(SUMIFS('Locations Data'!$C:$C,'Locations Data'!$G:$G,$B14,'Locations Data'!$B:$B,KR$5)&gt;0,1,0)</f>
        <v>1</v>
      </c>
      <c r="KS14" s="6">
        <f>IF(SUMIFS('Locations Data'!$C:$C,'Locations Data'!$G:$G,$B14,'Locations Data'!$B:$B,KS$5)&gt;0,1,0)</f>
        <v>1</v>
      </c>
      <c r="KT14" s="6">
        <f>IF(SUMIFS('Locations Data'!$C:$C,'Locations Data'!$G:$G,$B14,'Locations Data'!$B:$B,KT$5)&gt;0,1,0)</f>
        <v>1</v>
      </c>
      <c r="KU14" s="6">
        <f>IF(SUMIFS('Locations Data'!$C:$C,'Locations Data'!$G:$G,$B14,'Locations Data'!$B:$B,KU$5)&gt;0,1,0)</f>
        <v>0</v>
      </c>
      <c r="KV14" s="6">
        <f>IF(SUMIFS('Locations Data'!$C:$C,'Locations Data'!$G:$G,$B14,'Locations Data'!$B:$B,KV$5)&gt;0,1,0)</f>
        <v>0</v>
      </c>
      <c r="KW14" s="6">
        <f>IF(SUMIFS('Locations Data'!$C:$C,'Locations Data'!$G:$G,$B14,'Locations Data'!$B:$B,KW$5)&gt;0,1,0)</f>
        <v>1</v>
      </c>
      <c r="KX14" s="6">
        <f>IF(SUMIFS('Locations Data'!$C:$C,'Locations Data'!$G:$G,$B14,'Locations Data'!$B:$B,KX$5)&gt;0,1,0)</f>
        <v>1</v>
      </c>
      <c r="KY14" s="6">
        <f>IF(SUMIFS('Locations Data'!$C:$C,'Locations Data'!$G:$G,$B14,'Locations Data'!$B:$B,KY$5)&gt;0,1,0)</f>
        <v>1</v>
      </c>
      <c r="KZ14" s="6">
        <f>IF(SUMIFS('Locations Data'!$C:$C,'Locations Data'!$G:$G,$B14,'Locations Data'!$B:$B,KZ$5)&gt;0,1,0)</f>
        <v>1</v>
      </c>
      <c r="LA14" s="6">
        <f>IF(SUMIFS('Locations Data'!$C:$C,'Locations Data'!$G:$G,$B14,'Locations Data'!$B:$B,LA$5)&gt;0,1,0)</f>
        <v>1</v>
      </c>
      <c r="LB14" s="6">
        <f>IF(SUMIFS('Locations Data'!$C:$C,'Locations Data'!$G:$G,$B14,'Locations Data'!$B:$B,LB$5)&gt;0,1,0)</f>
        <v>0</v>
      </c>
      <c r="LC14" s="6">
        <f>IF(SUMIFS('Locations Data'!$C:$C,'Locations Data'!$G:$G,$B14,'Locations Data'!$B:$B,LC$5)&gt;0,1,0)</f>
        <v>0</v>
      </c>
      <c r="LD14" s="6">
        <f>IF(SUMIFS('Locations Data'!$C:$C,'Locations Data'!$G:$G,$B14,'Locations Data'!$B:$B,LD$5)&gt;0,1,0)</f>
        <v>1</v>
      </c>
      <c r="LE14" s="6">
        <f>IF(SUMIFS('Locations Data'!$C:$C,'Locations Data'!$G:$G,$B14,'Locations Data'!$B:$B,LE$5)&gt;0,1,0)</f>
        <v>1</v>
      </c>
      <c r="LF14" s="6">
        <f>IF(SUMIFS('Locations Data'!$C:$C,'Locations Data'!$G:$G,$B14,'Locations Data'!$B:$B,LF$5)&gt;0,1,0)</f>
        <v>1</v>
      </c>
      <c r="LG14" s="6">
        <f>IF(SUMIFS('Locations Data'!$C:$C,'Locations Data'!$G:$G,$B14,'Locations Data'!$B:$B,LG$5)&gt;0,1,0)</f>
        <v>1</v>
      </c>
      <c r="LH14" s="6">
        <f>IF(SUMIFS('Locations Data'!$C:$C,'Locations Data'!$G:$G,$B14,'Locations Data'!$B:$B,LH$5)&gt;0,1,0)</f>
        <v>1</v>
      </c>
      <c r="LI14" s="6">
        <f>IF(SUMIFS('Locations Data'!$C:$C,'Locations Data'!$G:$G,$B14,'Locations Data'!$B:$B,LI$5)&gt;0,1,0)</f>
        <v>0</v>
      </c>
      <c r="LJ14" s="6">
        <f>IF(SUMIFS('Locations Data'!$C:$C,'Locations Data'!$G:$G,$B14,'Locations Data'!$B:$B,LJ$5)&gt;0,1,0)</f>
        <v>0</v>
      </c>
      <c r="LK14" s="6">
        <f>IF(SUMIFS('Locations Data'!$C:$C,'Locations Data'!$G:$G,$B14,'Locations Data'!$B:$B,LK$5)&gt;0,1,0)</f>
        <v>1</v>
      </c>
      <c r="LL14" s="6">
        <f>IF(SUMIFS('Locations Data'!$C:$C,'Locations Data'!$G:$G,$B14,'Locations Data'!$B:$B,LL$5)&gt;0,1,0)</f>
        <v>1</v>
      </c>
      <c r="LM14" s="6">
        <f>IF(SUMIFS('Locations Data'!$C:$C,'Locations Data'!$G:$G,$B14,'Locations Data'!$B:$B,LM$5)&gt;0,1,0)</f>
        <v>1</v>
      </c>
      <c r="LN14" s="6">
        <f>IF(SUMIFS('Locations Data'!$C:$C,'Locations Data'!$G:$G,$B14,'Locations Data'!$B:$B,LN$5)&gt;0,1,0)</f>
        <v>1</v>
      </c>
      <c r="LO14" s="6">
        <f>IF(SUMIFS('Locations Data'!$C:$C,'Locations Data'!$G:$G,$B14,'Locations Data'!$B:$B,LO$5)&gt;0,1,0)</f>
        <v>1</v>
      </c>
      <c r="LP14" s="6">
        <f>IF(SUMIFS('Locations Data'!$C:$C,'Locations Data'!$G:$G,$B14,'Locations Data'!$B:$B,LP$5)&gt;0,1,0)</f>
        <v>0</v>
      </c>
      <c r="LQ14" s="6">
        <f>IF(SUMIFS('Locations Data'!$C:$C,'Locations Data'!$G:$G,$B14,'Locations Data'!$B:$B,LQ$5)&gt;0,1,0)</f>
        <v>0</v>
      </c>
      <c r="LR14" s="6">
        <f>IF(SUMIFS('Locations Data'!$C:$C,'Locations Data'!$G:$G,$B14,'Locations Data'!$B:$B,LR$5)&gt;0,1,0)</f>
        <v>1</v>
      </c>
      <c r="LS14" s="6">
        <f>IF(SUMIFS('Locations Data'!$C:$C,'Locations Data'!$G:$G,$B14,'Locations Data'!$B:$B,LS$5)&gt;0,1,0)</f>
        <v>1</v>
      </c>
      <c r="LT14" s="6">
        <f>IF(SUMIFS('Locations Data'!$C:$C,'Locations Data'!$G:$G,$B14,'Locations Data'!$B:$B,LT$5)&gt;0,1,0)</f>
        <v>1</v>
      </c>
      <c r="LU14" s="6">
        <f>IF(SUMIFS('Locations Data'!$C:$C,'Locations Data'!$G:$G,$B14,'Locations Data'!$B:$B,LU$5)&gt;0,1,0)</f>
        <v>1</v>
      </c>
      <c r="LV14" s="6">
        <f>IF(SUMIFS('Locations Data'!$C:$C,'Locations Data'!$G:$G,$B14,'Locations Data'!$B:$B,LV$5)&gt;0,1,0)</f>
        <v>1</v>
      </c>
      <c r="LW14" s="6">
        <f>IF(SUMIFS('Locations Data'!$C:$C,'Locations Data'!$G:$G,$B14,'Locations Data'!$B:$B,LW$5)&gt;0,1,0)</f>
        <v>0</v>
      </c>
      <c r="LX14" s="6">
        <f>IF(SUMIFS('Locations Data'!$C:$C,'Locations Data'!$G:$G,$B14,'Locations Data'!$B:$B,LX$5)&gt;0,1,0)</f>
        <v>0</v>
      </c>
      <c r="LY14" s="6">
        <f>IF(SUMIFS('Locations Data'!$C:$C,'Locations Data'!$G:$G,$B14,'Locations Data'!$B:$B,LY$5)&gt;0,1,0)</f>
        <v>1</v>
      </c>
      <c r="LZ14" s="6">
        <f>IF(SUMIFS('Locations Data'!$C:$C,'Locations Data'!$G:$G,$B14,'Locations Data'!$B:$B,LZ$5)&gt;0,1,0)</f>
        <v>1</v>
      </c>
      <c r="MA14" s="6">
        <f>IF(SUMIFS('Locations Data'!$C:$C,'Locations Data'!$G:$G,$B14,'Locations Data'!$B:$B,MA$5)&gt;0,1,0)</f>
        <v>1</v>
      </c>
      <c r="MB14" s="6">
        <f>IF(SUMIFS('Locations Data'!$C:$C,'Locations Data'!$G:$G,$B14,'Locations Data'!$B:$B,MB$5)&gt;0,1,0)</f>
        <v>1</v>
      </c>
      <c r="MC14" s="6">
        <f>IF(SUMIFS('Locations Data'!$C:$C,'Locations Data'!$G:$G,$B14,'Locations Data'!$B:$B,MC$5)&gt;0,1,0)</f>
        <v>1</v>
      </c>
      <c r="MD14" s="6">
        <f>IF(SUMIFS('Locations Data'!$C:$C,'Locations Data'!$G:$G,$B14,'Locations Data'!$B:$B,MD$5)&gt;0,1,0)</f>
        <v>0</v>
      </c>
      <c r="ME14" s="6">
        <f>IF(SUMIFS('Locations Data'!$C:$C,'Locations Data'!$G:$G,$B14,'Locations Data'!$B:$B,ME$5)&gt;0,1,0)</f>
        <v>0</v>
      </c>
      <c r="MF14" s="6">
        <f>IF(SUMIFS('Locations Data'!$C:$C,'Locations Data'!$G:$G,$B14,'Locations Data'!$B:$B,MF$5)&gt;0,1,0)</f>
        <v>1</v>
      </c>
      <c r="MG14" s="6">
        <f>IF(SUMIFS('Locations Data'!$C:$C,'Locations Data'!$G:$G,$B14,'Locations Data'!$B:$B,MG$5)&gt;0,1,0)</f>
        <v>1</v>
      </c>
      <c r="MH14" s="6">
        <f>IF(SUMIFS('Locations Data'!$C:$C,'Locations Data'!$G:$G,$B14,'Locations Data'!$B:$B,MH$5)&gt;0,1,0)</f>
        <v>1</v>
      </c>
      <c r="MI14" s="6">
        <f>IF(SUMIFS('Locations Data'!$C:$C,'Locations Data'!$G:$G,$B14,'Locations Data'!$B:$B,MI$5)&gt;0,1,0)</f>
        <v>1</v>
      </c>
      <c r="MJ14" s="6">
        <f>IF(SUMIFS('Locations Data'!$C:$C,'Locations Data'!$G:$G,$B14,'Locations Data'!$B:$B,MJ$5)&gt;0,1,0)</f>
        <v>1</v>
      </c>
      <c r="MK14" s="6">
        <f>IF(SUMIFS('Locations Data'!$C:$C,'Locations Data'!$G:$G,$B14,'Locations Data'!$B:$B,MK$5)&gt;0,1,0)</f>
        <v>0</v>
      </c>
      <c r="ML14" s="6">
        <f>IF(SUMIFS('Locations Data'!$C:$C,'Locations Data'!$G:$G,$B14,'Locations Data'!$B:$B,ML$5)&gt;0,1,0)</f>
        <v>0</v>
      </c>
      <c r="MM14" s="6">
        <f>IF(SUMIFS('Locations Data'!$C:$C,'Locations Data'!$G:$G,$B14,'Locations Data'!$B:$B,MM$5)&gt;0,1,0)</f>
        <v>1</v>
      </c>
      <c r="MN14" s="6">
        <f>IF(SUMIFS('Locations Data'!$C:$C,'Locations Data'!$G:$G,$B14,'Locations Data'!$B:$B,MN$5)&gt;0,1,0)</f>
        <v>1</v>
      </c>
      <c r="MO14" s="6">
        <f>IF(SUMIFS('Locations Data'!$C:$C,'Locations Data'!$G:$G,$B14,'Locations Data'!$B:$B,MO$5)&gt;0,1,0)</f>
        <v>1</v>
      </c>
      <c r="MP14" s="6">
        <f>IF(SUMIFS('Locations Data'!$C:$C,'Locations Data'!$G:$G,$B14,'Locations Data'!$B:$B,MP$5)&gt;0,1,0)</f>
        <v>1</v>
      </c>
      <c r="MQ14" s="6">
        <f>IF(SUMIFS('Locations Data'!$C:$C,'Locations Data'!$G:$G,$B14,'Locations Data'!$B:$B,MQ$5)&gt;0,1,0)</f>
        <v>1</v>
      </c>
      <c r="MR14" s="6">
        <f>IF(SUMIFS('Locations Data'!$C:$C,'Locations Data'!$G:$G,$B14,'Locations Data'!$B:$B,MR$5)&gt;0,1,0)</f>
        <v>0</v>
      </c>
      <c r="MS14" s="6">
        <f>IF(SUMIFS('Locations Data'!$C:$C,'Locations Data'!$G:$G,$B14,'Locations Data'!$B:$B,MS$5)&gt;0,1,0)</f>
        <v>0</v>
      </c>
      <c r="MT14" s="6">
        <f>IF(SUMIFS('Locations Data'!$C:$C,'Locations Data'!$G:$G,$B14,'Locations Data'!$B:$B,MT$5)&gt;0,1,0)</f>
        <v>1</v>
      </c>
      <c r="MU14" s="6">
        <f>IF(SUMIFS('Locations Data'!$C:$C,'Locations Data'!$G:$G,$B14,'Locations Data'!$B:$B,MU$5)&gt;0,1,0)</f>
        <v>1</v>
      </c>
      <c r="MV14" s="6">
        <f>IF(SUMIFS('Locations Data'!$C:$C,'Locations Data'!$G:$G,$B14,'Locations Data'!$B:$B,MV$5)&gt;0,1,0)</f>
        <v>1</v>
      </c>
      <c r="MW14" s="26">
        <v>0</v>
      </c>
      <c r="MX14" s="6">
        <f>IF(SUMIFS('Locations Data'!$C:$C,'Locations Data'!$G:$G,$B14,'Locations Data'!$B:$B,MX$5)&gt;0,1,0)</f>
        <v>1</v>
      </c>
      <c r="MY14" s="6">
        <f>IF(SUMIFS('Locations Data'!$C:$C,'Locations Data'!$G:$G,$B14,'Locations Data'!$B:$B,MY$5)&gt;0,1,0)</f>
        <v>0</v>
      </c>
      <c r="MZ14" s="6">
        <f>IF(SUMIFS('Locations Data'!$C:$C,'Locations Data'!$G:$G,$B14,'Locations Data'!$B:$B,MZ$5)&gt;0,1,0)</f>
        <v>0</v>
      </c>
      <c r="NA14" s="6">
        <f>IF(SUMIFS('Locations Data'!$C:$C,'Locations Data'!$G:$G,$B14,'Locations Data'!$B:$B,NA$5)&gt;0,1,0)</f>
        <v>1</v>
      </c>
      <c r="NB14" s="6">
        <f>IF(SUMIFS('Locations Data'!$C:$C,'Locations Data'!$G:$G,$B14,'Locations Data'!$B:$B,NB$5)&gt;0,1,0)</f>
        <v>1</v>
      </c>
      <c r="NC14" s="6">
        <f>IF(SUMIFS('Locations Data'!$C:$C,'Locations Data'!$G:$G,$B14,'Locations Data'!$B:$B,NC$5)&gt;0,1,0)</f>
        <v>1</v>
      </c>
    </row>
    <row r="15" spans="2:367">
      <c r="B15" s="20" t="s">
        <v>309</v>
      </c>
      <c r="C15" s="6">
        <v>0</v>
      </c>
      <c r="D15" s="6">
        <f>IF(SUMIFS('Locations Data'!$C:$C,'Locations Data'!$G:$G,$B15,'Locations Data'!$B:$B,D$5)&gt;0,1,0)</f>
        <v>1</v>
      </c>
      <c r="E15" s="6">
        <f>IF(SUMIFS('Locations Data'!$C:$C,'Locations Data'!$G:$G,$B15,'Locations Data'!$B:$B,E$5)&gt;0,1,0)</f>
        <v>1</v>
      </c>
      <c r="F15" s="6">
        <f>IF(SUMIFS('Locations Data'!$C:$C,'Locations Data'!$G:$G,$B15,'Locations Data'!$B:$B,F$5)&gt;0,1,0)</f>
        <v>0</v>
      </c>
      <c r="G15" s="6">
        <f>IF(SUMIFS('Locations Data'!$C:$C,'Locations Data'!$G:$G,$B15,'Locations Data'!$B:$B,G$5)&gt;0,1,0)</f>
        <v>1</v>
      </c>
      <c r="H15" s="6">
        <f>IF(SUMIFS('Locations Data'!$C:$C,'Locations Data'!$G:$G,$B15,'Locations Data'!$B:$B,H$5)&gt;0,1,0)</f>
        <v>1</v>
      </c>
      <c r="I15" s="6">
        <f>IF(SUMIFS('Locations Data'!$C:$C,'Locations Data'!$G:$G,$B15,'Locations Data'!$B:$B,I$5)&gt;0,1,0)</f>
        <v>1</v>
      </c>
      <c r="J15" s="6">
        <f>IF(SUMIFS('Locations Data'!$C:$C,'Locations Data'!$G:$G,$B15,'Locations Data'!$B:$B,J$5)&gt;0,1,0)</f>
        <v>1</v>
      </c>
      <c r="K15" s="6">
        <f>IF(SUMIFS('Locations Data'!$C:$C,'Locations Data'!$G:$G,$B15,'Locations Data'!$B:$B,K$5)&gt;0,1,0)</f>
        <v>1</v>
      </c>
      <c r="L15" s="6">
        <f>IF(SUMIFS('Locations Data'!$C:$C,'Locations Data'!$G:$G,$B15,'Locations Data'!$B:$B,L$5)&gt;0,1,0)</f>
        <v>1</v>
      </c>
      <c r="M15" s="6">
        <f>IF(SUMIFS('Locations Data'!$C:$C,'Locations Data'!$G:$G,$B15,'Locations Data'!$B:$B,M$5)&gt;0,1,0)</f>
        <v>0</v>
      </c>
      <c r="N15" s="6">
        <f>IF(SUMIFS('Locations Data'!$C:$C,'Locations Data'!$G:$G,$B15,'Locations Data'!$B:$B,N$5)&gt;0,1,0)</f>
        <v>1</v>
      </c>
      <c r="O15" s="6">
        <f>IF(SUMIFS('Locations Data'!$C:$C,'Locations Data'!$G:$G,$B15,'Locations Data'!$B:$B,O$5)&gt;0,1,0)</f>
        <v>1</v>
      </c>
      <c r="P15" s="6">
        <f>IF(SUMIFS('Locations Data'!$C:$C,'Locations Data'!$G:$G,$B15,'Locations Data'!$B:$B,P$5)&gt;0,1,0)</f>
        <v>1</v>
      </c>
      <c r="Q15" s="6">
        <f>IF(SUMIFS('Locations Data'!$C:$C,'Locations Data'!$G:$G,$B15,'Locations Data'!$B:$B,Q$5)&gt;0,1,0)</f>
        <v>1</v>
      </c>
      <c r="R15" s="6">
        <f>IF(SUMIFS('Locations Data'!$C:$C,'Locations Data'!$G:$G,$B15,'Locations Data'!$B:$B,R$5)&gt;0,1,0)</f>
        <v>1</v>
      </c>
      <c r="S15" s="6">
        <f>IF(SUMIFS('Locations Data'!$C:$C,'Locations Data'!$G:$G,$B15,'Locations Data'!$B:$B,S$5)&gt;0,1,0)</f>
        <v>1</v>
      </c>
      <c r="T15" s="6">
        <f>IF(SUMIFS('Locations Data'!$C:$C,'Locations Data'!$G:$G,$B15,'Locations Data'!$B:$B,T$5)&gt;0,1,0)</f>
        <v>0</v>
      </c>
      <c r="U15" s="6">
        <f>IF(SUMIFS('Locations Data'!$C:$C,'Locations Data'!$G:$G,$B15,'Locations Data'!$B:$B,U$5)&gt;0,1,0)</f>
        <v>1</v>
      </c>
      <c r="V15" s="6">
        <f>IF(SUMIFS('Locations Data'!$C:$C,'Locations Data'!$G:$G,$B15,'Locations Data'!$B:$B,V$5)&gt;0,1,0)</f>
        <v>1</v>
      </c>
      <c r="W15" s="6">
        <f>IF(SUMIFS('Locations Data'!$C:$C,'Locations Data'!$G:$G,$B15,'Locations Data'!$B:$B,W$5)&gt;0,1,0)</f>
        <v>1</v>
      </c>
      <c r="X15" s="6">
        <f>IF(SUMIFS('Locations Data'!$C:$C,'Locations Data'!$G:$G,$B15,'Locations Data'!$B:$B,X$5)&gt;0,1,0)</f>
        <v>1</v>
      </c>
      <c r="Y15" s="6">
        <f>IF(SUMIFS('Locations Data'!$C:$C,'Locations Data'!$G:$G,$B15,'Locations Data'!$B:$B,Y$5)&gt;0,1,0)</f>
        <v>1</v>
      </c>
      <c r="Z15" s="6">
        <f>IF(SUMIFS('Locations Data'!$C:$C,'Locations Data'!$G:$G,$B15,'Locations Data'!$B:$B,Z$5)&gt;0,1,0)</f>
        <v>1</v>
      </c>
      <c r="AA15" s="6">
        <f>IF(SUMIFS('Locations Data'!$C:$C,'Locations Data'!$G:$G,$B15,'Locations Data'!$B:$B,AA$5)&gt;0,1,0)</f>
        <v>0</v>
      </c>
      <c r="AB15" s="6">
        <f>IF(SUMIFS('Locations Data'!$C:$C,'Locations Data'!$G:$G,$B15,'Locations Data'!$B:$B,AB$5)&gt;0,1,0)</f>
        <v>1</v>
      </c>
      <c r="AC15" s="6">
        <f>IF(SUMIFS('Locations Data'!$C:$C,'Locations Data'!$G:$G,$B15,'Locations Data'!$B:$B,AC$5)&gt;0,1,0)</f>
        <v>1</v>
      </c>
      <c r="AD15" s="6">
        <f>IF(SUMIFS('Locations Data'!$C:$C,'Locations Data'!$G:$G,$B15,'Locations Data'!$B:$B,AD$5)&gt;0,1,0)</f>
        <v>1</v>
      </c>
      <c r="AE15" s="6">
        <f>IF(SUMIFS('Locations Data'!$C:$C,'Locations Data'!$G:$G,$B15,'Locations Data'!$B:$B,AE$5)&gt;0,1,0)</f>
        <v>1</v>
      </c>
      <c r="AF15" s="6">
        <f>IF(SUMIFS('Locations Data'!$C:$C,'Locations Data'!$G:$G,$B15,'Locations Data'!$B:$B,AF$5)&gt;0,1,0)</f>
        <v>1</v>
      </c>
      <c r="AG15" s="6">
        <f>IF(SUMIFS('Locations Data'!$C:$C,'Locations Data'!$G:$G,$B15,'Locations Data'!$B:$B,AG$5)&gt;0,1,0)</f>
        <v>1</v>
      </c>
      <c r="AH15" s="6">
        <f>IF(SUMIFS('Locations Data'!$C:$C,'Locations Data'!$G:$G,$B15,'Locations Data'!$B:$B,AH$5)&gt;0,1,0)</f>
        <v>0</v>
      </c>
      <c r="AI15" s="6">
        <f>IF(SUMIFS('Locations Data'!$C:$C,'Locations Data'!$G:$G,$B15,'Locations Data'!$B:$B,AI$5)&gt;0,1,0)</f>
        <v>1</v>
      </c>
      <c r="AJ15" s="6">
        <f>IF(SUMIFS('Locations Data'!$C:$C,'Locations Data'!$G:$G,$B15,'Locations Data'!$B:$B,AJ$5)&gt;0,1,0)</f>
        <v>1</v>
      </c>
      <c r="AK15" s="6">
        <f>IF(SUMIFS('Locations Data'!$C:$C,'Locations Data'!$G:$G,$B15,'Locations Data'!$B:$B,AK$5)&gt;0,1,0)</f>
        <v>1</v>
      </c>
      <c r="AL15" s="6">
        <f>IF(SUMIFS('Locations Data'!$C:$C,'Locations Data'!$G:$G,$B15,'Locations Data'!$B:$B,AL$5)&gt;0,1,0)</f>
        <v>1</v>
      </c>
      <c r="AM15" s="6">
        <f>IF(SUMIFS('Locations Data'!$C:$C,'Locations Data'!$G:$G,$B15,'Locations Data'!$B:$B,AM$5)&gt;0,1,0)</f>
        <v>1</v>
      </c>
      <c r="AN15" s="6">
        <f>IF(SUMIFS('Locations Data'!$C:$C,'Locations Data'!$G:$G,$B15,'Locations Data'!$B:$B,AN$5)&gt;0,1,0)</f>
        <v>1</v>
      </c>
      <c r="AO15" s="6">
        <f>IF(SUMIFS('Locations Data'!$C:$C,'Locations Data'!$G:$G,$B15,'Locations Data'!$B:$B,AO$5)&gt;0,1,0)</f>
        <v>0</v>
      </c>
      <c r="AP15" s="6">
        <f>IF(SUMIFS('Locations Data'!$C:$C,'Locations Data'!$G:$G,$B15,'Locations Data'!$B:$B,AP$5)&gt;0,1,0)</f>
        <v>1</v>
      </c>
      <c r="AQ15" s="6">
        <f>IF(SUMIFS('Locations Data'!$C:$C,'Locations Data'!$G:$G,$B15,'Locations Data'!$B:$B,AQ$5)&gt;0,1,0)</f>
        <v>1</v>
      </c>
      <c r="AR15" s="6">
        <f>IF(SUMIFS('Locations Data'!$C:$C,'Locations Data'!$G:$G,$B15,'Locations Data'!$B:$B,AR$5)&gt;0,1,0)</f>
        <v>1</v>
      </c>
      <c r="AS15" s="6">
        <f>IF(SUMIFS('Locations Data'!$C:$C,'Locations Data'!$G:$G,$B15,'Locations Data'!$B:$B,AS$5)&gt;0,1,0)</f>
        <v>1</v>
      </c>
      <c r="AT15" s="6">
        <f>IF(SUMIFS('Locations Data'!$C:$C,'Locations Data'!$G:$G,$B15,'Locations Data'!$B:$B,AT$5)&gt;0,1,0)</f>
        <v>1</v>
      </c>
      <c r="AU15" s="6">
        <f>IF(SUMIFS('Locations Data'!$C:$C,'Locations Data'!$G:$G,$B15,'Locations Data'!$B:$B,AU$5)&gt;0,1,0)</f>
        <v>1</v>
      </c>
      <c r="AV15" s="6">
        <f>IF(SUMIFS('Locations Data'!$C:$C,'Locations Data'!$G:$G,$B15,'Locations Data'!$B:$B,AV$5)&gt;0,1,0)</f>
        <v>0</v>
      </c>
      <c r="AW15" s="6">
        <f>IF(SUMIFS('Locations Data'!$C:$C,'Locations Data'!$G:$G,$B15,'Locations Data'!$B:$B,AW$5)&gt;0,1,0)</f>
        <v>1</v>
      </c>
      <c r="AX15" s="6">
        <f>IF(SUMIFS('Locations Data'!$C:$C,'Locations Data'!$G:$G,$B15,'Locations Data'!$B:$B,AX$5)&gt;0,1,0)</f>
        <v>1</v>
      </c>
      <c r="AY15" s="6">
        <f>IF(SUMIFS('Locations Data'!$C:$C,'Locations Data'!$G:$G,$B15,'Locations Data'!$B:$B,AY$5)&gt;0,1,0)</f>
        <v>1</v>
      </c>
      <c r="AZ15" s="6">
        <f>IF(SUMIFS('Locations Data'!$C:$C,'Locations Data'!$G:$G,$B15,'Locations Data'!$B:$B,AZ$5)&gt;0,1,0)</f>
        <v>1</v>
      </c>
      <c r="BA15" s="6">
        <f>IF(SUMIFS('Locations Data'!$C:$C,'Locations Data'!$G:$G,$B15,'Locations Data'!$B:$B,BA$5)&gt;0,1,0)</f>
        <v>1</v>
      </c>
      <c r="BB15" s="6">
        <f>IF(SUMIFS('Locations Data'!$C:$C,'Locations Data'!$G:$G,$B15,'Locations Data'!$B:$B,BB$5)&gt;0,1,0)</f>
        <v>1</v>
      </c>
      <c r="BC15" s="6">
        <f>IF(SUMIFS('Locations Data'!$C:$C,'Locations Data'!$G:$G,$B15,'Locations Data'!$B:$B,BC$5)&gt;0,1,0)</f>
        <v>0</v>
      </c>
      <c r="BD15" s="6">
        <f>IF(SUMIFS('Locations Data'!$C:$C,'Locations Data'!$G:$G,$B15,'Locations Data'!$B:$B,BD$5)&gt;0,1,0)</f>
        <v>1</v>
      </c>
      <c r="BE15" s="6">
        <f>IF(SUMIFS('Locations Data'!$C:$C,'Locations Data'!$G:$G,$B15,'Locations Data'!$B:$B,BE$5)&gt;0,1,0)</f>
        <v>1</v>
      </c>
      <c r="BF15" s="6">
        <f>IF(SUMIFS('Locations Data'!$C:$C,'Locations Data'!$G:$G,$B15,'Locations Data'!$B:$B,BF$5)&gt;0,1,0)</f>
        <v>1</v>
      </c>
      <c r="BG15" s="6">
        <f>IF(SUMIFS('Locations Data'!$C:$C,'Locations Data'!$G:$G,$B15,'Locations Data'!$B:$B,BG$5)&gt;0,1,0)</f>
        <v>1</v>
      </c>
      <c r="BH15" s="6">
        <f>IF(SUMIFS('Locations Data'!$C:$C,'Locations Data'!$G:$G,$B15,'Locations Data'!$B:$B,BH$5)&gt;0,1,0)</f>
        <v>1</v>
      </c>
      <c r="BI15" s="6">
        <f>IF(SUMIFS('Locations Data'!$C:$C,'Locations Data'!$G:$G,$B15,'Locations Data'!$B:$B,BI$5)&gt;0,1,0)</f>
        <v>1</v>
      </c>
      <c r="BJ15" s="6">
        <f>IF(SUMIFS('Locations Data'!$C:$C,'Locations Data'!$G:$G,$B15,'Locations Data'!$B:$B,BJ$5)&gt;0,1,0)</f>
        <v>0</v>
      </c>
      <c r="BK15" s="6">
        <f>IF(SUMIFS('Locations Data'!$C:$C,'Locations Data'!$G:$G,$B15,'Locations Data'!$B:$B,BK$5)&gt;0,1,0)</f>
        <v>1</v>
      </c>
      <c r="BL15" s="6">
        <f>IF(SUMIFS('Locations Data'!$C:$C,'Locations Data'!$G:$G,$B15,'Locations Data'!$B:$B,BL$5)&gt;0,1,0)</f>
        <v>1</v>
      </c>
      <c r="BM15" s="6">
        <f>IF(SUMIFS('Locations Data'!$C:$C,'Locations Data'!$G:$G,$B15,'Locations Data'!$B:$B,BM$5)&gt;0,1,0)</f>
        <v>1</v>
      </c>
      <c r="BN15" s="6">
        <f>IF(SUMIFS('Locations Data'!$C:$C,'Locations Data'!$G:$G,$B15,'Locations Data'!$B:$B,BN$5)&gt;0,1,0)</f>
        <v>1</v>
      </c>
      <c r="BO15" s="6">
        <f>IF(SUMIFS('Locations Data'!$C:$C,'Locations Data'!$G:$G,$B15,'Locations Data'!$B:$B,BO$5)&gt;0,1,0)</f>
        <v>1</v>
      </c>
      <c r="BP15" s="6">
        <f>IF(SUMIFS('Locations Data'!$C:$C,'Locations Data'!$G:$G,$B15,'Locations Data'!$B:$B,BP$5)&gt;0,1,0)</f>
        <v>1</v>
      </c>
      <c r="BQ15" s="6">
        <f>IF(SUMIFS('Locations Data'!$C:$C,'Locations Data'!$G:$G,$B15,'Locations Data'!$B:$B,BQ$5)&gt;0,1,0)</f>
        <v>0</v>
      </c>
      <c r="BR15" s="6">
        <f>IF(SUMIFS('Locations Data'!$C:$C,'Locations Data'!$G:$G,$B15,'Locations Data'!$B:$B,BR$5)&gt;0,1,0)</f>
        <v>1</v>
      </c>
      <c r="BS15" s="6">
        <f>IF(SUMIFS('Locations Data'!$C:$C,'Locations Data'!$G:$G,$B15,'Locations Data'!$B:$B,BS$5)&gt;0,1,0)</f>
        <v>1</v>
      </c>
      <c r="BT15" s="6">
        <f>IF(SUMIFS('Locations Data'!$C:$C,'Locations Data'!$G:$G,$B15,'Locations Data'!$B:$B,BT$5)&gt;0,1,0)</f>
        <v>1</v>
      </c>
      <c r="BU15" s="6">
        <f>IF(SUMIFS('Locations Data'!$C:$C,'Locations Data'!$G:$G,$B15,'Locations Data'!$B:$B,BU$5)&gt;0,1,0)</f>
        <v>1</v>
      </c>
      <c r="BV15" s="6">
        <f>IF(SUMIFS('Locations Data'!$C:$C,'Locations Data'!$G:$G,$B15,'Locations Data'!$B:$B,BV$5)&gt;0,1,0)</f>
        <v>1</v>
      </c>
      <c r="BW15" s="6">
        <f>IF(SUMIFS('Locations Data'!$C:$C,'Locations Data'!$G:$G,$B15,'Locations Data'!$B:$B,BW$5)&gt;0,1,0)</f>
        <v>1</v>
      </c>
      <c r="BX15" s="6">
        <f>IF(SUMIFS('Locations Data'!$C:$C,'Locations Data'!$G:$G,$B15,'Locations Data'!$B:$B,BX$5)&gt;0,1,0)</f>
        <v>0</v>
      </c>
      <c r="BY15" s="6">
        <f>IF(SUMIFS('Locations Data'!$C:$C,'Locations Data'!$G:$G,$B15,'Locations Data'!$B:$B,BY$5)&gt;0,1,0)</f>
        <v>1</v>
      </c>
      <c r="BZ15" s="6">
        <f>IF(SUMIFS('Locations Data'!$C:$C,'Locations Data'!$G:$G,$B15,'Locations Data'!$B:$B,BZ$5)&gt;0,1,0)</f>
        <v>1</v>
      </c>
      <c r="CA15" s="6">
        <f>IF(SUMIFS('Locations Data'!$C:$C,'Locations Data'!$G:$G,$B15,'Locations Data'!$B:$B,CA$5)&gt;0,1,0)</f>
        <v>1</v>
      </c>
      <c r="CB15" s="6">
        <f>IF(SUMIFS('Locations Data'!$C:$C,'Locations Data'!$G:$G,$B15,'Locations Data'!$B:$B,CB$5)&gt;0,1,0)</f>
        <v>1</v>
      </c>
      <c r="CC15" s="6">
        <f>IF(SUMIFS('Locations Data'!$C:$C,'Locations Data'!$G:$G,$B15,'Locations Data'!$B:$B,CC$5)&gt;0,1,0)</f>
        <v>1</v>
      </c>
      <c r="CD15" s="6">
        <f>IF(SUMIFS('Locations Data'!$C:$C,'Locations Data'!$G:$G,$B15,'Locations Data'!$B:$B,CD$5)&gt;0,1,0)</f>
        <v>1</v>
      </c>
      <c r="CE15" s="6">
        <f>IF(SUMIFS('Locations Data'!$C:$C,'Locations Data'!$G:$G,$B15,'Locations Data'!$B:$B,CE$5)&gt;0,1,0)</f>
        <v>0</v>
      </c>
      <c r="CF15" s="6">
        <f>IF(SUMIFS('Locations Data'!$C:$C,'Locations Data'!$G:$G,$B15,'Locations Data'!$B:$B,CF$5)&gt;0,1,0)</f>
        <v>1</v>
      </c>
      <c r="CG15" s="6">
        <f>IF(SUMIFS('Locations Data'!$C:$C,'Locations Data'!$G:$G,$B15,'Locations Data'!$B:$B,CG$5)&gt;0,1,0)</f>
        <v>1</v>
      </c>
      <c r="CH15" s="6">
        <f>IF(SUMIFS('Locations Data'!$C:$C,'Locations Data'!$G:$G,$B15,'Locations Data'!$B:$B,CH$5)&gt;0,1,0)</f>
        <v>1</v>
      </c>
      <c r="CI15" s="6">
        <f>IF(SUMIFS('Locations Data'!$C:$C,'Locations Data'!$G:$G,$B15,'Locations Data'!$B:$B,CI$5)&gt;0,1,0)</f>
        <v>1</v>
      </c>
      <c r="CJ15" s="6">
        <f>IF(SUMIFS('Locations Data'!$C:$C,'Locations Data'!$G:$G,$B15,'Locations Data'!$B:$B,CJ$5)&gt;0,1,0)</f>
        <v>1</v>
      </c>
      <c r="CK15" s="6">
        <f>IF(SUMIFS('Locations Data'!$C:$C,'Locations Data'!$G:$G,$B15,'Locations Data'!$B:$B,CK$5)&gt;0,1,0)</f>
        <v>1</v>
      </c>
      <c r="CL15" s="6">
        <f>IF(SUMIFS('Locations Data'!$C:$C,'Locations Data'!$G:$G,$B15,'Locations Data'!$B:$B,CL$5)&gt;0,1,0)</f>
        <v>0</v>
      </c>
      <c r="CM15" s="6">
        <f>IF(SUMIFS('Locations Data'!$C:$C,'Locations Data'!$G:$G,$B15,'Locations Data'!$B:$B,CM$5)&gt;0,1,0)</f>
        <v>1</v>
      </c>
      <c r="CN15" s="6">
        <f>IF(SUMIFS('Locations Data'!$C:$C,'Locations Data'!$G:$G,$B15,'Locations Data'!$B:$B,CN$5)&gt;0,1,0)</f>
        <v>1</v>
      </c>
      <c r="CO15" s="6">
        <f>IF(SUMIFS('Locations Data'!$C:$C,'Locations Data'!$G:$G,$B15,'Locations Data'!$B:$B,CO$5)&gt;0,1,0)</f>
        <v>1</v>
      </c>
      <c r="CP15" s="6">
        <f>IF(SUMIFS('Locations Data'!$C:$C,'Locations Data'!$G:$G,$B15,'Locations Data'!$B:$B,CP$5)&gt;0,1,0)</f>
        <v>1</v>
      </c>
      <c r="CQ15" s="6">
        <f>IF(SUMIFS('Locations Data'!$C:$C,'Locations Data'!$G:$G,$B15,'Locations Data'!$B:$B,CQ$5)&gt;0,1,0)</f>
        <v>1</v>
      </c>
      <c r="CR15" s="6">
        <f>IF(SUMIFS('Locations Data'!$C:$C,'Locations Data'!$G:$G,$B15,'Locations Data'!$B:$B,CR$5)&gt;0,1,0)</f>
        <v>1</v>
      </c>
      <c r="CS15" s="6">
        <f>IF(SUMIFS('Locations Data'!$C:$C,'Locations Data'!$G:$G,$B15,'Locations Data'!$B:$B,CS$5)&gt;0,1,0)</f>
        <v>0</v>
      </c>
      <c r="CT15" s="6">
        <f>IF(SUMIFS('Locations Data'!$C:$C,'Locations Data'!$G:$G,$B15,'Locations Data'!$B:$B,CT$5)&gt;0,1,0)</f>
        <v>1</v>
      </c>
      <c r="CU15" s="6">
        <f>IF(SUMIFS('Locations Data'!$C:$C,'Locations Data'!$G:$G,$B15,'Locations Data'!$B:$B,CU$5)&gt;0,1,0)</f>
        <v>1</v>
      </c>
      <c r="CV15" s="6">
        <f>IF(SUMIFS('Locations Data'!$C:$C,'Locations Data'!$G:$G,$B15,'Locations Data'!$B:$B,CV$5)&gt;0,1,0)</f>
        <v>1</v>
      </c>
      <c r="CW15" s="6">
        <f>IF(SUMIFS('Locations Data'!$C:$C,'Locations Data'!$G:$G,$B15,'Locations Data'!$B:$B,CW$5)&gt;0,1,0)</f>
        <v>1</v>
      </c>
      <c r="CX15" s="6">
        <f>IF(SUMIFS('Locations Data'!$C:$C,'Locations Data'!$G:$G,$B15,'Locations Data'!$B:$B,CX$5)&gt;0,1,0)</f>
        <v>1</v>
      </c>
      <c r="CY15" s="6">
        <f>IF(SUMIFS('Locations Data'!$C:$C,'Locations Data'!$G:$G,$B15,'Locations Data'!$B:$B,CY$5)&gt;0,1,0)</f>
        <v>1</v>
      </c>
      <c r="CZ15" s="6">
        <f>IF(SUMIFS('Locations Data'!$C:$C,'Locations Data'!$G:$G,$B15,'Locations Data'!$B:$B,CZ$5)&gt;0,1,0)</f>
        <v>0</v>
      </c>
      <c r="DA15" s="6">
        <f>IF(SUMIFS('Locations Data'!$C:$C,'Locations Data'!$G:$G,$B15,'Locations Data'!$B:$B,DA$5)&gt;0,1,0)</f>
        <v>1</v>
      </c>
      <c r="DB15" s="6">
        <f>IF(SUMIFS('Locations Data'!$C:$C,'Locations Data'!$G:$G,$B15,'Locations Data'!$B:$B,DB$5)&gt;0,1,0)</f>
        <v>1</v>
      </c>
      <c r="DC15" s="6">
        <f>IF(SUMIFS('Locations Data'!$C:$C,'Locations Data'!$G:$G,$B15,'Locations Data'!$B:$B,DC$5)&gt;0,1,0)</f>
        <v>1</v>
      </c>
      <c r="DD15" s="6">
        <f>IF(SUMIFS('Locations Data'!$C:$C,'Locations Data'!$G:$G,$B15,'Locations Data'!$B:$B,DD$5)&gt;0,1,0)</f>
        <v>1</v>
      </c>
      <c r="DE15" s="6">
        <f>IF(SUMIFS('Locations Data'!$C:$C,'Locations Data'!$G:$G,$B15,'Locations Data'!$B:$B,DE$5)&gt;0,1,0)</f>
        <v>1</v>
      </c>
      <c r="DF15" s="6">
        <f>IF(SUMIFS('Locations Data'!$C:$C,'Locations Data'!$G:$G,$B15,'Locations Data'!$B:$B,DF$5)&gt;0,1,0)</f>
        <v>1</v>
      </c>
      <c r="DG15" s="6">
        <f>IF(SUMIFS('Locations Data'!$C:$C,'Locations Data'!$G:$G,$B15,'Locations Data'!$B:$B,DG$5)&gt;0,1,0)</f>
        <v>0</v>
      </c>
      <c r="DH15" s="6">
        <f>IF(SUMIFS('Locations Data'!$C:$C,'Locations Data'!$G:$G,$B15,'Locations Data'!$B:$B,DH$5)&gt;0,1,0)</f>
        <v>1</v>
      </c>
      <c r="DI15" s="6">
        <f>IF(SUMIFS('Locations Data'!$C:$C,'Locations Data'!$G:$G,$B15,'Locations Data'!$B:$B,DI$5)&gt;0,1,0)</f>
        <v>1</v>
      </c>
      <c r="DJ15" s="6">
        <f>IF(SUMIFS('Locations Data'!$C:$C,'Locations Data'!$G:$G,$B15,'Locations Data'!$B:$B,DJ$5)&gt;0,1,0)</f>
        <v>1</v>
      </c>
      <c r="DK15" s="6">
        <f>IF(SUMIFS('Locations Data'!$C:$C,'Locations Data'!$G:$G,$B15,'Locations Data'!$B:$B,DK$5)&gt;0,1,0)</f>
        <v>1</v>
      </c>
      <c r="DL15" s="6">
        <f>IF(SUMIFS('Locations Data'!$C:$C,'Locations Data'!$G:$G,$B15,'Locations Data'!$B:$B,DL$5)&gt;0,1,0)</f>
        <v>1</v>
      </c>
      <c r="DM15" s="6">
        <f>IF(SUMIFS('Locations Data'!$C:$C,'Locations Data'!$G:$G,$B15,'Locations Data'!$B:$B,DM$5)&gt;0,1,0)</f>
        <v>1</v>
      </c>
      <c r="DN15" s="6">
        <f>IF(SUMIFS('Locations Data'!$C:$C,'Locations Data'!$G:$G,$B15,'Locations Data'!$B:$B,DN$5)&gt;0,1,0)</f>
        <v>0</v>
      </c>
      <c r="DO15" s="6">
        <f>IF(SUMIFS('Locations Data'!$C:$C,'Locations Data'!$G:$G,$B15,'Locations Data'!$B:$B,DO$5)&gt;0,1,0)</f>
        <v>1</v>
      </c>
      <c r="DP15" s="6">
        <f>IF(SUMIFS('Locations Data'!$C:$C,'Locations Data'!$G:$G,$B15,'Locations Data'!$B:$B,DP$5)&gt;0,1,0)</f>
        <v>1</v>
      </c>
      <c r="DQ15" s="6">
        <f>IF(SUMIFS('Locations Data'!$C:$C,'Locations Data'!$G:$G,$B15,'Locations Data'!$B:$B,DQ$5)&gt;0,1,0)</f>
        <v>1</v>
      </c>
      <c r="DR15" s="6">
        <f>IF(SUMIFS('Locations Data'!$C:$C,'Locations Data'!$G:$G,$B15,'Locations Data'!$B:$B,DR$5)&gt;0,1,0)</f>
        <v>1</v>
      </c>
      <c r="DS15" s="6">
        <f>IF(SUMIFS('Locations Data'!$C:$C,'Locations Data'!$G:$G,$B15,'Locations Data'!$B:$B,DS$5)&gt;0,1,0)</f>
        <v>1</v>
      </c>
      <c r="DT15" s="6">
        <f>IF(SUMIFS('Locations Data'!$C:$C,'Locations Data'!$G:$G,$B15,'Locations Data'!$B:$B,DT$5)&gt;0,1,0)</f>
        <v>1</v>
      </c>
      <c r="DU15" s="6">
        <f>IF(SUMIFS('Locations Data'!$C:$C,'Locations Data'!$G:$G,$B15,'Locations Data'!$B:$B,DU$5)&gt;0,1,0)</f>
        <v>0</v>
      </c>
      <c r="DV15" s="6">
        <f>IF(SUMIFS('Locations Data'!$C:$C,'Locations Data'!$G:$G,$B15,'Locations Data'!$B:$B,DV$5)&gt;0,1,0)</f>
        <v>1</v>
      </c>
      <c r="DW15" s="6">
        <f>IF(SUMIFS('Locations Data'!$C:$C,'Locations Data'!$G:$G,$B15,'Locations Data'!$B:$B,DW$5)&gt;0,1,0)</f>
        <v>1</v>
      </c>
      <c r="DX15" s="6">
        <f>IF(SUMIFS('Locations Data'!$C:$C,'Locations Data'!$G:$G,$B15,'Locations Data'!$B:$B,DX$5)&gt;0,1,0)</f>
        <v>1</v>
      </c>
      <c r="DY15" s="6">
        <f>IF(SUMIFS('Locations Data'!$C:$C,'Locations Data'!$G:$G,$B15,'Locations Data'!$B:$B,DY$5)&gt;0,1,0)</f>
        <v>1</v>
      </c>
      <c r="DZ15" s="6">
        <f>IF(SUMIFS('Locations Data'!$C:$C,'Locations Data'!$G:$G,$B15,'Locations Data'!$B:$B,DZ$5)&gt;0,1,0)</f>
        <v>1</v>
      </c>
      <c r="EA15" s="6">
        <f>IF(SUMIFS('Locations Data'!$C:$C,'Locations Data'!$G:$G,$B15,'Locations Data'!$B:$B,EA$5)&gt;0,1,0)</f>
        <v>1</v>
      </c>
      <c r="EB15" s="6">
        <f>IF(SUMIFS('Locations Data'!$C:$C,'Locations Data'!$G:$G,$B15,'Locations Data'!$B:$B,EB$5)&gt;0,1,0)</f>
        <v>0</v>
      </c>
      <c r="EC15" s="6">
        <f>IF(SUMIFS('Locations Data'!$C:$C,'Locations Data'!$G:$G,$B15,'Locations Data'!$B:$B,EC$5)&gt;0,1,0)</f>
        <v>1</v>
      </c>
      <c r="ED15" s="6">
        <f>IF(SUMIFS('Locations Data'!$C:$C,'Locations Data'!$G:$G,$B15,'Locations Data'!$B:$B,ED$5)&gt;0,1,0)</f>
        <v>1</v>
      </c>
      <c r="EE15" s="6">
        <f>IF(SUMIFS('Locations Data'!$C:$C,'Locations Data'!$G:$G,$B15,'Locations Data'!$B:$B,EE$5)&gt;0,1,0)</f>
        <v>1</v>
      </c>
      <c r="EF15" s="6">
        <f>IF(SUMIFS('Locations Data'!$C:$C,'Locations Data'!$G:$G,$B15,'Locations Data'!$B:$B,EF$5)&gt;0,1,0)</f>
        <v>1</v>
      </c>
      <c r="EG15" s="6">
        <f>IF(SUMIFS('Locations Data'!$C:$C,'Locations Data'!$G:$G,$B15,'Locations Data'!$B:$B,EG$5)&gt;0,1,0)</f>
        <v>1</v>
      </c>
      <c r="EH15" s="6">
        <f>IF(SUMIFS('Locations Data'!$C:$C,'Locations Data'!$G:$G,$B15,'Locations Data'!$B:$B,EH$5)&gt;0,1,0)</f>
        <v>1</v>
      </c>
      <c r="EI15" s="6">
        <f>IF(SUMIFS('Locations Data'!$C:$C,'Locations Data'!$G:$G,$B15,'Locations Data'!$B:$B,EI$5)&gt;0,1,0)</f>
        <v>0</v>
      </c>
      <c r="EJ15" s="6">
        <f>IF(SUMIFS('Locations Data'!$C:$C,'Locations Data'!$G:$G,$B15,'Locations Data'!$B:$B,EJ$5)&gt;0,1,0)</f>
        <v>1</v>
      </c>
      <c r="EK15" s="6">
        <f>IF(SUMIFS('Locations Data'!$C:$C,'Locations Data'!$G:$G,$B15,'Locations Data'!$B:$B,EK$5)&gt;0,1,0)</f>
        <v>1</v>
      </c>
      <c r="EL15" s="6">
        <f>IF(SUMIFS('Locations Data'!$C:$C,'Locations Data'!$G:$G,$B15,'Locations Data'!$B:$B,EL$5)&gt;0,1,0)</f>
        <v>1</v>
      </c>
      <c r="EM15" s="6">
        <f>IF(SUMIFS('Locations Data'!$C:$C,'Locations Data'!$G:$G,$B15,'Locations Data'!$B:$B,EM$5)&gt;0,1,0)</f>
        <v>1</v>
      </c>
      <c r="EN15" s="6">
        <f>IF(SUMIFS('Locations Data'!$C:$C,'Locations Data'!$G:$G,$B15,'Locations Data'!$B:$B,EN$5)&gt;0,1,0)</f>
        <v>1</v>
      </c>
      <c r="EO15" s="6">
        <f>IF(SUMIFS('Locations Data'!$C:$C,'Locations Data'!$G:$G,$B15,'Locations Data'!$B:$B,EO$5)&gt;0,1,0)</f>
        <v>1</v>
      </c>
      <c r="EP15" s="6">
        <f>IF(SUMIFS('Locations Data'!$C:$C,'Locations Data'!$G:$G,$B15,'Locations Data'!$B:$B,EP$5)&gt;0,1,0)</f>
        <v>0</v>
      </c>
      <c r="EQ15" s="6">
        <f>IF(SUMIFS('Locations Data'!$C:$C,'Locations Data'!$G:$G,$B15,'Locations Data'!$B:$B,EQ$5)&gt;0,1,0)</f>
        <v>1</v>
      </c>
      <c r="ER15" s="6">
        <f>IF(SUMIFS('Locations Data'!$C:$C,'Locations Data'!$G:$G,$B15,'Locations Data'!$B:$B,ER$5)&gt;0,1,0)</f>
        <v>1</v>
      </c>
      <c r="ES15" s="6">
        <f>IF(SUMIFS('Locations Data'!$C:$C,'Locations Data'!$G:$G,$B15,'Locations Data'!$B:$B,ES$5)&gt;0,1,0)</f>
        <v>1</v>
      </c>
      <c r="ET15" s="6">
        <f>IF(SUMIFS('Locations Data'!$C:$C,'Locations Data'!$G:$G,$B15,'Locations Data'!$B:$B,ET$5)&gt;0,1,0)</f>
        <v>1</v>
      </c>
      <c r="EU15" s="6">
        <f>IF(SUMIFS('Locations Data'!$C:$C,'Locations Data'!$G:$G,$B15,'Locations Data'!$B:$B,EU$5)&gt;0,1,0)</f>
        <v>1</v>
      </c>
      <c r="EV15" s="6">
        <f>IF(SUMIFS('Locations Data'!$C:$C,'Locations Data'!$G:$G,$B15,'Locations Data'!$B:$B,EV$5)&gt;0,1,0)</f>
        <v>1</v>
      </c>
      <c r="EW15" s="6">
        <f>IF(SUMIFS('Locations Data'!$C:$C,'Locations Data'!$G:$G,$B15,'Locations Data'!$B:$B,EW$5)&gt;0,1,0)</f>
        <v>0</v>
      </c>
      <c r="EX15" s="6">
        <f>IF(SUMIFS('Locations Data'!$C:$C,'Locations Data'!$G:$G,$B15,'Locations Data'!$B:$B,EX$5)&gt;0,1,0)</f>
        <v>1</v>
      </c>
      <c r="EY15" s="6">
        <f>IF(SUMIFS('Locations Data'!$C:$C,'Locations Data'!$G:$G,$B15,'Locations Data'!$B:$B,EY$5)&gt;0,1,0)</f>
        <v>1</v>
      </c>
      <c r="EZ15" s="6">
        <f>IF(SUMIFS('Locations Data'!$C:$C,'Locations Data'!$G:$G,$B15,'Locations Data'!$B:$B,EZ$5)&gt;0,1,0)</f>
        <v>1</v>
      </c>
      <c r="FA15" s="6">
        <f>IF(SUMIFS('Locations Data'!$C:$C,'Locations Data'!$G:$G,$B15,'Locations Data'!$B:$B,FA$5)&gt;0,1,0)</f>
        <v>1</v>
      </c>
      <c r="FB15" s="6">
        <f>IF(SUMIFS('Locations Data'!$C:$C,'Locations Data'!$G:$G,$B15,'Locations Data'!$B:$B,FB$5)&gt;0,1,0)</f>
        <v>1</v>
      </c>
      <c r="FC15" s="6">
        <f>IF(SUMIFS('Locations Data'!$C:$C,'Locations Data'!$G:$G,$B15,'Locations Data'!$B:$B,FC$5)&gt;0,1,0)</f>
        <v>1</v>
      </c>
      <c r="FD15" s="6">
        <f>IF(SUMIFS('Locations Data'!$C:$C,'Locations Data'!$G:$G,$B15,'Locations Data'!$B:$B,FD$5)&gt;0,1,0)</f>
        <v>0</v>
      </c>
      <c r="FE15" s="6">
        <f>IF(SUMIFS('Locations Data'!$C:$C,'Locations Data'!$G:$G,$B15,'Locations Data'!$B:$B,FE$5)&gt;0,1,0)</f>
        <v>1</v>
      </c>
      <c r="FF15" s="6">
        <f>IF(SUMIFS('Locations Data'!$C:$C,'Locations Data'!$G:$G,$B15,'Locations Data'!$B:$B,FF$5)&gt;0,1,0)</f>
        <v>1</v>
      </c>
      <c r="FG15" s="6">
        <f>IF(SUMIFS('Locations Data'!$C:$C,'Locations Data'!$G:$G,$B15,'Locations Data'!$B:$B,FG$5)&gt;0,1,0)</f>
        <v>1</v>
      </c>
      <c r="FH15" s="6">
        <f>IF(SUMIFS('Locations Data'!$C:$C,'Locations Data'!$G:$G,$B15,'Locations Data'!$B:$B,FH$5)&gt;0,1,0)</f>
        <v>1</v>
      </c>
      <c r="FI15" s="6">
        <f>IF(SUMIFS('Locations Data'!$C:$C,'Locations Data'!$G:$G,$B15,'Locations Data'!$B:$B,FI$5)&gt;0,1,0)</f>
        <v>1</v>
      </c>
      <c r="FJ15" s="6">
        <f>IF(SUMIFS('Locations Data'!$C:$C,'Locations Data'!$G:$G,$B15,'Locations Data'!$B:$B,FJ$5)&gt;0,1,0)</f>
        <v>1</v>
      </c>
      <c r="FK15" s="6">
        <f>IF(SUMIFS('Locations Data'!$C:$C,'Locations Data'!$G:$G,$B15,'Locations Data'!$B:$B,FK$5)&gt;0,1,0)</f>
        <v>0</v>
      </c>
      <c r="FL15" s="6">
        <f>IF(SUMIFS('Locations Data'!$C:$C,'Locations Data'!$G:$G,$B15,'Locations Data'!$B:$B,FL$5)&gt;0,1,0)</f>
        <v>1</v>
      </c>
      <c r="FM15" s="6">
        <f>IF(SUMIFS('Locations Data'!$C:$C,'Locations Data'!$G:$G,$B15,'Locations Data'!$B:$B,FM$5)&gt;0,1,0)</f>
        <v>1</v>
      </c>
      <c r="FN15" s="6">
        <f>IF(SUMIFS('Locations Data'!$C:$C,'Locations Data'!$G:$G,$B15,'Locations Data'!$B:$B,FN$5)&gt;0,1,0)</f>
        <v>1</v>
      </c>
      <c r="FO15" s="6">
        <f>IF(SUMIFS('Locations Data'!$C:$C,'Locations Data'!$G:$G,$B15,'Locations Data'!$B:$B,FO$5)&gt;0,1,0)</f>
        <v>1</v>
      </c>
      <c r="FP15" s="6">
        <f>IF(SUMIFS('Locations Data'!$C:$C,'Locations Data'!$G:$G,$B15,'Locations Data'!$B:$B,FP$5)&gt;0,1,0)</f>
        <v>1</v>
      </c>
      <c r="FQ15" s="6">
        <f>IF(SUMIFS('Locations Data'!$C:$C,'Locations Data'!$G:$G,$B15,'Locations Data'!$B:$B,FQ$5)&gt;0,1,0)</f>
        <v>1</v>
      </c>
      <c r="FR15" s="6">
        <f>IF(SUMIFS('Locations Data'!$C:$C,'Locations Data'!$G:$G,$B15,'Locations Data'!$B:$B,FR$5)&gt;0,1,0)</f>
        <v>0</v>
      </c>
      <c r="FS15" s="6">
        <f>IF(SUMIFS('Locations Data'!$C:$C,'Locations Data'!$G:$G,$B15,'Locations Data'!$B:$B,FS$5)&gt;0,1,0)</f>
        <v>1</v>
      </c>
      <c r="FT15" s="6">
        <f>IF(SUMIFS('Locations Data'!$C:$C,'Locations Data'!$G:$G,$B15,'Locations Data'!$B:$B,FT$5)&gt;0,1,0)</f>
        <v>1</v>
      </c>
      <c r="FU15" s="6">
        <f>IF(SUMIFS('Locations Data'!$C:$C,'Locations Data'!$G:$G,$B15,'Locations Data'!$B:$B,FU$5)&gt;0,1,0)</f>
        <v>1</v>
      </c>
      <c r="FV15" s="6">
        <f>IF(SUMIFS('Locations Data'!$C:$C,'Locations Data'!$G:$G,$B15,'Locations Data'!$B:$B,FV$5)&gt;0,1,0)</f>
        <v>1</v>
      </c>
      <c r="FW15" s="6">
        <f>IF(SUMIFS('Locations Data'!$C:$C,'Locations Data'!$G:$G,$B15,'Locations Data'!$B:$B,FW$5)&gt;0,1,0)</f>
        <v>1</v>
      </c>
      <c r="FX15" s="6">
        <f>IF(SUMIFS('Locations Data'!$C:$C,'Locations Data'!$G:$G,$B15,'Locations Data'!$B:$B,FX$5)&gt;0,1,0)</f>
        <v>1</v>
      </c>
      <c r="FY15" s="6">
        <f>IF(SUMIFS('Locations Data'!$C:$C,'Locations Data'!$G:$G,$B15,'Locations Data'!$B:$B,FY$5)&gt;0,1,0)</f>
        <v>0</v>
      </c>
      <c r="FZ15" s="6">
        <f>IF(SUMIFS('Locations Data'!$C:$C,'Locations Data'!$G:$G,$B15,'Locations Data'!$B:$B,FZ$5)&gt;0,1,0)</f>
        <v>1</v>
      </c>
      <c r="GA15" s="6">
        <f>IF(SUMIFS('Locations Data'!$C:$C,'Locations Data'!$G:$G,$B15,'Locations Data'!$B:$B,GA$5)&gt;0,1,0)</f>
        <v>1</v>
      </c>
      <c r="GB15" s="6">
        <f>IF(SUMIFS('Locations Data'!$C:$C,'Locations Data'!$G:$G,$B15,'Locations Data'!$B:$B,GB$5)&gt;0,1,0)</f>
        <v>1</v>
      </c>
      <c r="GC15" s="6">
        <f>IF(SUMIFS('Locations Data'!$C:$C,'Locations Data'!$G:$G,$B15,'Locations Data'!$B:$B,GC$5)&gt;0,1,0)</f>
        <v>1</v>
      </c>
      <c r="GD15" s="6">
        <f>IF(SUMIFS('Locations Data'!$C:$C,'Locations Data'!$G:$G,$B15,'Locations Data'!$B:$B,GD$5)&gt;0,1,0)</f>
        <v>1</v>
      </c>
      <c r="GE15" s="6">
        <f>IF(SUMIFS('Locations Data'!$C:$C,'Locations Data'!$G:$G,$B15,'Locations Data'!$B:$B,GE$5)&gt;0,1,0)</f>
        <v>1</v>
      </c>
      <c r="GF15" s="6">
        <f>IF(SUMIFS('Locations Data'!$C:$C,'Locations Data'!$G:$G,$B15,'Locations Data'!$B:$B,GF$5)&gt;0,1,0)</f>
        <v>0</v>
      </c>
      <c r="GG15" s="6">
        <f>IF(SUMIFS('Locations Data'!$C:$C,'Locations Data'!$G:$G,$B15,'Locations Data'!$B:$B,GG$5)&gt;0,1,0)</f>
        <v>1</v>
      </c>
      <c r="GH15" s="6">
        <f>IF(SUMIFS('Locations Data'!$C:$C,'Locations Data'!$G:$G,$B15,'Locations Data'!$B:$B,GH$5)&gt;0,1,0)</f>
        <v>1</v>
      </c>
      <c r="GI15" s="6">
        <f>IF(SUMIFS('Locations Data'!$C:$C,'Locations Data'!$G:$G,$B15,'Locations Data'!$B:$B,GI$5)&gt;0,1,0)</f>
        <v>1</v>
      </c>
      <c r="GJ15" s="6">
        <f>IF(SUMIFS('Locations Data'!$C:$C,'Locations Data'!$G:$G,$B15,'Locations Data'!$B:$B,GJ$5)&gt;0,1,0)</f>
        <v>1</v>
      </c>
      <c r="GK15" s="6">
        <f>IF(SUMIFS('Locations Data'!$C:$C,'Locations Data'!$G:$G,$B15,'Locations Data'!$B:$B,GK$5)&gt;0,1,0)</f>
        <v>1</v>
      </c>
      <c r="GL15" s="6">
        <f>IF(SUMIFS('Locations Data'!$C:$C,'Locations Data'!$G:$G,$B15,'Locations Data'!$B:$B,GL$5)&gt;0,1,0)</f>
        <v>1</v>
      </c>
      <c r="GM15" s="6">
        <f>IF(SUMIFS('Locations Data'!$C:$C,'Locations Data'!$G:$G,$B15,'Locations Data'!$B:$B,GM$5)&gt;0,1,0)</f>
        <v>0</v>
      </c>
      <c r="GN15" s="6">
        <f>IF(SUMIFS('Locations Data'!$C:$C,'Locations Data'!$G:$G,$B15,'Locations Data'!$B:$B,GN$5)&gt;0,1,0)</f>
        <v>1</v>
      </c>
      <c r="GO15" s="6">
        <f>IF(SUMIFS('Locations Data'!$C:$C,'Locations Data'!$G:$G,$B15,'Locations Data'!$B:$B,GO$5)&gt;0,1,0)</f>
        <v>1</v>
      </c>
      <c r="GP15" s="6">
        <f>IF(SUMIFS('Locations Data'!$C:$C,'Locations Data'!$G:$G,$B15,'Locations Data'!$B:$B,GP$5)&gt;0,1,0)</f>
        <v>1</v>
      </c>
      <c r="GQ15" s="6">
        <f>IF(SUMIFS('Locations Data'!$C:$C,'Locations Data'!$G:$G,$B15,'Locations Data'!$B:$B,GQ$5)&gt;0,1,0)</f>
        <v>1</v>
      </c>
      <c r="GR15" s="6">
        <f>IF(SUMIFS('Locations Data'!$C:$C,'Locations Data'!$G:$G,$B15,'Locations Data'!$B:$B,GR$5)&gt;0,1,0)</f>
        <v>1</v>
      </c>
      <c r="GS15" s="6">
        <f>IF(SUMIFS('Locations Data'!$C:$C,'Locations Data'!$G:$G,$B15,'Locations Data'!$B:$B,GS$5)&gt;0,1,0)</f>
        <v>1</v>
      </c>
      <c r="GT15" s="6">
        <f>IF(SUMIFS('Locations Data'!$C:$C,'Locations Data'!$G:$G,$B15,'Locations Data'!$B:$B,GT$5)&gt;0,1,0)</f>
        <v>0</v>
      </c>
      <c r="GU15" s="6">
        <f>IF(SUMIFS('Locations Data'!$C:$C,'Locations Data'!$G:$G,$B15,'Locations Data'!$B:$B,GU$5)&gt;0,1,0)</f>
        <v>1</v>
      </c>
      <c r="GV15" s="6">
        <f>IF(SUMIFS('Locations Data'!$C:$C,'Locations Data'!$G:$G,$B15,'Locations Data'!$B:$B,GV$5)&gt;0,1,0)</f>
        <v>1</v>
      </c>
      <c r="GW15" s="6">
        <f>IF(SUMIFS('Locations Data'!$C:$C,'Locations Data'!$G:$G,$B15,'Locations Data'!$B:$B,GW$5)&gt;0,1,0)</f>
        <v>1</v>
      </c>
      <c r="GX15" s="6">
        <f>IF(SUMIFS('Locations Data'!$C:$C,'Locations Data'!$G:$G,$B15,'Locations Data'!$B:$B,GX$5)&gt;0,1,0)</f>
        <v>1</v>
      </c>
      <c r="GY15" s="6">
        <f>IF(SUMIFS('Locations Data'!$C:$C,'Locations Data'!$G:$G,$B15,'Locations Data'!$B:$B,GY$5)&gt;0,1,0)</f>
        <v>1</v>
      </c>
      <c r="GZ15" s="6">
        <f>IF(SUMIFS('Locations Data'!$C:$C,'Locations Data'!$G:$G,$B15,'Locations Data'!$B:$B,GZ$5)&gt;0,1,0)</f>
        <v>1</v>
      </c>
      <c r="HA15" s="6">
        <f>IF(SUMIFS('Locations Data'!$C:$C,'Locations Data'!$G:$G,$B15,'Locations Data'!$B:$B,HA$5)&gt;0,1,0)</f>
        <v>0</v>
      </c>
      <c r="HB15" s="6">
        <f>IF(SUMIFS('Locations Data'!$C:$C,'Locations Data'!$G:$G,$B15,'Locations Data'!$B:$B,HB$5)&gt;0,1,0)</f>
        <v>1</v>
      </c>
      <c r="HC15" s="6">
        <f>IF(SUMIFS('Locations Data'!$C:$C,'Locations Data'!$G:$G,$B15,'Locations Data'!$B:$B,HC$5)&gt;0,1,0)</f>
        <v>1</v>
      </c>
      <c r="HD15" s="6">
        <f>IF(SUMIFS('Locations Data'!$C:$C,'Locations Data'!$G:$G,$B15,'Locations Data'!$B:$B,HD$5)&gt;0,1,0)</f>
        <v>1</v>
      </c>
      <c r="HE15" s="6">
        <f>IF(SUMIFS('Locations Data'!$C:$C,'Locations Data'!$G:$G,$B15,'Locations Data'!$B:$B,HE$5)&gt;0,1,0)</f>
        <v>1</v>
      </c>
      <c r="HF15" s="6">
        <f>IF(SUMIFS('Locations Data'!$C:$C,'Locations Data'!$G:$G,$B15,'Locations Data'!$B:$B,HF$5)&gt;0,1,0)</f>
        <v>1</v>
      </c>
      <c r="HG15" s="6">
        <f>IF(SUMIFS('Locations Data'!$C:$C,'Locations Data'!$G:$G,$B15,'Locations Data'!$B:$B,HG$5)&gt;0,1,0)</f>
        <v>1</v>
      </c>
      <c r="HH15" s="6">
        <f>IF(SUMIFS('Locations Data'!$C:$C,'Locations Data'!$G:$G,$B15,'Locations Data'!$B:$B,HH$5)&gt;0,1,0)</f>
        <v>0</v>
      </c>
      <c r="HI15" s="6">
        <f>IF(SUMIFS('Locations Data'!$C:$C,'Locations Data'!$G:$G,$B15,'Locations Data'!$B:$B,HI$5)&gt;0,1,0)</f>
        <v>1</v>
      </c>
      <c r="HJ15" s="6">
        <f>IF(SUMIFS('Locations Data'!$C:$C,'Locations Data'!$G:$G,$B15,'Locations Data'!$B:$B,HJ$5)&gt;0,1,0)</f>
        <v>1</v>
      </c>
      <c r="HK15" s="6">
        <f>IF(SUMIFS('Locations Data'!$C:$C,'Locations Data'!$G:$G,$B15,'Locations Data'!$B:$B,HK$5)&gt;0,1,0)</f>
        <v>1</v>
      </c>
      <c r="HL15" s="6">
        <f>IF(SUMIFS('Locations Data'!$C:$C,'Locations Data'!$G:$G,$B15,'Locations Data'!$B:$B,HL$5)&gt;0,1,0)</f>
        <v>1</v>
      </c>
      <c r="HM15" s="6">
        <f>IF(SUMIFS('Locations Data'!$C:$C,'Locations Data'!$G:$G,$B15,'Locations Data'!$B:$B,HM$5)&gt;0,1,0)</f>
        <v>1</v>
      </c>
      <c r="HN15" s="6">
        <f>IF(SUMIFS('Locations Data'!$C:$C,'Locations Data'!$G:$G,$B15,'Locations Data'!$B:$B,HN$5)&gt;0,1,0)</f>
        <v>1</v>
      </c>
      <c r="HO15" s="6">
        <f>IF(SUMIFS('Locations Data'!$C:$C,'Locations Data'!$G:$G,$B15,'Locations Data'!$B:$B,HO$5)&gt;0,1,0)</f>
        <v>0</v>
      </c>
      <c r="HP15" s="6">
        <f>IF(SUMIFS('Locations Data'!$C:$C,'Locations Data'!$G:$G,$B15,'Locations Data'!$B:$B,HP$5)&gt;0,1,0)</f>
        <v>1</v>
      </c>
      <c r="HQ15" s="6">
        <f>IF(SUMIFS('Locations Data'!$C:$C,'Locations Data'!$G:$G,$B15,'Locations Data'!$B:$B,HQ$5)&gt;0,1,0)</f>
        <v>1</v>
      </c>
      <c r="HR15" s="6">
        <f>IF(SUMIFS('Locations Data'!$C:$C,'Locations Data'!$G:$G,$B15,'Locations Data'!$B:$B,HR$5)&gt;0,1,0)</f>
        <v>1</v>
      </c>
      <c r="HS15" s="6">
        <f>IF(SUMIFS('Locations Data'!$C:$C,'Locations Data'!$G:$G,$B15,'Locations Data'!$B:$B,HS$5)&gt;0,1,0)</f>
        <v>1</v>
      </c>
      <c r="HT15" s="6">
        <f>IF(SUMIFS('Locations Data'!$C:$C,'Locations Data'!$G:$G,$B15,'Locations Data'!$B:$B,HT$5)&gt;0,1,0)</f>
        <v>1</v>
      </c>
      <c r="HU15" s="6">
        <f>IF(SUMIFS('Locations Data'!$C:$C,'Locations Data'!$G:$G,$B15,'Locations Data'!$B:$B,HU$5)&gt;0,1,0)</f>
        <v>1</v>
      </c>
      <c r="HV15" s="6">
        <f>IF(SUMIFS('Locations Data'!$C:$C,'Locations Data'!$G:$G,$B15,'Locations Data'!$B:$B,HV$5)&gt;0,1,0)</f>
        <v>0</v>
      </c>
      <c r="HW15" s="6">
        <f>IF(SUMIFS('Locations Data'!$C:$C,'Locations Data'!$G:$G,$B15,'Locations Data'!$B:$B,HW$5)&gt;0,1,0)</f>
        <v>1</v>
      </c>
      <c r="HX15" s="6">
        <f>IF(SUMIFS('Locations Data'!$C:$C,'Locations Data'!$G:$G,$B15,'Locations Data'!$B:$B,HX$5)&gt;0,1,0)</f>
        <v>1</v>
      </c>
      <c r="HY15" s="6">
        <f>IF(SUMIFS('Locations Data'!$C:$C,'Locations Data'!$G:$G,$B15,'Locations Data'!$B:$B,HY$5)&gt;0,1,0)</f>
        <v>1</v>
      </c>
      <c r="HZ15" s="6">
        <f>IF(SUMIFS('Locations Data'!$C:$C,'Locations Data'!$G:$G,$B15,'Locations Data'!$B:$B,HZ$5)&gt;0,1,0)</f>
        <v>1</v>
      </c>
      <c r="IA15" s="6">
        <f>IF(SUMIFS('Locations Data'!$C:$C,'Locations Data'!$G:$G,$B15,'Locations Data'!$B:$B,IA$5)&gt;0,1,0)</f>
        <v>1</v>
      </c>
      <c r="IB15" s="6">
        <f>IF(SUMIFS('Locations Data'!$C:$C,'Locations Data'!$G:$G,$B15,'Locations Data'!$B:$B,IB$5)&gt;0,1,0)</f>
        <v>1</v>
      </c>
      <c r="IC15" s="6">
        <f>IF(SUMIFS('Locations Data'!$C:$C,'Locations Data'!$G:$G,$B15,'Locations Data'!$B:$B,IC$5)&gt;0,1,0)</f>
        <v>0</v>
      </c>
      <c r="ID15" s="6">
        <f>IF(SUMIFS('Locations Data'!$C:$C,'Locations Data'!$G:$G,$B15,'Locations Data'!$B:$B,ID$5)&gt;0,1,0)</f>
        <v>1</v>
      </c>
      <c r="IE15" s="6">
        <f>IF(SUMIFS('Locations Data'!$C:$C,'Locations Data'!$G:$G,$B15,'Locations Data'!$B:$B,IE$5)&gt;0,1,0)</f>
        <v>1</v>
      </c>
      <c r="IF15" s="6">
        <f>IF(SUMIFS('Locations Data'!$C:$C,'Locations Data'!$G:$G,$B15,'Locations Data'!$B:$B,IF$5)&gt;0,1,0)</f>
        <v>1</v>
      </c>
      <c r="IG15" s="6">
        <f>IF(SUMIFS('Locations Data'!$C:$C,'Locations Data'!$G:$G,$B15,'Locations Data'!$B:$B,IG$5)&gt;0,1,0)</f>
        <v>1</v>
      </c>
      <c r="IH15" s="6">
        <f>IF(SUMIFS('Locations Data'!$C:$C,'Locations Data'!$G:$G,$B15,'Locations Data'!$B:$B,IH$5)&gt;0,1,0)</f>
        <v>1</v>
      </c>
      <c r="II15" s="6">
        <f>IF(SUMIFS('Locations Data'!$C:$C,'Locations Data'!$G:$G,$B15,'Locations Data'!$B:$B,II$5)&gt;0,1,0)</f>
        <v>1</v>
      </c>
      <c r="IJ15" s="6">
        <f>IF(SUMIFS('Locations Data'!$C:$C,'Locations Data'!$G:$G,$B15,'Locations Data'!$B:$B,IJ$5)&gt;0,1,0)</f>
        <v>0</v>
      </c>
      <c r="IK15" s="6">
        <f>IF(SUMIFS('Locations Data'!$C:$C,'Locations Data'!$G:$G,$B15,'Locations Data'!$B:$B,IK$5)&gt;0,1,0)</f>
        <v>1</v>
      </c>
      <c r="IL15" s="6">
        <f>IF(SUMIFS('Locations Data'!$C:$C,'Locations Data'!$G:$G,$B15,'Locations Data'!$B:$B,IL$5)&gt;0,1,0)</f>
        <v>1</v>
      </c>
      <c r="IM15" s="6">
        <f>IF(SUMIFS('Locations Data'!$C:$C,'Locations Data'!$G:$G,$B15,'Locations Data'!$B:$B,IM$5)&gt;0,1,0)</f>
        <v>1</v>
      </c>
      <c r="IN15" s="6">
        <f>IF(SUMIFS('Locations Data'!$C:$C,'Locations Data'!$G:$G,$B15,'Locations Data'!$B:$B,IN$5)&gt;0,1,0)</f>
        <v>1</v>
      </c>
      <c r="IO15" s="6">
        <f>IF(SUMIFS('Locations Data'!$C:$C,'Locations Data'!$G:$G,$B15,'Locations Data'!$B:$B,IO$5)&gt;0,1,0)</f>
        <v>1</v>
      </c>
      <c r="IP15" s="6">
        <f>IF(SUMIFS('Locations Data'!$C:$C,'Locations Data'!$G:$G,$B15,'Locations Data'!$B:$B,IP$5)&gt;0,1,0)</f>
        <v>1</v>
      </c>
      <c r="IQ15" s="6">
        <f>IF(SUMIFS('Locations Data'!$C:$C,'Locations Data'!$G:$G,$B15,'Locations Data'!$B:$B,IQ$5)&gt;0,1,0)</f>
        <v>0</v>
      </c>
      <c r="IR15" s="6">
        <f>IF(SUMIFS('Locations Data'!$C:$C,'Locations Data'!$G:$G,$B15,'Locations Data'!$B:$B,IR$5)&gt;0,1,0)</f>
        <v>1</v>
      </c>
      <c r="IS15" s="6">
        <f>IF(SUMIFS('Locations Data'!$C:$C,'Locations Data'!$G:$G,$B15,'Locations Data'!$B:$B,IS$5)&gt;0,1,0)</f>
        <v>1</v>
      </c>
      <c r="IT15" s="6">
        <f>IF(SUMIFS('Locations Data'!$C:$C,'Locations Data'!$G:$G,$B15,'Locations Data'!$B:$B,IT$5)&gt;0,1,0)</f>
        <v>1</v>
      </c>
      <c r="IU15" s="6">
        <f>IF(SUMIFS('Locations Data'!$C:$C,'Locations Data'!$G:$G,$B15,'Locations Data'!$B:$B,IU$5)&gt;0,1,0)</f>
        <v>1</v>
      </c>
      <c r="IV15" s="6">
        <f>IF(SUMIFS('Locations Data'!$C:$C,'Locations Data'!$G:$G,$B15,'Locations Data'!$B:$B,IV$5)&gt;0,1,0)</f>
        <v>1</v>
      </c>
      <c r="IW15" s="6">
        <f>IF(SUMIFS('Locations Data'!$C:$C,'Locations Data'!$G:$G,$B15,'Locations Data'!$B:$B,IW$5)&gt;0,1,0)</f>
        <v>1</v>
      </c>
      <c r="IX15" s="6">
        <f>IF(SUMIFS('Locations Data'!$C:$C,'Locations Data'!$G:$G,$B15,'Locations Data'!$B:$B,IX$5)&gt;0,1,0)</f>
        <v>0</v>
      </c>
      <c r="IY15" s="6">
        <f>IF(SUMIFS('Locations Data'!$C:$C,'Locations Data'!$G:$G,$B15,'Locations Data'!$B:$B,IY$5)&gt;0,1,0)</f>
        <v>1</v>
      </c>
      <c r="IZ15" s="6">
        <f>IF(SUMIFS('Locations Data'!$C:$C,'Locations Data'!$G:$G,$B15,'Locations Data'!$B:$B,IZ$5)&gt;0,1,0)</f>
        <v>1</v>
      </c>
      <c r="JA15" s="6">
        <f>IF(SUMIFS('Locations Data'!$C:$C,'Locations Data'!$G:$G,$B15,'Locations Data'!$B:$B,JA$5)&gt;0,1,0)</f>
        <v>1</v>
      </c>
      <c r="JB15" s="6">
        <f>IF(SUMIFS('Locations Data'!$C:$C,'Locations Data'!$G:$G,$B15,'Locations Data'!$B:$B,JB$5)&gt;0,1,0)</f>
        <v>1</v>
      </c>
      <c r="JC15" s="6">
        <f>IF(SUMIFS('Locations Data'!$C:$C,'Locations Data'!$G:$G,$B15,'Locations Data'!$B:$B,JC$5)&gt;0,1,0)</f>
        <v>1</v>
      </c>
      <c r="JD15" s="6">
        <f>IF(SUMIFS('Locations Data'!$C:$C,'Locations Data'!$G:$G,$B15,'Locations Data'!$B:$B,JD$5)&gt;0,1,0)</f>
        <v>1</v>
      </c>
      <c r="JE15" s="6">
        <f>IF(SUMIFS('Locations Data'!$C:$C,'Locations Data'!$G:$G,$B15,'Locations Data'!$B:$B,JE$5)&gt;0,1,0)</f>
        <v>0</v>
      </c>
      <c r="JF15" s="6">
        <f>IF(SUMIFS('Locations Data'!$C:$C,'Locations Data'!$G:$G,$B15,'Locations Data'!$B:$B,JF$5)&gt;0,1,0)</f>
        <v>1</v>
      </c>
      <c r="JG15" s="6">
        <f>IF(SUMIFS('Locations Data'!$C:$C,'Locations Data'!$G:$G,$B15,'Locations Data'!$B:$B,JG$5)&gt;0,1,0)</f>
        <v>1</v>
      </c>
      <c r="JH15" s="6">
        <f>IF(SUMIFS('Locations Data'!$C:$C,'Locations Data'!$G:$G,$B15,'Locations Data'!$B:$B,JH$5)&gt;0,1,0)</f>
        <v>1</v>
      </c>
      <c r="JI15" s="6">
        <f>IF(SUMIFS('Locations Data'!$C:$C,'Locations Data'!$G:$G,$B15,'Locations Data'!$B:$B,JI$5)&gt;0,1,0)</f>
        <v>1</v>
      </c>
      <c r="JJ15" s="6">
        <f>IF(SUMIFS('Locations Data'!$C:$C,'Locations Data'!$G:$G,$B15,'Locations Data'!$B:$B,JJ$5)&gt;0,1,0)</f>
        <v>1</v>
      </c>
      <c r="JK15" s="6">
        <f>IF(SUMIFS('Locations Data'!$C:$C,'Locations Data'!$G:$G,$B15,'Locations Data'!$B:$B,JK$5)&gt;0,1,0)</f>
        <v>1</v>
      </c>
      <c r="JL15" s="6">
        <f>IF(SUMIFS('Locations Data'!$C:$C,'Locations Data'!$G:$G,$B15,'Locations Data'!$B:$B,JL$5)&gt;0,1,0)</f>
        <v>0</v>
      </c>
      <c r="JM15" s="6">
        <f>IF(SUMIFS('Locations Data'!$C:$C,'Locations Data'!$G:$G,$B15,'Locations Data'!$B:$B,JM$5)&gt;0,1,0)</f>
        <v>1</v>
      </c>
      <c r="JN15" s="6">
        <f>IF(SUMIFS('Locations Data'!$C:$C,'Locations Data'!$G:$G,$B15,'Locations Data'!$B:$B,JN$5)&gt;0,1,0)</f>
        <v>1</v>
      </c>
      <c r="JO15" s="6">
        <f>IF(SUMIFS('Locations Data'!$C:$C,'Locations Data'!$G:$G,$B15,'Locations Data'!$B:$B,JO$5)&gt;0,1,0)</f>
        <v>1</v>
      </c>
      <c r="JP15" s="6">
        <f>IF(SUMIFS('Locations Data'!$C:$C,'Locations Data'!$G:$G,$B15,'Locations Data'!$B:$B,JP$5)&gt;0,1,0)</f>
        <v>1</v>
      </c>
      <c r="JQ15" s="6">
        <f>IF(SUMIFS('Locations Data'!$C:$C,'Locations Data'!$G:$G,$B15,'Locations Data'!$B:$B,JQ$5)&gt;0,1,0)</f>
        <v>1</v>
      </c>
      <c r="JR15" s="6">
        <f>IF(SUMIFS('Locations Data'!$C:$C,'Locations Data'!$G:$G,$B15,'Locations Data'!$B:$B,JR$5)&gt;0,1,0)</f>
        <v>1</v>
      </c>
      <c r="JS15" s="6">
        <f>IF(SUMIFS('Locations Data'!$C:$C,'Locations Data'!$G:$G,$B15,'Locations Data'!$B:$B,JS$5)&gt;0,1,0)</f>
        <v>0</v>
      </c>
      <c r="JT15" s="6">
        <f>IF(SUMIFS('Locations Data'!$C:$C,'Locations Data'!$G:$G,$B15,'Locations Data'!$B:$B,JT$5)&gt;0,1,0)</f>
        <v>1</v>
      </c>
      <c r="JU15" s="6">
        <f>IF(SUMIFS('Locations Data'!$C:$C,'Locations Data'!$G:$G,$B15,'Locations Data'!$B:$B,JU$5)&gt;0,1,0)</f>
        <v>1</v>
      </c>
      <c r="JV15" s="6">
        <f>IF(SUMIFS('Locations Data'!$C:$C,'Locations Data'!$G:$G,$B15,'Locations Data'!$B:$B,JV$5)&gt;0,1,0)</f>
        <v>1</v>
      </c>
      <c r="JW15" s="6">
        <f>IF(SUMIFS('Locations Data'!$C:$C,'Locations Data'!$G:$G,$B15,'Locations Data'!$B:$B,JW$5)&gt;0,1,0)</f>
        <v>1</v>
      </c>
      <c r="JX15" s="6">
        <f>IF(SUMIFS('Locations Data'!$C:$C,'Locations Data'!$G:$G,$B15,'Locations Data'!$B:$B,JX$5)&gt;0,1,0)</f>
        <v>1</v>
      </c>
      <c r="JY15" s="6">
        <f>IF(SUMIFS('Locations Data'!$C:$C,'Locations Data'!$G:$G,$B15,'Locations Data'!$B:$B,JY$5)&gt;0,1,0)</f>
        <v>1</v>
      </c>
      <c r="JZ15" s="6">
        <f>IF(SUMIFS('Locations Data'!$C:$C,'Locations Data'!$G:$G,$B15,'Locations Data'!$B:$B,JZ$5)&gt;0,1,0)</f>
        <v>0</v>
      </c>
      <c r="KA15" s="6">
        <f>IF(SUMIFS('Locations Data'!$C:$C,'Locations Data'!$G:$G,$B15,'Locations Data'!$B:$B,KA$5)&gt;0,1,0)</f>
        <v>1</v>
      </c>
      <c r="KB15" s="6">
        <f>IF(SUMIFS('Locations Data'!$C:$C,'Locations Data'!$G:$G,$B15,'Locations Data'!$B:$B,KB$5)&gt;0,1,0)</f>
        <v>1</v>
      </c>
      <c r="KC15" s="6">
        <f>IF(SUMIFS('Locations Data'!$C:$C,'Locations Data'!$G:$G,$B15,'Locations Data'!$B:$B,KC$5)&gt;0,1,0)</f>
        <v>1</v>
      </c>
      <c r="KD15" s="6">
        <f>IF(SUMIFS('Locations Data'!$C:$C,'Locations Data'!$G:$G,$B15,'Locations Data'!$B:$B,KD$5)&gt;0,1,0)</f>
        <v>1</v>
      </c>
      <c r="KE15" s="6">
        <f>IF(SUMIFS('Locations Data'!$C:$C,'Locations Data'!$G:$G,$B15,'Locations Data'!$B:$B,KE$5)&gt;0,1,0)</f>
        <v>1</v>
      </c>
      <c r="KF15" s="6">
        <f>IF(SUMIFS('Locations Data'!$C:$C,'Locations Data'!$G:$G,$B15,'Locations Data'!$B:$B,KF$5)&gt;0,1,0)</f>
        <v>1</v>
      </c>
      <c r="KG15" s="6">
        <f>IF(SUMIFS('Locations Data'!$C:$C,'Locations Data'!$G:$G,$B15,'Locations Data'!$B:$B,KG$5)&gt;0,1,0)</f>
        <v>0</v>
      </c>
      <c r="KH15" s="6">
        <f>IF(SUMIFS('Locations Data'!$C:$C,'Locations Data'!$G:$G,$B15,'Locations Data'!$B:$B,KH$5)&gt;0,1,0)</f>
        <v>1</v>
      </c>
      <c r="KI15" s="6">
        <f>IF(SUMIFS('Locations Data'!$C:$C,'Locations Data'!$G:$G,$B15,'Locations Data'!$B:$B,KI$5)&gt;0,1,0)</f>
        <v>1</v>
      </c>
      <c r="KJ15" s="6">
        <f>IF(SUMIFS('Locations Data'!$C:$C,'Locations Data'!$G:$G,$B15,'Locations Data'!$B:$B,KJ$5)&gt;0,1,0)</f>
        <v>1</v>
      </c>
      <c r="KK15" s="6">
        <f>IF(SUMIFS('Locations Data'!$C:$C,'Locations Data'!$G:$G,$B15,'Locations Data'!$B:$B,KK$5)&gt;0,1,0)</f>
        <v>1</v>
      </c>
      <c r="KL15" s="6">
        <f>IF(SUMIFS('Locations Data'!$C:$C,'Locations Data'!$G:$G,$B15,'Locations Data'!$B:$B,KL$5)&gt;0,1,0)</f>
        <v>1</v>
      </c>
      <c r="KM15" s="6">
        <f>IF(SUMIFS('Locations Data'!$C:$C,'Locations Data'!$G:$G,$B15,'Locations Data'!$B:$B,KM$5)&gt;0,1,0)</f>
        <v>1</v>
      </c>
      <c r="KN15" s="6">
        <f>IF(SUMIFS('Locations Data'!$C:$C,'Locations Data'!$G:$G,$B15,'Locations Data'!$B:$B,KN$5)&gt;0,1,0)</f>
        <v>0</v>
      </c>
      <c r="KO15" s="6">
        <f>IF(SUMIFS('Locations Data'!$C:$C,'Locations Data'!$G:$G,$B15,'Locations Data'!$B:$B,KO$5)&gt;0,1,0)</f>
        <v>1</v>
      </c>
      <c r="KP15" s="6">
        <f>IF(SUMIFS('Locations Data'!$C:$C,'Locations Data'!$G:$G,$B15,'Locations Data'!$B:$B,KP$5)&gt;0,1,0)</f>
        <v>1</v>
      </c>
      <c r="KQ15" s="6">
        <f>IF(SUMIFS('Locations Data'!$C:$C,'Locations Data'!$G:$G,$B15,'Locations Data'!$B:$B,KQ$5)&gt;0,1,0)</f>
        <v>1</v>
      </c>
      <c r="KR15" s="6">
        <f>IF(SUMIFS('Locations Data'!$C:$C,'Locations Data'!$G:$G,$B15,'Locations Data'!$B:$B,KR$5)&gt;0,1,0)</f>
        <v>1</v>
      </c>
      <c r="KS15" s="6">
        <f>IF(SUMIFS('Locations Data'!$C:$C,'Locations Data'!$G:$G,$B15,'Locations Data'!$B:$B,KS$5)&gt;0,1,0)</f>
        <v>1</v>
      </c>
      <c r="KT15" s="6">
        <f>IF(SUMIFS('Locations Data'!$C:$C,'Locations Data'!$G:$G,$B15,'Locations Data'!$B:$B,KT$5)&gt;0,1,0)</f>
        <v>1</v>
      </c>
      <c r="KU15" s="6">
        <f>IF(SUMIFS('Locations Data'!$C:$C,'Locations Data'!$G:$G,$B15,'Locations Data'!$B:$B,KU$5)&gt;0,1,0)</f>
        <v>0</v>
      </c>
      <c r="KV15" s="6">
        <f>IF(SUMIFS('Locations Data'!$C:$C,'Locations Data'!$G:$G,$B15,'Locations Data'!$B:$B,KV$5)&gt;0,1,0)</f>
        <v>1</v>
      </c>
      <c r="KW15" s="6">
        <f>IF(SUMIFS('Locations Data'!$C:$C,'Locations Data'!$G:$G,$B15,'Locations Data'!$B:$B,KW$5)&gt;0,1,0)</f>
        <v>1</v>
      </c>
      <c r="KX15" s="6">
        <f>IF(SUMIFS('Locations Data'!$C:$C,'Locations Data'!$G:$G,$B15,'Locations Data'!$B:$B,KX$5)&gt;0,1,0)</f>
        <v>1</v>
      </c>
      <c r="KY15" s="6">
        <f>IF(SUMIFS('Locations Data'!$C:$C,'Locations Data'!$G:$G,$B15,'Locations Data'!$B:$B,KY$5)&gt;0,1,0)</f>
        <v>1</v>
      </c>
      <c r="KZ15" s="6">
        <f>IF(SUMIFS('Locations Data'!$C:$C,'Locations Data'!$G:$G,$B15,'Locations Data'!$B:$B,KZ$5)&gt;0,1,0)</f>
        <v>1</v>
      </c>
      <c r="LA15" s="6">
        <f>IF(SUMIFS('Locations Data'!$C:$C,'Locations Data'!$G:$G,$B15,'Locations Data'!$B:$B,LA$5)&gt;0,1,0)</f>
        <v>1</v>
      </c>
      <c r="LB15" s="6">
        <f>IF(SUMIFS('Locations Data'!$C:$C,'Locations Data'!$G:$G,$B15,'Locations Data'!$B:$B,LB$5)&gt;0,1,0)</f>
        <v>0</v>
      </c>
      <c r="LC15" s="6">
        <f>IF(SUMIFS('Locations Data'!$C:$C,'Locations Data'!$G:$G,$B15,'Locations Data'!$B:$B,LC$5)&gt;0,1,0)</f>
        <v>1</v>
      </c>
      <c r="LD15" s="6">
        <f>IF(SUMIFS('Locations Data'!$C:$C,'Locations Data'!$G:$G,$B15,'Locations Data'!$B:$B,LD$5)&gt;0,1,0)</f>
        <v>1</v>
      </c>
      <c r="LE15" s="6">
        <f>IF(SUMIFS('Locations Data'!$C:$C,'Locations Data'!$G:$G,$B15,'Locations Data'!$B:$B,LE$5)&gt;0,1,0)</f>
        <v>1</v>
      </c>
      <c r="LF15" s="6">
        <f>IF(SUMIFS('Locations Data'!$C:$C,'Locations Data'!$G:$G,$B15,'Locations Data'!$B:$B,LF$5)&gt;0,1,0)</f>
        <v>1</v>
      </c>
      <c r="LG15" s="6">
        <f>IF(SUMIFS('Locations Data'!$C:$C,'Locations Data'!$G:$G,$B15,'Locations Data'!$B:$B,LG$5)&gt;0,1,0)</f>
        <v>1</v>
      </c>
      <c r="LH15" s="6">
        <f>IF(SUMIFS('Locations Data'!$C:$C,'Locations Data'!$G:$G,$B15,'Locations Data'!$B:$B,LH$5)&gt;0,1,0)</f>
        <v>1</v>
      </c>
      <c r="LI15" s="6">
        <f>IF(SUMIFS('Locations Data'!$C:$C,'Locations Data'!$G:$G,$B15,'Locations Data'!$B:$B,LI$5)&gt;0,1,0)</f>
        <v>0</v>
      </c>
      <c r="LJ15" s="6">
        <f>IF(SUMIFS('Locations Data'!$C:$C,'Locations Data'!$G:$G,$B15,'Locations Data'!$B:$B,LJ$5)&gt;0,1,0)</f>
        <v>1</v>
      </c>
      <c r="LK15" s="6">
        <f>IF(SUMIFS('Locations Data'!$C:$C,'Locations Data'!$G:$G,$B15,'Locations Data'!$B:$B,LK$5)&gt;0,1,0)</f>
        <v>1</v>
      </c>
      <c r="LL15" s="6">
        <f>IF(SUMIFS('Locations Data'!$C:$C,'Locations Data'!$G:$G,$B15,'Locations Data'!$B:$B,LL$5)&gt;0,1,0)</f>
        <v>1</v>
      </c>
      <c r="LM15" s="6">
        <f>IF(SUMIFS('Locations Data'!$C:$C,'Locations Data'!$G:$G,$B15,'Locations Data'!$B:$B,LM$5)&gt;0,1,0)</f>
        <v>1</v>
      </c>
      <c r="LN15" s="6">
        <f>IF(SUMIFS('Locations Data'!$C:$C,'Locations Data'!$G:$G,$B15,'Locations Data'!$B:$B,LN$5)&gt;0,1,0)</f>
        <v>1</v>
      </c>
      <c r="LO15" s="6">
        <f>IF(SUMIFS('Locations Data'!$C:$C,'Locations Data'!$G:$G,$B15,'Locations Data'!$B:$B,LO$5)&gt;0,1,0)</f>
        <v>1</v>
      </c>
      <c r="LP15" s="6">
        <f>IF(SUMIFS('Locations Data'!$C:$C,'Locations Data'!$G:$G,$B15,'Locations Data'!$B:$B,LP$5)&gt;0,1,0)</f>
        <v>0</v>
      </c>
      <c r="LQ15" s="6">
        <f>IF(SUMIFS('Locations Data'!$C:$C,'Locations Data'!$G:$G,$B15,'Locations Data'!$B:$B,LQ$5)&gt;0,1,0)</f>
        <v>1</v>
      </c>
      <c r="LR15" s="6">
        <f>IF(SUMIFS('Locations Data'!$C:$C,'Locations Data'!$G:$G,$B15,'Locations Data'!$B:$B,LR$5)&gt;0,1,0)</f>
        <v>1</v>
      </c>
      <c r="LS15" s="6">
        <f>IF(SUMIFS('Locations Data'!$C:$C,'Locations Data'!$G:$G,$B15,'Locations Data'!$B:$B,LS$5)&gt;0,1,0)</f>
        <v>1</v>
      </c>
      <c r="LT15" s="6">
        <f>IF(SUMIFS('Locations Data'!$C:$C,'Locations Data'!$G:$G,$B15,'Locations Data'!$B:$B,LT$5)&gt;0,1,0)</f>
        <v>1</v>
      </c>
      <c r="LU15" s="6">
        <f>IF(SUMIFS('Locations Data'!$C:$C,'Locations Data'!$G:$G,$B15,'Locations Data'!$B:$B,LU$5)&gt;0,1,0)</f>
        <v>1</v>
      </c>
      <c r="LV15" s="6">
        <f>IF(SUMIFS('Locations Data'!$C:$C,'Locations Data'!$G:$G,$B15,'Locations Data'!$B:$B,LV$5)&gt;0,1,0)</f>
        <v>1</v>
      </c>
      <c r="LW15" s="6">
        <f>IF(SUMIFS('Locations Data'!$C:$C,'Locations Data'!$G:$G,$B15,'Locations Data'!$B:$B,LW$5)&gt;0,1,0)</f>
        <v>0</v>
      </c>
      <c r="LX15" s="6">
        <f>IF(SUMIFS('Locations Data'!$C:$C,'Locations Data'!$G:$G,$B15,'Locations Data'!$B:$B,LX$5)&gt;0,1,0)</f>
        <v>1</v>
      </c>
      <c r="LY15" s="6">
        <f>IF(SUMIFS('Locations Data'!$C:$C,'Locations Data'!$G:$G,$B15,'Locations Data'!$B:$B,LY$5)&gt;0,1,0)</f>
        <v>1</v>
      </c>
      <c r="LZ15" s="6">
        <f>IF(SUMIFS('Locations Data'!$C:$C,'Locations Data'!$G:$G,$B15,'Locations Data'!$B:$B,LZ$5)&gt;0,1,0)</f>
        <v>1</v>
      </c>
      <c r="MA15" s="6">
        <f>IF(SUMIFS('Locations Data'!$C:$C,'Locations Data'!$G:$G,$B15,'Locations Data'!$B:$B,MA$5)&gt;0,1,0)</f>
        <v>1</v>
      </c>
      <c r="MB15" s="6">
        <f>IF(SUMIFS('Locations Data'!$C:$C,'Locations Data'!$G:$G,$B15,'Locations Data'!$B:$B,MB$5)&gt;0,1,0)</f>
        <v>1</v>
      </c>
      <c r="MC15" s="6">
        <f>IF(SUMIFS('Locations Data'!$C:$C,'Locations Data'!$G:$G,$B15,'Locations Data'!$B:$B,MC$5)&gt;0,1,0)</f>
        <v>1</v>
      </c>
      <c r="MD15" s="6">
        <f>IF(SUMIFS('Locations Data'!$C:$C,'Locations Data'!$G:$G,$B15,'Locations Data'!$B:$B,MD$5)&gt;0,1,0)</f>
        <v>0</v>
      </c>
      <c r="ME15" s="6">
        <f>IF(SUMIFS('Locations Data'!$C:$C,'Locations Data'!$G:$G,$B15,'Locations Data'!$B:$B,ME$5)&gt;0,1,0)</f>
        <v>1</v>
      </c>
      <c r="MF15" s="6">
        <f>IF(SUMIFS('Locations Data'!$C:$C,'Locations Data'!$G:$G,$B15,'Locations Data'!$B:$B,MF$5)&gt;0,1,0)</f>
        <v>1</v>
      </c>
      <c r="MG15" s="6">
        <f>IF(SUMIFS('Locations Data'!$C:$C,'Locations Data'!$G:$G,$B15,'Locations Data'!$B:$B,MG$5)&gt;0,1,0)</f>
        <v>1</v>
      </c>
      <c r="MH15" s="6">
        <f>IF(SUMIFS('Locations Data'!$C:$C,'Locations Data'!$G:$G,$B15,'Locations Data'!$B:$B,MH$5)&gt;0,1,0)</f>
        <v>1</v>
      </c>
      <c r="MI15" s="6">
        <f>IF(SUMIFS('Locations Data'!$C:$C,'Locations Data'!$G:$G,$B15,'Locations Data'!$B:$B,MI$5)&gt;0,1,0)</f>
        <v>1</v>
      </c>
      <c r="MJ15" s="6">
        <f>IF(SUMIFS('Locations Data'!$C:$C,'Locations Data'!$G:$G,$B15,'Locations Data'!$B:$B,MJ$5)&gt;0,1,0)</f>
        <v>1</v>
      </c>
      <c r="MK15" s="6">
        <f>IF(SUMIFS('Locations Data'!$C:$C,'Locations Data'!$G:$G,$B15,'Locations Data'!$B:$B,MK$5)&gt;0,1,0)</f>
        <v>0</v>
      </c>
      <c r="ML15" s="6">
        <f>IF(SUMIFS('Locations Data'!$C:$C,'Locations Data'!$G:$G,$B15,'Locations Data'!$B:$B,ML$5)&gt;0,1,0)</f>
        <v>1</v>
      </c>
      <c r="MM15" s="6">
        <f>IF(SUMIFS('Locations Data'!$C:$C,'Locations Data'!$G:$G,$B15,'Locations Data'!$B:$B,MM$5)&gt;0,1,0)</f>
        <v>1</v>
      </c>
      <c r="MN15" s="6">
        <f>IF(SUMIFS('Locations Data'!$C:$C,'Locations Data'!$G:$G,$B15,'Locations Data'!$B:$B,MN$5)&gt;0,1,0)</f>
        <v>1</v>
      </c>
      <c r="MO15" s="6">
        <f>IF(SUMIFS('Locations Data'!$C:$C,'Locations Data'!$G:$G,$B15,'Locations Data'!$B:$B,MO$5)&gt;0,1,0)</f>
        <v>1</v>
      </c>
      <c r="MP15" s="6">
        <f>IF(SUMIFS('Locations Data'!$C:$C,'Locations Data'!$G:$G,$B15,'Locations Data'!$B:$B,MP$5)&gt;0,1,0)</f>
        <v>1</v>
      </c>
      <c r="MQ15" s="6">
        <f>IF(SUMIFS('Locations Data'!$C:$C,'Locations Data'!$G:$G,$B15,'Locations Data'!$B:$B,MQ$5)&gt;0,1,0)</f>
        <v>1</v>
      </c>
      <c r="MR15" s="6">
        <f>IF(SUMIFS('Locations Data'!$C:$C,'Locations Data'!$G:$G,$B15,'Locations Data'!$B:$B,MR$5)&gt;0,1,0)</f>
        <v>0</v>
      </c>
      <c r="MS15" s="6">
        <f>IF(SUMIFS('Locations Data'!$C:$C,'Locations Data'!$G:$G,$B15,'Locations Data'!$B:$B,MS$5)&gt;0,1,0)</f>
        <v>1</v>
      </c>
      <c r="MT15" s="6">
        <f>IF(SUMIFS('Locations Data'!$C:$C,'Locations Data'!$G:$G,$B15,'Locations Data'!$B:$B,MT$5)&gt;0,1,0)</f>
        <v>1</v>
      </c>
      <c r="MU15" s="6">
        <f>IF(SUMIFS('Locations Data'!$C:$C,'Locations Data'!$G:$G,$B15,'Locations Data'!$B:$B,MU$5)&gt;0,1,0)</f>
        <v>1</v>
      </c>
      <c r="MV15" s="6">
        <f>IF(SUMIFS('Locations Data'!$C:$C,'Locations Data'!$G:$G,$B15,'Locations Data'!$B:$B,MV$5)&gt;0,1,0)</f>
        <v>1</v>
      </c>
      <c r="MW15" s="26">
        <v>0</v>
      </c>
      <c r="MX15" s="6">
        <f>IF(SUMIFS('Locations Data'!$C:$C,'Locations Data'!$G:$G,$B15,'Locations Data'!$B:$B,MX$5)&gt;0,1,0)</f>
        <v>1</v>
      </c>
      <c r="MY15" s="6">
        <f>IF(SUMIFS('Locations Data'!$C:$C,'Locations Data'!$G:$G,$B15,'Locations Data'!$B:$B,MY$5)&gt;0,1,0)</f>
        <v>0</v>
      </c>
      <c r="MZ15" s="6">
        <f>IF(SUMIFS('Locations Data'!$C:$C,'Locations Data'!$G:$G,$B15,'Locations Data'!$B:$B,MZ$5)&gt;0,1,0)</f>
        <v>1</v>
      </c>
      <c r="NA15" s="6">
        <f>IF(SUMIFS('Locations Data'!$C:$C,'Locations Data'!$G:$G,$B15,'Locations Data'!$B:$B,NA$5)&gt;0,1,0)</f>
        <v>1</v>
      </c>
      <c r="NB15" s="6">
        <f>IF(SUMIFS('Locations Data'!$C:$C,'Locations Data'!$G:$G,$B15,'Locations Data'!$B:$B,NB$5)&gt;0,1,0)</f>
        <v>1</v>
      </c>
      <c r="NC15" s="6">
        <f>IF(SUMIFS('Locations Data'!$C:$C,'Locations Data'!$G:$G,$B15,'Locations Data'!$B:$B,NC$5)&gt;0,1,0)</f>
        <v>1</v>
      </c>
    </row>
    <row r="16" spans="2:367">
      <c r="B16" s="20" t="s">
        <v>310</v>
      </c>
      <c r="C16" s="6">
        <v>0</v>
      </c>
      <c r="D16" s="6">
        <f>IF(SUMIFS('Locations Data'!$C:$C,'Locations Data'!$G:$G,$B16,'Locations Data'!$B:$B,D$5)&gt;0,1,0)</f>
        <v>1</v>
      </c>
      <c r="E16" s="6">
        <f>IF(SUMIFS('Locations Data'!$C:$C,'Locations Data'!$G:$G,$B16,'Locations Data'!$B:$B,E$5)&gt;0,1,0)</f>
        <v>1</v>
      </c>
      <c r="F16" s="6">
        <f>IF(SUMIFS('Locations Data'!$C:$C,'Locations Data'!$G:$G,$B16,'Locations Data'!$B:$B,F$5)&gt;0,1,0)</f>
        <v>0</v>
      </c>
      <c r="G16" s="6">
        <f>IF(SUMIFS('Locations Data'!$C:$C,'Locations Data'!$G:$G,$B16,'Locations Data'!$B:$B,G$5)&gt;0,1,0)</f>
        <v>0</v>
      </c>
      <c r="H16" s="6">
        <f>IF(SUMIFS('Locations Data'!$C:$C,'Locations Data'!$G:$G,$B16,'Locations Data'!$B:$B,H$5)&gt;0,1,0)</f>
        <v>1</v>
      </c>
      <c r="I16" s="6">
        <f>IF(SUMIFS('Locations Data'!$C:$C,'Locations Data'!$G:$G,$B16,'Locations Data'!$B:$B,I$5)&gt;0,1,0)</f>
        <v>1</v>
      </c>
      <c r="J16" s="6">
        <f>IF(SUMIFS('Locations Data'!$C:$C,'Locations Data'!$G:$G,$B16,'Locations Data'!$B:$B,J$5)&gt;0,1,0)</f>
        <v>1</v>
      </c>
      <c r="K16" s="6">
        <f>IF(SUMIFS('Locations Data'!$C:$C,'Locations Data'!$G:$G,$B16,'Locations Data'!$B:$B,K$5)&gt;0,1,0)</f>
        <v>1</v>
      </c>
      <c r="L16" s="6">
        <f>IF(SUMIFS('Locations Data'!$C:$C,'Locations Data'!$G:$G,$B16,'Locations Data'!$B:$B,L$5)&gt;0,1,0)</f>
        <v>1</v>
      </c>
      <c r="M16" s="6">
        <f>IF(SUMIFS('Locations Data'!$C:$C,'Locations Data'!$G:$G,$B16,'Locations Data'!$B:$B,M$5)&gt;0,1,0)</f>
        <v>0</v>
      </c>
      <c r="N16" s="6">
        <f>IF(SUMIFS('Locations Data'!$C:$C,'Locations Data'!$G:$G,$B16,'Locations Data'!$B:$B,N$5)&gt;0,1,0)</f>
        <v>0</v>
      </c>
      <c r="O16" s="6">
        <f>IF(SUMIFS('Locations Data'!$C:$C,'Locations Data'!$G:$G,$B16,'Locations Data'!$B:$B,O$5)&gt;0,1,0)</f>
        <v>1</v>
      </c>
      <c r="P16" s="6">
        <f>IF(SUMIFS('Locations Data'!$C:$C,'Locations Data'!$G:$G,$B16,'Locations Data'!$B:$B,P$5)&gt;0,1,0)</f>
        <v>1</v>
      </c>
      <c r="Q16" s="6">
        <f>IF(SUMIFS('Locations Data'!$C:$C,'Locations Data'!$G:$G,$B16,'Locations Data'!$B:$B,Q$5)&gt;0,1,0)</f>
        <v>1</v>
      </c>
      <c r="R16" s="6">
        <f>IF(SUMIFS('Locations Data'!$C:$C,'Locations Data'!$G:$G,$B16,'Locations Data'!$B:$B,R$5)&gt;0,1,0)</f>
        <v>1</v>
      </c>
      <c r="S16" s="6">
        <f>IF(SUMIFS('Locations Data'!$C:$C,'Locations Data'!$G:$G,$B16,'Locations Data'!$B:$B,S$5)&gt;0,1,0)</f>
        <v>1</v>
      </c>
      <c r="T16" s="6">
        <f>IF(SUMIFS('Locations Data'!$C:$C,'Locations Data'!$G:$G,$B16,'Locations Data'!$B:$B,T$5)&gt;0,1,0)</f>
        <v>0</v>
      </c>
      <c r="U16" s="6">
        <f>IF(SUMIFS('Locations Data'!$C:$C,'Locations Data'!$G:$G,$B16,'Locations Data'!$B:$B,U$5)&gt;0,1,0)</f>
        <v>0</v>
      </c>
      <c r="V16" s="6">
        <f>IF(SUMIFS('Locations Data'!$C:$C,'Locations Data'!$G:$G,$B16,'Locations Data'!$B:$B,V$5)&gt;0,1,0)</f>
        <v>1</v>
      </c>
      <c r="W16" s="6">
        <f>IF(SUMIFS('Locations Data'!$C:$C,'Locations Data'!$G:$G,$B16,'Locations Data'!$B:$B,W$5)&gt;0,1,0)</f>
        <v>1</v>
      </c>
      <c r="X16" s="6">
        <f>IF(SUMIFS('Locations Data'!$C:$C,'Locations Data'!$G:$G,$B16,'Locations Data'!$B:$B,X$5)&gt;0,1,0)</f>
        <v>1</v>
      </c>
      <c r="Y16" s="6">
        <f>IF(SUMIFS('Locations Data'!$C:$C,'Locations Data'!$G:$G,$B16,'Locations Data'!$B:$B,Y$5)&gt;0,1,0)</f>
        <v>1</v>
      </c>
      <c r="Z16" s="6">
        <f>IF(SUMIFS('Locations Data'!$C:$C,'Locations Data'!$G:$G,$B16,'Locations Data'!$B:$B,Z$5)&gt;0,1,0)</f>
        <v>1</v>
      </c>
      <c r="AA16" s="6">
        <f>IF(SUMIFS('Locations Data'!$C:$C,'Locations Data'!$G:$G,$B16,'Locations Data'!$B:$B,AA$5)&gt;0,1,0)</f>
        <v>0</v>
      </c>
      <c r="AB16" s="6">
        <f>IF(SUMIFS('Locations Data'!$C:$C,'Locations Data'!$G:$G,$B16,'Locations Data'!$B:$B,AB$5)&gt;0,1,0)</f>
        <v>0</v>
      </c>
      <c r="AC16" s="6">
        <f>IF(SUMIFS('Locations Data'!$C:$C,'Locations Data'!$G:$G,$B16,'Locations Data'!$B:$B,AC$5)&gt;0,1,0)</f>
        <v>1</v>
      </c>
      <c r="AD16" s="6">
        <f>IF(SUMIFS('Locations Data'!$C:$C,'Locations Data'!$G:$G,$B16,'Locations Data'!$B:$B,AD$5)&gt;0,1,0)</f>
        <v>1</v>
      </c>
      <c r="AE16" s="6">
        <f>IF(SUMIFS('Locations Data'!$C:$C,'Locations Data'!$G:$G,$B16,'Locations Data'!$B:$B,AE$5)&gt;0,1,0)</f>
        <v>1</v>
      </c>
      <c r="AF16" s="6">
        <f>IF(SUMIFS('Locations Data'!$C:$C,'Locations Data'!$G:$G,$B16,'Locations Data'!$B:$B,AF$5)&gt;0,1,0)</f>
        <v>1</v>
      </c>
      <c r="AG16" s="6">
        <f>IF(SUMIFS('Locations Data'!$C:$C,'Locations Data'!$G:$G,$B16,'Locations Data'!$B:$B,AG$5)&gt;0,1,0)</f>
        <v>1</v>
      </c>
      <c r="AH16" s="6">
        <f>IF(SUMIFS('Locations Data'!$C:$C,'Locations Data'!$G:$G,$B16,'Locations Data'!$B:$B,AH$5)&gt;0,1,0)</f>
        <v>0</v>
      </c>
      <c r="AI16" s="6">
        <f>IF(SUMIFS('Locations Data'!$C:$C,'Locations Data'!$G:$G,$B16,'Locations Data'!$B:$B,AI$5)&gt;0,1,0)</f>
        <v>0</v>
      </c>
      <c r="AJ16" s="6">
        <f>IF(SUMIFS('Locations Data'!$C:$C,'Locations Data'!$G:$G,$B16,'Locations Data'!$B:$B,AJ$5)&gt;0,1,0)</f>
        <v>1</v>
      </c>
      <c r="AK16" s="6">
        <f>IF(SUMIFS('Locations Data'!$C:$C,'Locations Data'!$G:$G,$B16,'Locations Data'!$B:$B,AK$5)&gt;0,1,0)</f>
        <v>1</v>
      </c>
      <c r="AL16" s="6">
        <f>IF(SUMIFS('Locations Data'!$C:$C,'Locations Data'!$G:$G,$B16,'Locations Data'!$B:$B,AL$5)&gt;0,1,0)</f>
        <v>1</v>
      </c>
      <c r="AM16" s="6">
        <f>IF(SUMIFS('Locations Data'!$C:$C,'Locations Data'!$G:$G,$B16,'Locations Data'!$B:$B,AM$5)&gt;0,1,0)</f>
        <v>1</v>
      </c>
      <c r="AN16" s="6">
        <f>IF(SUMIFS('Locations Data'!$C:$C,'Locations Data'!$G:$G,$B16,'Locations Data'!$B:$B,AN$5)&gt;0,1,0)</f>
        <v>1</v>
      </c>
      <c r="AO16" s="6">
        <f>IF(SUMIFS('Locations Data'!$C:$C,'Locations Data'!$G:$G,$B16,'Locations Data'!$B:$B,AO$5)&gt;0,1,0)</f>
        <v>0</v>
      </c>
      <c r="AP16" s="6">
        <f>IF(SUMIFS('Locations Data'!$C:$C,'Locations Data'!$G:$G,$B16,'Locations Data'!$B:$B,AP$5)&gt;0,1,0)</f>
        <v>0</v>
      </c>
      <c r="AQ16" s="6">
        <f>IF(SUMIFS('Locations Data'!$C:$C,'Locations Data'!$G:$G,$B16,'Locations Data'!$B:$B,AQ$5)&gt;0,1,0)</f>
        <v>1</v>
      </c>
      <c r="AR16" s="6">
        <f>IF(SUMIFS('Locations Data'!$C:$C,'Locations Data'!$G:$G,$B16,'Locations Data'!$B:$B,AR$5)&gt;0,1,0)</f>
        <v>1</v>
      </c>
      <c r="AS16" s="6">
        <f>IF(SUMIFS('Locations Data'!$C:$C,'Locations Data'!$G:$G,$B16,'Locations Data'!$B:$B,AS$5)&gt;0,1,0)</f>
        <v>1</v>
      </c>
      <c r="AT16" s="6">
        <f>IF(SUMIFS('Locations Data'!$C:$C,'Locations Data'!$G:$G,$B16,'Locations Data'!$B:$B,AT$5)&gt;0,1,0)</f>
        <v>1</v>
      </c>
      <c r="AU16" s="6">
        <f>IF(SUMIFS('Locations Data'!$C:$C,'Locations Data'!$G:$G,$B16,'Locations Data'!$B:$B,AU$5)&gt;0,1,0)</f>
        <v>1</v>
      </c>
      <c r="AV16" s="6">
        <f>IF(SUMIFS('Locations Data'!$C:$C,'Locations Data'!$G:$G,$B16,'Locations Data'!$B:$B,AV$5)&gt;0,1,0)</f>
        <v>0</v>
      </c>
      <c r="AW16" s="6">
        <f>IF(SUMIFS('Locations Data'!$C:$C,'Locations Data'!$G:$G,$B16,'Locations Data'!$B:$B,AW$5)&gt;0,1,0)</f>
        <v>0</v>
      </c>
      <c r="AX16" s="6">
        <f>IF(SUMIFS('Locations Data'!$C:$C,'Locations Data'!$G:$G,$B16,'Locations Data'!$B:$B,AX$5)&gt;0,1,0)</f>
        <v>1</v>
      </c>
      <c r="AY16" s="6">
        <f>IF(SUMIFS('Locations Data'!$C:$C,'Locations Data'!$G:$G,$B16,'Locations Data'!$B:$B,AY$5)&gt;0,1,0)</f>
        <v>1</v>
      </c>
      <c r="AZ16" s="6">
        <f>IF(SUMIFS('Locations Data'!$C:$C,'Locations Data'!$G:$G,$B16,'Locations Data'!$B:$B,AZ$5)&gt;0,1,0)</f>
        <v>1</v>
      </c>
      <c r="BA16" s="6">
        <f>IF(SUMIFS('Locations Data'!$C:$C,'Locations Data'!$G:$G,$B16,'Locations Data'!$B:$B,BA$5)&gt;0,1,0)</f>
        <v>1</v>
      </c>
      <c r="BB16" s="6">
        <f>IF(SUMIFS('Locations Data'!$C:$C,'Locations Data'!$G:$G,$B16,'Locations Data'!$B:$B,BB$5)&gt;0,1,0)</f>
        <v>1</v>
      </c>
      <c r="BC16" s="6">
        <f>IF(SUMIFS('Locations Data'!$C:$C,'Locations Data'!$G:$G,$B16,'Locations Data'!$B:$B,BC$5)&gt;0,1,0)</f>
        <v>0</v>
      </c>
      <c r="BD16" s="6">
        <f>IF(SUMIFS('Locations Data'!$C:$C,'Locations Data'!$G:$G,$B16,'Locations Data'!$B:$B,BD$5)&gt;0,1,0)</f>
        <v>0</v>
      </c>
      <c r="BE16" s="6">
        <f>IF(SUMIFS('Locations Data'!$C:$C,'Locations Data'!$G:$G,$B16,'Locations Data'!$B:$B,BE$5)&gt;0,1,0)</f>
        <v>1</v>
      </c>
      <c r="BF16" s="6">
        <f>IF(SUMIFS('Locations Data'!$C:$C,'Locations Data'!$G:$G,$B16,'Locations Data'!$B:$B,BF$5)&gt;0,1,0)</f>
        <v>1</v>
      </c>
      <c r="BG16" s="6">
        <f>IF(SUMIFS('Locations Data'!$C:$C,'Locations Data'!$G:$G,$B16,'Locations Data'!$B:$B,BG$5)&gt;0,1,0)</f>
        <v>1</v>
      </c>
      <c r="BH16" s="6">
        <f>IF(SUMIFS('Locations Data'!$C:$C,'Locations Data'!$G:$G,$B16,'Locations Data'!$B:$B,BH$5)&gt;0,1,0)</f>
        <v>1</v>
      </c>
      <c r="BI16" s="6">
        <f>IF(SUMIFS('Locations Data'!$C:$C,'Locations Data'!$G:$G,$B16,'Locations Data'!$B:$B,BI$5)&gt;0,1,0)</f>
        <v>1</v>
      </c>
      <c r="BJ16" s="6">
        <f>IF(SUMIFS('Locations Data'!$C:$C,'Locations Data'!$G:$G,$B16,'Locations Data'!$B:$B,BJ$5)&gt;0,1,0)</f>
        <v>0</v>
      </c>
      <c r="BK16" s="6">
        <f>IF(SUMIFS('Locations Data'!$C:$C,'Locations Data'!$G:$G,$B16,'Locations Data'!$B:$B,BK$5)&gt;0,1,0)</f>
        <v>0</v>
      </c>
      <c r="BL16" s="6">
        <f>IF(SUMIFS('Locations Data'!$C:$C,'Locations Data'!$G:$G,$B16,'Locations Data'!$B:$B,BL$5)&gt;0,1,0)</f>
        <v>1</v>
      </c>
      <c r="BM16" s="6">
        <f>IF(SUMIFS('Locations Data'!$C:$C,'Locations Data'!$G:$G,$B16,'Locations Data'!$B:$B,BM$5)&gt;0,1,0)</f>
        <v>1</v>
      </c>
      <c r="BN16" s="6">
        <f>IF(SUMIFS('Locations Data'!$C:$C,'Locations Data'!$G:$G,$B16,'Locations Data'!$B:$B,BN$5)&gt;0,1,0)</f>
        <v>1</v>
      </c>
      <c r="BO16" s="6">
        <f>IF(SUMIFS('Locations Data'!$C:$C,'Locations Data'!$G:$G,$B16,'Locations Data'!$B:$B,BO$5)&gt;0,1,0)</f>
        <v>1</v>
      </c>
      <c r="BP16" s="6">
        <f>IF(SUMIFS('Locations Data'!$C:$C,'Locations Data'!$G:$G,$B16,'Locations Data'!$B:$B,BP$5)&gt;0,1,0)</f>
        <v>1</v>
      </c>
      <c r="BQ16" s="6">
        <f>IF(SUMIFS('Locations Data'!$C:$C,'Locations Data'!$G:$G,$B16,'Locations Data'!$B:$B,BQ$5)&gt;0,1,0)</f>
        <v>0</v>
      </c>
      <c r="BR16" s="6">
        <f>IF(SUMIFS('Locations Data'!$C:$C,'Locations Data'!$G:$G,$B16,'Locations Data'!$B:$B,BR$5)&gt;0,1,0)</f>
        <v>0</v>
      </c>
      <c r="BS16" s="6">
        <f>IF(SUMIFS('Locations Data'!$C:$C,'Locations Data'!$G:$G,$B16,'Locations Data'!$B:$B,BS$5)&gt;0,1,0)</f>
        <v>1</v>
      </c>
      <c r="BT16" s="6">
        <f>IF(SUMIFS('Locations Data'!$C:$C,'Locations Data'!$G:$G,$B16,'Locations Data'!$B:$B,BT$5)&gt;0,1,0)</f>
        <v>1</v>
      </c>
      <c r="BU16" s="6">
        <f>IF(SUMIFS('Locations Data'!$C:$C,'Locations Data'!$G:$G,$B16,'Locations Data'!$B:$B,BU$5)&gt;0,1,0)</f>
        <v>1</v>
      </c>
      <c r="BV16" s="6">
        <f>IF(SUMIFS('Locations Data'!$C:$C,'Locations Data'!$G:$G,$B16,'Locations Data'!$B:$B,BV$5)&gt;0,1,0)</f>
        <v>1</v>
      </c>
      <c r="BW16" s="6">
        <f>IF(SUMIFS('Locations Data'!$C:$C,'Locations Data'!$G:$G,$B16,'Locations Data'!$B:$B,BW$5)&gt;0,1,0)</f>
        <v>1</v>
      </c>
      <c r="BX16" s="6">
        <f>IF(SUMIFS('Locations Data'!$C:$C,'Locations Data'!$G:$G,$B16,'Locations Data'!$B:$B,BX$5)&gt;0,1,0)</f>
        <v>0</v>
      </c>
      <c r="BY16" s="6">
        <f>IF(SUMIFS('Locations Data'!$C:$C,'Locations Data'!$G:$G,$B16,'Locations Data'!$B:$B,BY$5)&gt;0,1,0)</f>
        <v>0</v>
      </c>
      <c r="BZ16" s="6">
        <f>IF(SUMIFS('Locations Data'!$C:$C,'Locations Data'!$G:$G,$B16,'Locations Data'!$B:$B,BZ$5)&gt;0,1,0)</f>
        <v>1</v>
      </c>
      <c r="CA16" s="6">
        <f>IF(SUMIFS('Locations Data'!$C:$C,'Locations Data'!$G:$G,$B16,'Locations Data'!$B:$B,CA$5)&gt;0,1,0)</f>
        <v>1</v>
      </c>
      <c r="CB16" s="6">
        <f>IF(SUMIFS('Locations Data'!$C:$C,'Locations Data'!$G:$G,$B16,'Locations Data'!$B:$B,CB$5)&gt;0,1,0)</f>
        <v>1</v>
      </c>
      <c r="CC16" s="6">
        <f>IF(SUMIFS('Locations Data'!$C:$C,'Locations Data'!$G:$G,$B16,'Locations Data'!$B:$B,CC$5)&gt;0,1,0)</f>
        <v>1</v>
      </c>
      <c r="CD16" s="6">
        <f>IF(SUMIFS('Locations Data'!$C:$C,'Locations Data'!$G:$G,$B16,'Locations Data'!$B:$B,CD$5)&gt;0,1,0)</f>
        <v>1</v>
      </c>
      <c r="CE16" s="6">
        <f>IF(SUMIFS('Locations Data'!$C:$C,'Locations Data'!$G:$G,$B16,'Locations Data'!$B:$B,CE$5)&gt;0,1,0)</f>
        <v>0</v>
      </c>
      <c r="CF16" s="6">
        <f>IF(SUMIFS('Locations Data'!$C:$C,'Locations Data'!$G:$G,$B16,'Locations Data'!$B:$B,CF$5)&gt;0,1,0)</f>
        <v>0</v>
      </c>
      <c r="CG16" s="6">
        <f>IF(SUMIFS('Locations Data'!$C:$C,'Locations Data'!$G:$G,$B16,'Locations Data'!$B:$B,CG$5)&gt;0,1,0)</f>
        <v>1</v>
      </c>
      <c r="CH16" s="6">
        <f>IF(SUMIFS('Locations Data'!$C:$C,'Locations Data'!$G:$G,$B16,'Locations Data'!$B:$B,CH$5)&gt;0,1,0)</f>
        <v>1</v>
      </c>
      <c r="CI16" s="6">
        <f>IF(SUMIFS('Locations Data'!$C:$C,'Locations Data'!$G:$G,$B16,'Locations Data'!$B:$B,CI$5)&gt;0,1,0)</f>
        <v>1</v>
      </c>
      <c r="CJ16" s="6">
        <f>IF(SUMIFS('Locations Data'!$C:$C,'Locations Data'!$G:$G,$B16,'Locations Data'!$B:$B,CJ$5)&gt;0,1,0)</f>
        <v>1</v>
      </c>
      <c r="CK16" s="6">
        <f>IF(SUMIFS('Locations Data'!$C:$C,'Locations Data'!$G:$G,$B16,'Locations Data'!$B:$B,CK$5)&gt;0,1,0)</f>
        <v>1</v>
      </c>
      <c r="CL16" s="6">
        <f>IF(SUMIFS('Locations Data'!$C:$C,'Locations Data'!$G:$G,$B16,'Locations Data'!$B:$B,CL$5)&gt;0,1,0)</f>
        <v>0</v>
      </c>
      <c r="CM16" s="6">
        <f>IF(SUMIFS('Locations Data'!$C:$C,'Locations Data'!$G:$G,$B16,'Locations Data'!$B:$B,CM$5)&gt;0,1,0)</f>
        <v>0</v>
      </c>
      <c r="CN16" s="6">
        <f>IF(SUMIFS('Locations Data'!$C:$C,'Locations Data'!$G:$G,$B16,'Locations Data'!$B:$B,CN$5)&gt;0,1,0)</f>
        <v>1</v>
      </c>
      <c r="CO16" s="6">
        <f>IF(SUMIFS('Locations Data'!$C:$C,'Locations Data'!$G:$G,$B16,'Locations Data'!$B:$B,CO$5)&gt;0,1,0)</f>
        <v>1</v>
      </c>
      <c r="CP16" s="6">
        <f>IF(SUMIFS('Locations Data'!$C:$C,'Locations Data'!$G:$G,$B16,'Locations Data'!$B:$B,CP$5)&gt;0,1,0)</f>
        <v>1</v>
      </c>
      <c r="CQ16" s="6">
        <f>IF(SUMIFS('Locations Data'!$C:$C,'Locations Data'!$G:$G,$B16,'Locations Data'!$B:$B,CQ$5)&gt;0,1,0)</f>
        <v>1</v>
      </c>
      <c r="CR16" s="6">
        <f>IF(SUMIFS('Locations Data'!$C:$C,'Locations Data'!$G:$G,$B16,'Locations Data'!$B:$B,CR$5)&gt;0,1,0)</f>
        <v>1</v>
      </c>
      <c r="CS16" s="6">
        <f>IF(SUMIFS('Locations Data'!$C:$C,'Locations Data'!$G:$G,$B16,'Locations Data'!$B:$B,CS$5)&gt;0,1,0)</f>
        <v>0</v>
      </c>
      <c r="CT16" s="6">
        <f>IF(SUMIFS('Locations Data'!$C:$C,'Locations Data'!$G:$G,$B16,'Locations Data'!$B:$B,CT$5)&gt;0,1,0)</f>
        <v>0</v>
      </c>
      <c r="CU16" s="6">
        <f>IF(SUMIFS('Locations Data'!$C:$C,'Locations Data'!$G:$G,$B16,'Locations Data'!$B:$B,CU$5)&gt;0,1,0)</f>
        <v>1</v>
      </c>
      <c r="CV16" s="6">
        <f>IF(SUMIFS('Locations Data'!$C:$C,'Locations Data'!$G:$G,$B16,'Locations Data'!$B:$B,CV$5)&gt;0,1,0)</f>
        <v>1</v>
      </c>
      <c r="CW16" s="6">
        <f>IF(SUMIFS('Locations Data'!$C:$C,'Locations Data'!$G:$G,$B16,'Locations Data'!$B:$B,CW$5)&gt;0,1,0)</f>
        <v>1</v>
      </c>
      <c r="CX16" s="6">
        <f>IF(SUMIFS('Locations Data'!$C:$C,'Locations Data'!$G:$G,$B16,'Locations Data'!$B:$B,CX$5)&gt;0,1,0)</f>
        <v>1</v>
      </c>
      <c r="CY16" s="6">
        <f>IF(SUMIFS('Locations Data'!$C:$C,'Locations Data'!$G:$G,$B16,'Locations Data'!$B:$B,CY$5)&gt;0,1,0)</f>
        <v>1</v>
      </c>
      <c r="CZ16" s="6">
        <f>IF(SUMIFS('Locations Data'!$C:$C,'Locations Data'!$G:$G,$B16,'Locations Data'!$B:$B,CZ$5)&gt;0,1,0)</f>
        <v>0</v>
      </c>
      <c r="DA16" s="6">
        <f>IF(SUMIFS('Locations Data'!$C:$C,'Locations Data'!$G:$G,$B16,'Locations Data'!$B:$B,DA$5)&gt;0,1,0)</f>
        <v>0</v>
      </c>
      <c r="DB16" s="6">
        <f>IF(SUMIFS('Locations Data'!$C:$C,'Locations Data'!$G:$G,$B16,'Locations Data'!$B:$B,DB$5)&gt;0,1,0)</f>
        <v>1</v>
      </c>
      <c r="DC16" s="6">
        <f>IF(SUMIFS('Locations Data'!$C:$C,'Locations Data'!$G:$G,$B16,'Locations Data'!$B:$B,DC$5)&gt;0,1,0)</f>
        <v>1</v>
      </c>
      <c r="DD16" s="6">
        <f>IF(SUMIFS('Locations Data'!$C:$C,'Locations Data'!$G:$G,$B16,'Locations Data'!$B:$B,DD$5)&gt;0,1,0)</f>
        <v>1</v>
      </c>
      <c r="DE16" s="6">
        <f>IF(SUMIFS('Locations Data'!$C:$C,'Locations Data'!$G:$G,$B16,'Locations Data'!$B:$B,DE$5)&gt;0,1,0)</f>
        <v>1</v>
      </c>
      <c r="DF16" s="6">
        <f>IF(SUMIFS('Locations Data'!$C:$C,'Locations Data'!$G:$G,$B16,'Locations Data'!$B:$B,DF$5)&gt;0,1,0)</f>
        <v>1</v>
      </c>
      <c r="DG16" s="6">
        <f>IF(SUMIFS('Locations Data'!$C:$C,'Locations Data'!$G:$G,$B16,'Locations Data'!$B:$B,DG$5)&gt;0,1,0)</f>
        <v>0</v>
      </c>
      <c r="DH16" s="6">
        <f>IF(SUMIFS('Locations Data'!$C:$C,'Locations Data'!$G:$G,$B16,'Locations Data'!$B:$B,DH$5)&gt;0,1,0)</f>
        <v>0</v>
      </c>
      <c r="DI16" s="6">
        <f>IF(SUMIFS('Locations Data'!$C:$C,'Locations Data'!$G:$G,$B16,'Locations Data'!$B:$B,DI$5)&gt;0,1,0)</f>
        <v>1</v>
      </c>
      <c r="DJ16" s="6">
        <f>IF(SUMIFS('Locations Data'!$C:$C,'Locations Data'!$G:$G,$B16,'Locations Data'!$B:$B,DJ$5)&gt;0,1,0)</f>
        <v>1</v>
      </c>
      <c r="DK16" s="6">
        <f>IF(SUMIFS('Locations Data'!$C:$C,'Locations Data'!$G:$G,$B16,'Locations Data'!$B:$B,DK$5)&gt;0,1,0)</f>
        <v>1</v>
      </c>
      <c r="DL16" s="6">
        <f>IF(SUMIFS('Locations Data'!$C:$C,'Locations Data'!$G:$G,$B16,'Locations Data'!$B:$B,DL$5)&gt;0,1,0)</f>
        <v>1</v>
      </c>
      <c r="DM16" s="6">
        <f>IF(SUMIFS('Locations Data'!$C:$C,'Locations Data'!$G:$G,$B16,'Locations Data'!$B:$B,DM$5)&gt;0,1,0)</f>
        <v>1</v>
      </c>
      <c r="DN16" s="6">
        <f>IF(SUMIFS('Locations Data'!$C:$C,'Locations Data'!$G:$G,$B16,'Locations Data'!$B:$B,DN$5)&gt;0,1,0)</f>
        <v>0</v>
      </c>
      <c r="DO16" s="6">
        <f>IF(SUMIFS('Locations Data'!$C:$C,'Locations Data'!$G:$G,$B16,'Locations Data'!$B:$B,DO$5)&gt;0,1,0)</f>
        <v>0</v>
      </c>
      <c r="DP16" s="6">
        <f>IF(SUMIFS('Locations Data'!$C:$C,'Locations Data'!$G:$G,$B16,'Locations Data'!$B:$B,DP$5)&gt;0,1,0)</f>
        <v>1</v>
      </c>
      <c r="DQ16" s="6">
        <f>IF(SUMIFS('Locations Data'!$C:$C,'Locations Data'!$G:$G,$B16,'Locations Data'!$B:$B,DQ$5)&gt;0,1,0)</f>
        <v>1</v>
      </c>
      <c r="DR16" s="6">
        <f>IF(SUMIFS('Locations Data'!$C:$C,'Locations Data'!$G:$G,$B16,'Locations Data'!$B:$B,DR$5)&gt;0,1,0)</f>
        <v>1</v>
      </c>
      <c r="DS16" s="6">
        <f>IF(SUMIFS('Locations Data'!$C:$C,'Locations Data'!$G:$G,$B16,'Locations Data'!$B:$B,DS$5)&gt;0,1,0)</f>
        <v>1</v>
      </c>
      <c r="DT16" s="6">
        <f>IF(SUMIFS('Locations Data'!$C:$C,'Locations Data'!$G:$G,$B16,'Locations Data'!$B:$B,DT$5)&gt;0,1,0)</f>
        <v>1</v>
      </c>
      <c r="DU16" s="6">
        <f>IF(SUMIFS('Locations Data'!$C:$C,'Locations Data'!$G:$G,$B16,'Locations Data'!$B:$B,DU$5)&gt;0,1,0)</f>
        <v>0</v>
      </c>
      <c r="DV16" s="6">
        <f>IF(SUMIFS('Locations Data'!$C:$C,'Locations Data'!$G:$G,$B16,'Locations Data'!$B:$B,DV$5)&gt;0,1,0)</f>
        <v>0</v>
      </c>
      <c r="DW16" s="6">
        <f>IF(SUMIFS('Locations Data'!$C:$C,'Locations Data'!$G:$G,$B16,'Locations Data'!$B:$B,DW$5)&gt;0,1,0)</f>
        <v>1</v>
      </c>
      <c r="DX16" s="6">
        <f>IF(SUMIFS('Locations Data'!$C:$C,'Locations Data'!$G:$G,$B16,'Locations Data'!$B:$B,DX$5)&gt;0,1,0)</f>
        <v>1</v>
      </c>
      <c r="DY16" s="6">
        <f>IF(SUMIFS('Locations Data'!$C:$C,'Locations Data'!$G:$G,$B16,'Locations Data'!$B:$B,DY$5)&gt;0,1,0)</f>
        <v>1</v>
      </c>
      <c r="DZ16" s="6">
        <f>IF(SUMIFS('Locations Data'!$C:$C,'Locations Data'!$G:$G,$B16,'Locations Data'!$B:$B,DZ$5)&gt;0,1,0)</f>
        <v>1</v>
      </c>
      <c r="EA16" s="6">
        <f>IF(SUMIFS('Locations Data'!$C:$C,'Locations Data'!$G:$G,$B16,'Locations Data'!$B:$B,EA$5)&gt;0,1,0)</f>
        <v>1</v>
      </c>
      <c r="EB16" s="6">
        <f>IF(SUMIFS('Locations Data'!$C:$C,'Locations Data'!$G:$G,$B16,'Locations Data'!$B:$B,EB$5)&gt;0,1,0)</f>
        <v>0</v>
      </c>
      <c r="EC16" s="6">
        <f>IF(SUMIFS('Locations Data'!$C:$C,'Locations Data'!$G:$G,$B16,'Locations Data'!$B:$B,EC$5)&gt;0,1,0)</f>
        <v>0</v>
      </c>
      <c r="ED16" s="6">
        <f>IF(SUMIFS('Locations Data'!$C:$C,'Locations Data'!$G:$G,$B16,'Locations Data'!$B:$B,ED$5)&gt;0,1,0)</f>
        <v>1</v>
      </c>
      <c r="EE16" s="6">
        <f>IF(SUMIFS('Locations Data'!$C:$C,'Locations Data'!$G:$G,$B16,'Locations Data'!$B:$B,EE$5)&gt;0,1,0)</f>
        <v>1</v>
      </c>
      <c r="EF16" s="6">
        <f>IF(SUMIFS('Locations Data'!$C:$C,'Locations Data'!$G:$G,$B16,'Locations Data'!$B:$B,EF$5)&gt;0,1,0)</f>
        <v>1</v>
      </c>
      <c r="EG16" s="6">
        <f>IF(SUMIFS('Locations Data'!$C:$C,'Locations Data'!$G:$G,$B16,'Locations Data'!$B:$B,EG$5)&gt;0,1,0)</f>
        <v>1</v>
      </c>
      <c r="EH16" s="6">
        <f>IF(SUMIFS('Locations Data'!$C:$C,'Locations Data'!$G:$G,$B16,'Locations Data'!$B:$B,EH$5)&gt;0,1,0)</f>
        <v>1</v>
      </c>
      <c r="EI16" s="6">
        <f>IF(SUMIFS('Locations Data'!$C:$C,'Locations Data'!$G:$G,$B16,'Locations Data'!$B:$B,EI$5)&gt;0,1,0)</f>
        <v>0</v>
      </c>
      <c r="EJ16" s="6">
        <f>IF(SUMIFS('Locations Data'!$C:$C,'Locations Data'!$G:$G,$B16,'Locations Data'!$B:$B,EJ$5)&gt;0,1,0)</f>
        <v>0</v>
      </c>
      <c r="EK16" s="6">
        <f>IF(SUMIFS('Locations Data'!$C:$C,'Locations Data'!$G:$G,$B16,'Locations Data'!$B:$B,EK$5)&gt;0,1,0)</f>
        <v>1</v>
      </c>
      <c r="EL16" s="6">
        <f>IF(SUMIFS('Locations Data'!$C:$C,'Locations Data'!$G:$G,$B16,'Locations Data'!$B:$B,EL$5)&gt;0,1,0)</f>
        <v>1</v>
      </c>
      <c r="EM16" s="6">
        <f>IF(SUMIFS('Locations Data'!$C:$C,'Locations Data'!$G:$G,$B16,'Locations Data'!$B:$B,EM$5)&gt;0,1,0)</f>
        <v>1</v>
      </c>
      <c r="EN16" s="6">
        <f>IF(SUMIFS('Locations Data'!$C:$C,'Locations Data'!$G:$G,$B16,'Locations Data'!$B:$B,EN$5)&gt;0,1,0)</f>
        <v>1</v>
      </c>
      <c r="EO16" s="6">
        <f>IF(SUMIFS('Locations Data'!$C:$C,'Locations Data'!$G:$G,$B16,'Locations Data'!$B:$B,EO$5)&gt;0,1,0)</f>
        <v>1</v>
      </c>
      <c r="EP16" s="6">
        <f>IF(SUMIFS('Locations Data'!$C:$C,'Locations Data'!$G:$G,$B16,'Locations Data'!$B:$B,EP$5)&gt;0,1,0)</f>
        <v>0</v>
      </c>
      <c r="EQ16" s="6">
        <f>IF(SUMIFS('Locations Data'!$C:$C,'Locations Data'!$G:$G,$B16,'Locations Data'!$B:$B,EQ$5)&gt;0,1,0)</f>
        <v>0</v>
      </c>
      <c r="ER16" s="6">
        <f>IF(SUMIFS('Locations Data'!$C:$C,'Locations Data'!$G:$G,$B16,'Locations Data'!$B:$B,ER$5)&gt;0,1,0)</f>
        <v>1</v>
      </c>
      <c r="ES16" s="6">
        <f>IF(SUMIFS('Locations Data'!$C:$C,'Locations Data'!$G:$G,$B16,'Locations Data'!$B:$B,ES$5)&gt;0,1,0)</f>
        <v>1</v>
      </c>
      <c r="ET16" s="6">
        <f>IF(SUMIFS('Locations Data'!$C:$C,'Locations Data'!$G:$G,$B16,'Locations Data'!$B:$B,ET$5)&gt;0,1,0)</f>
        <v>1</v>
      </c>
      <c r="EU16" s="6">
        <f>IF(SUMIFS('Locations Data'!$C:$C,'Locations Data'!$G:$G,$B16,'Locations Data'!$B:$B,EU$5)&gt;0,1,0)</f>
        <v>1</v>
      </c>
      <c r="EV16" s="6">
        <f>IF(SUMIFS('Locations Data'!$C:$C,'Locations Data'!$G:$G,$B16,'Locations Data'!$B:$B,EV$5)&gt;0,1,0)</f>
        <v>1</v>
      </c>
      <c r="EW16" s="6">
        <f>IF(SUMIFS('Locations Data'!$C:$C,'Locations Data'!$G:$G,$B16,'Locations Data'!$B:$B,EW$5)&gt;0,1,0)</f>
        <v>0</v>
      </c>
      <c r="EX16" s="6">
        <f>IF(SUMIFS('Locations Data'!$C:$C,'Locations Data'!$G:$G,$B16,'Locations Data'!$B:$B,EX$5)&gt;0,1,0)</f>
        <v>0</v>
      </c>
      <c r="EY16" s="6">
        <f>IF(SUMIFS('Locations Data'!$C:$C,'Locations Data'!$G:$G,$B16,'Locations Data'!$B:$B,EY$5)&gt;0,1,0)</f>
        <v>1</v>
      </c>
      <c r="EZ16" s="6">
        <f>IF(SUMIFS('Locations Data'!$C:$C,'Locations Data'!$G:$G,$B16,'Locations Data'!$B:$B,EZ$5)&gt;0,1,0)</f>
        <v>1</v>
      </c>
      <c r="FA16" s="6">
        <f>IF(SUMIFS('Locations Data'!$C:$C,'Locations Data'!$G:$G,$B16,'Locations Data'!$B:$B,FA$5)&gt;0,1,0)</f>
        <v>1</v>
      </c>
      <c r="FB16" s="6">
        <f>IF(SUMIFS('Locations Data'!$C:$C,'Locations Data'!$G:$G,$B16,'Locations Data'!$B:$B,FB$5)&gt;0,1,0)</f>
        <v>1</v>
      </c>
      <c r="FC16" s="6">
        <f>IF(SUMIFS('Locations Data'!$C:$C,'Locations Data'!$G:$G,$B16,'Locations Data'!$B:$B,FC$5)&gt;0,1,0)</f>
        <v>1</v>
      </c>
      <c r="FD16" s="6">
        <f>IF(SUMIFS('Locations Data'!$C:$C,'Locations Data'!$G:$G,$B16,'Locations Data'!$B:$B,FD$5)&gt;0,1,0)</f>
        <v>0</v>
      </c>
      <c r="FE16" s="6">
        <f>IF(SUMIFS('Locations Data'!$C:$C,'Locations Data'!$G:$G,$B16,'Locations Data'!$B:$B,FE$5)&gt;0,1,0)</f>
        <v>0</v>
      </c>
      <c r="FF16" s="6">
        <f>IF(SUMIFS('Locations Data'!$C:$C,'Locations Data'!$G:$G,$B16,'Locations Data'!$B:$B,FF$5)&gt;0,1,0)</f>
        <v>1</v>
      </c>
      <c r="FG16" s="6">
        <f>IF(SUMIFS('Locations Data'!$C:$C,'Locations Data'!$G:$G,$B16,'Locations Data'!$B:$B,FG$5)&gt;0,1,0)</f>
        <v>1</v>
      </c>
      <c r="FH16" s="6">
        <f>IF(SUMIFS('Locations Data'!$C:$C,'Locations Data'!$G:$G,$B16,'Locations Data'!$B:$B,FH$5)&gt;0,1,0)</f>
        <v>1</v>
      </c>
      <c r="FI16" s="6">
        <f>IF(SUMIFS('Locations Data'!$C:$C,'Locations Data'!$G:$G,$B16,'Locations Data'!$B:$B,FI$5)&gt;0,1,0)</f>
        <v>1</v>
      </c>
      <c r="FJ16" s="6">
        <f>IF(SUMIFS('Locations Data'!$C:$C,'Locations Data'!$G:$G,$B16,'Locations Data'!$B:$B,FJ$5)&gt;0,1,0)</f>
        <v>1</v>
      </c>
      <c r="FK16" s="6">
        <f>IF(SUMIFS('Locations Data'!$C:$C,'Locations Data'!$G:$G,$B16,'Locations Data'!$B:$B,FK$5)&gt;0,1,0)</f>
        <v>0</v>
      </c>
      <c r="FL16" s="6">
        <f>IF(SUMIFS('Locations Data'!$C:$C,'Locations Data'!$G:$G,$B16,'Locations Data'!$B:$B,FL$5)&gt;0,1,0)</f>
        <v>0</v>
      </c>
      <c r="FM16" s="6">
        <f>IF(SUMIFS('Locations Data'!$C:$C,'Locations Data'!$G:$G,$B16,'Locations Data'!$B:$B,FM$5)&gt;0,1,0)</f>
        <v>1</v>
      </c>
      <c r="FN16" s="6">
        <f>IF(SUMIFS('Locations Data'!$C:$C,'Locations Data'!$G:$G,$B16,'Locations Data'!$B:$B,FN$5)&gt;0,1,0)</f>
        <v>1</v>
      </c>
      <c r="FO16" s="6">
        <f>IF(SUMIFS('Locations Data'!$C:$C,'Locations Data'!$G:$G,$B16,'Locations Data'!$B:$B,FO$5)&gt;0,1,0)</f>
        <v>1</v>
      </c>
      <c r="FP16" s="6">
        <f>IF(SUMIFS('Locations Data'!$C:$C,'Locations Data'!$G:$G,$B16,'Locations Data'!$B:$B,FP$5)&gt;0,1,0)</f>
        <v>1</v>
      </c>
      <c r="FQ16" s="6">
        <f>IF(SUMIFS('Locations Data'!$C:$C,'Locations Data'!$G:$G,$B16,'Locations Data'!$B:$B,FQ$5)&gt;0,1,0)</f>
        <v>1</v>
      </c>
      <c r="FR16" s="6">
        <f>IF(SUMIFS('Locations Data'!$C:$C,'Locations Data'!$G:$G,$B16,'Locations Data'!$B:$B,FR$5)&gt;0,1,0)</f>
        <v>0</v>
      </c>
      <c r="FS16" s="6">
        <f>IF(SUMIFS('Locations Data'!$C:$C,'Locations Data'!$G:$G,$B16,'Locations Data'!$B:$B,FS$5)&gt;0,1,0)</f>
        <v>0</v>
      </c>
      <c r="FT16" s="6">
        <f>IF(SUMIFS('Locations Data'!$C:$C,'Locations Data'!$G:$G,$B16,'Locations Data'!$B:$B,FT$5)&gt;0,1,0)</f>
        <v>1</v>
      </c>
      <c r="FU16" s="6">
        <f>IF(SUMIFS('Locations Data'!$C:$C,'Locations Data'!$G:$G,$B16,'Locations Data'!$B:$B,FU$5)&gt;0,1,0)</f>
        <v>1</v>
      </c>
      <c r="FV16" s="6">
        <f>IF(SUMIFS('Locations Data'!$C:$C,'Locations Data'!$G:$G,$B16,'Locations Data'!$B:$B,FV$5)&gt;0,1,0)</f>
        <v>1</v>
      </c>
      <c r="FW16" s="6">
        <f>IF(SUMIFS('Locations Data'!$C:$C,'Locations Data'!$G:$G,$B16,'Locations Data'!$B:$B,FW$5)&gt;0,1,0)</f>
        <v>1</v>
      </c>
      <c r="FX16" s="6">
        <f>IF(SUMIFS('Locations Data'!$C:$C,'Locations Data'!$G:$G,$B16,'Locations Data'!$B:$B,FX$5)&gt;0,1,0)</f>
        <v>1</v>
      </c>
      <c r="FY16" s="6">
        <f>IF(SUMIFS('Locations Data'!$C:$C,'Locations Data'!$G:$G,$B16,'Locations Data'!$B:$B,FY$5)&gt;0,1,0)</f>
        <v>0</v>
      </c>
      <c r="FZ16" s="6">
        <f>IF(SUMIFS('Locations Data'!$C:$C,'Locations Data'!$G:$G,$B16,'Locations Data'!$B:$B,FZ$5)&gt;0,1,0)</f>
        <v>0</v>
      </c>
      <c r="GA16" s="6">
        <f>IF(SUMIFS('Locations Data'!$C:$C,'Locations Data'!$G:$G,$B16,'Locations Data'!$B:$B,GA$5)&gt;0,1,0)</f>
        <v>1</v>
      </c>
      <c r="GB16" s="6">
        <f>IF(SUMIFS('Locations Data'!$C:$C,'Locations Data'!$G:$G,$B16,'Locations Data'!$B:$B,GB$5)&gt;0,1,0)</f>
        <v>1</v>
      </c>
      <c r="GC16" s="6">
        <f>IF(SUMIFS('Locations Data'!$C:$C,'Locations Data'!$G:$G,$B16,'Locations Data'!$B:$B,GC$5)&gt;0,1,0)</f>
        <v>1</v>
      </c>
      <c r="GD16" s="6">
        <f>IF(SUMIFS('Locations Data'!$C:$C,'Locations Data'!$G:$G,$B16,'Locations Data'!$B:$B,GD$5)&gt;0,1,0)</f>
        <v>1</v>
      </c>
      <c r="GE16" s="6">
        <f>IF(SUMIFS('Locations Data'!$C:$C,'Locations Data'!$G:$G,$B16,'Locations Data'!$B:$B,GE$5)&gt;0,1,0)</f>
        <v>1</v>
      </c>
      <c r="GF16" s="6">
        <f>IF(SUMIFS('Locations Data'!$C:$C,'Locations Data'!$G:$G,$B16,'Locations Data'!$B:$B,GF$5)&gt;0,1,0)</f>
        <v>0</v>
      </c>
      <c r="GG16" s="6">
        <f>IF(SUMIFS('Locations Data'!$C:$C,'Locations Data'!$G:$G,$B16,'Locations Data'!$B:$B,GG$5)&gt;0,1,0)</f>
        <v>0</v>
      </c>
      <c r="GH16" s="6">
        <f>IF(SUMIFS('Locations Data'!$C:$C,'Locations Data'!$G:$G,$B16,'Locations Data'!$B:$B,GH$5)&gt;0,1,0)</f>
        <v>1</v>
      </c>
      <c r="GI16" s="6">
        <f>IF(SUMIFS('Locations Data'!$C:$C,'Locations Data'!$G:$G,$B16,'Locations Data'!$B:$B,GI$5)&gt;0,1,0)</f>
        <v>1</v>
      </c>
      <c r="GJ16" s="6">
        <f>IF(SUMIFS('Locations Data'!$C:$C,'Locations Data'!$G:$G,$B16,'Locations Data'!$B:$B,GJ$5)&gt;0,1,0)</f>
        <v>1</v>
      </c>
      <c r="GK16" s="6">
        <f>IF(SUMIFS('Locations Data'!$C:$C,'Locations Data'!$G:$G,$B16,'Locations Data'!$B:$B,GK$5)&gt;0,1,0)</f>
        <v>1</v>
      </c>
      <c r="GL16" s="6">
        <f>IF(SUMIFS('Locations Data'!$C:$C,'Locations Data'!$G:$G,$B16,'Locations Data'!$B:$B,GL$5)&gt;0,1,0)</f>
        <v>1</v>
      </c>
      <c r="GM16" s="6">
        <f>IF(SUMIFS('Locations Data'!$C:$C,'Locations Data'!$G:$G,$B16,'Locations Data'!$B:$B,GM$5)&gt;0,1,0)</f>
        <v>0</v>
      </c>
      <c r="GN16" s="6">
        <f>IF(SUMIFS('Locations Data'!$C:$C,'Locations Data'!$G:$G,$B16,'Locations Data'!$B:$B,GN$5)&gt;0,1,0)</f>
        <v>0</v>
      </c>
      <c r="GO16" s="6">
        <f>IF(SUMIFS('Locations Data'!$C:$C,'Locations Data'!$G:$G,$B16,'Locations Data'!$B:$B,GO$5)&gt;0,1,0)</f>
        <v>1</v>
      </c>
      <c r="GP16" s="6">
        <f>IF(SUMIFS('Locations Data'!$C:$C,'Locations Data'!$G:$G,$B16,'Locations Data'!$B:$B,GP$5)&gt;0,1,0)</f>
        <v>1</v>
      </c>
      <c r="GQ16" s="6">
        <f>IF(SUMIFS('Locations Data'!$C:$C,'Locations Data'!$G:$G,$B16,'Locations Data'!$B:$B,GQ$5)&gt;0,1,0)</f>
        <v>1</v>
      </c>
      <c r="GR16" s="6">
        <f>IF(SUMIFS('Locations Data'!$C:$C,'Locations Data'!$G:$G,$B16,'Locations Data'!$B:$B,GR$5)&gt;0,1,0)</f>
        <v>1</v>
      </c>
      <c r="GS16" s="6">
        <f>IF(SUMIFS('Locations Data'!$C:$C,'Locations Data'!$G:$G,$B16,'Locations Data'!$B:$B,GS$5)&gt;0,1,0)</f>
        <v>1</v>
      </c>
      <c r="GT16" s="6">
        <f>IF(SUMIFS('Locations Data'!$C:$C,'Locations Data'!$G:$G,$B16,'Locations Data'!$B:$B,GT$5)&gt;0,1,0)</f>
        <v>0</v>
      </c>
      <c r="GU16" s="6">
        <f>IF(SUMIFS('Locations Data'!$C:$C,'Locations Data'!$G:$G,$B16,'Locations Data'!$B:$B,GU$5)&gt;0,1,0)</f>
        <v>0</v>
      </c>
      <c r="GV16" s="6">
        <f>IF(SUMIFS('Locations Data'!$C:$C,'Locations Data'!$G:$G,$B16,'Locations Data'!$B:$B,GV$5)&gt;0,1,0)</f>
        <v>1</v>
      </c>
      <c r="GW16" s="6">
        <f>IF(SUMIFS('Locations Data'!$C:$C,'Locations Data'!$G:$G,$B16,'Locations Data'!$B:$B,GW$5)&gt;0,1,0)</f>
        <v>1</v>
      </c>
      <c r="GX16" s="6">
        <f>IF(SUMIFS('Locations Data'!$C:$C,'Locations Data'!$G:$G,$B16,'Locations Data'!$B:$B,GX$5)&gt;0,1,0)</f>
        <v>1</v>
      </c>
      <c r="GY16" s="6">
        <f>IF(SUMIFS('Locations Data'!$C:$C,'Locations Data'!$G:$G,$B16,'Locations Data'!$B:$B,GY$5)&gt;0,1,0)</f>
        <v>1</v>
      </c>
      <c r="GZ16" s="6">
        <f>IF(SUMIFS('Locations Data'!$C:$C,'Locations Data'!$G:$G,$B16,'Locations Data'!$B:$B,GZ$5)&gt;0,1,0)</f>
        <v>1</v>
      </c>
      <c r="HA16" s="6">
        <f>IF(SUMIFS('Locations Data'!$C:$C,'Locations Data'!$G:$G,$B16,'Locations Data'!$B:$B,HA$5)&gt;0,1,0)</f>
        <v>0</v>
      </c>
      <c r="HB16" s="6">
        <f>IF(SUMIFS('Locations Data'!$C:$C,'Locations Data'!$G:$G,$B16,'Locations Data'!$B:$B,HB$5)&gt;0,1,0)</f>
        <v>0</v>
      </c>
      <c r="HC16" s="6">
        <f>IF(SUMIFS('Locations Data'!$C:$C,'Locations Data'!$G:$G,$B16,'Locations Data'!$B:$B,HC$5)&gt;0,1,0)</f>
        <v>1</v>
      </c>
      <c r="HD16" s="6">
        <f>IF(SUMIFS('Locations Data'!$C:$C,'Locations Data'!$G:$G,$B16,'Locations Data'!$B:$B,HD$5)&gt;0,1,0)</f>
        <v>1</v>
      </c>
      <c r="HE16" s="6">
        <f>IF(SUMIFS('Locations Data'!$C:$C,'Locations Data'!$G:$G,$B16,'Locations Data'!$B:$B,HE$5)&gt;0,1,0)</f>
        <v>1</v>
      </c>
      <c r="HF16" s="6">
        <f>IF(SUMIFS('Locations Data'!$C:$C,'Locations Data'!$G:$G,$B16,'Locations Data'!$B:$B,HF$5)&gt;0,1,0)</f>
        <v>1</v>
      </c>
      <c r="HG16" s="6">
        <f>IF(SUMIFS('Locations Data'!$C:$C,'Locations Data'!$G:$G,$B16,'Locations Data'!$B:$B,HG$5)&gt;0,1,0)</f>
        <v>1</v>
      </c>
      <c r="HH16" s="6">
        <f>IF(SUMIFS('Locations Data'!$C:$C,'Locations Data'!$G:$G,$B16,'Locations Data'!$B:$B,HH$5)&gt;0,1,0)</f>
        <v>0</v>
      </c>
      <c r="HI16" s="6">
        <f>IF(SUMIFS('Locations Data'!$C:$C,'Locations Data'!$G:$G,$B16,'Locations Data'!$B:$B,HI$5)&gt;0,1,0)</f>
        <v>0</v>
      </c>
      <c r="HJ16" s="6">
        <f>IF(SUMIFS('Locations Data'!$C:$C,'Locations Data'!$G:$G,$B16,'Locations Data'!$B:$B,HJ$5)&gt;0,1,0)</f>
        <v>1</v>
      </c>
      <c r="HK16" s="6">
        <f>IF(SUMIFS('Locations Data'!$C:$C,'Locations Data'!$G:$G,$B16,'Locations Data'!$B:$B,HK$5)&gt;0,1,0)</f>
        <v>1</v>
      </c>
      <c r="HL16" s="6">
        <f>IF(SUMIFS('Locations Data'!$C:$C,'Locations Data'!$G:$G,$B16,'Locations Data'!$B:$B,HL$5)&gt;0,1,0)</f>
        <v>1</v>
      </c>
      <c r="HM16" s="6">
        <f>IF(SUMIFS('Locations Data'!$C:$C,'Locations Data'!$G:$G,$B16,'Locations Data'!$B:$B,HM$5)&gt;0,1,0)</f>
        <v>1</v>
      </c>
      <c r="HN16" s="6">
        <f>IF(SUMIFS('Locations Data'!$C:$C,'Locations Data'!$G:$G,$B16,'Locations Data'!$B:$B,HN$5)&gt;0,1,0)</f>
        <v>1</v>
      </c>
      <c r="HO16" s="6">
        <f>IF(SUMIFS('Locations Data'!$C:$C,'Locations Data'!$G:$G,$B16,'Locations Data'!$B:$B,HO$5)&gt;0,1,0)</f>
        <v>0</v>
      </c>
      <c r="HP16" s="6">
        <f>IF(SUMIFS('Locations Data'!$C:$C,'Locations Data'!$G:$G,$B16,'Locations Data'!$B:$B,HP$5)&gt;0,1,0)</f>
        <v>0</v>
      </c>
      <c r="HQ16" s="6">
        <f>IF(SUMIFS('Locations Data'!$C:$C,'Locations Data'!$G:$G,$B16,'Locations Data'!$B:$B,HQ$5)&gt;0,1,0)</f>
        <v>1</v>
      </c>
      <c r="HR16" s="6">
        <f>IF(SUMIFS('Locations Data'!$C:$C,'Locations Data'!$G:$G,$B16,'Locations Data'!$B:$B,HR$5)&gt;0,1,0)</f>
        <v>1</v>
      </c>
      <c r="HS16" s="6">
        <f>IF(SUMIFS('Locations Data'!$C:$C,'Locations Data'!$G:$G,$B16,'Locations Data'!$B:$B,HS$5)&gt;0,1,0)</f>
        <v>1</v>
      </c>
      <c r="HT16" s="6">
        <f>IF(SUMIFS('Locations Data'!$C:$C,'Locations Data'!$G:$G,$B16,'Locations Data'!$B:$B,HT$5)&gt;0,1,0)</f>
        <v>1</v>
      </c>
      <c r="HU16" s="6">
        <f>IF(SUMIFS('Locations Data'!$C:$C,'Locations Data'!$G:$G,$B16,'Locations Data'!$B:$B,HU$5)&gt;0,1,0)</f>
        <v>1</v>
      </c>
      <c r="HV16" s="6">
        <f>IF(SUMIFS('Locations Data'!$C:$C,'Locations Data'!$G:$G,$B16,'Locations Data'!$B:$B,HV$5)&gt;0,1,0)</f>
        <v>0</v>
      </c>
      <c r="HW16" s="6">
        <f>IF(SUMIFS('Locations Data'!$C:$C,'Locations Data'!$G:$G,$B16,'Locations Data'!$B:$B,HW$5)&gt;0,1,0)</f>
        <v>0</v>
      </c>
      <c r="HX16" s="6">
        <f>IF(SUMIFS('Locations Data'!$C:$C,'Locations Data'!$G:$G,$B16,'Locations Data'!$B:$B,HX$5)&gt;0,1,0)</f>
        <v>1</v>
      </c>
      <c r="HY16" s="6">
        <f>IF(SUMIFS('Locations Data'!$C:$C,'Locations Data'!$G:$G,$B16,'Locations Data'!$B:$B,HY$5)&gt;0,1,0)</f>
        <v>1</v>
      </c>
      <c r="HZ16" s="6">
        <f>IF(SUMIFS('Locations Data'!$C:$C,'Locations Data'!$G:$G,$B16,'Locations Data'!$B:$B,HZ$5)&gt;0,1,0)</f>
        <v>1</v>
      </c>
      <c r="IA16" s="6">
        <f>IF(SUMIFS('Locations Data'!$C:$C,'Locations Data'!$G:$G,$B16,'Locations Data'!$B:$B,IA$5)&gt;0,1,0)</f>
        <v>1</v>
      </c>
      <c r="IB16" s="6">
        <f>IF(SUMIFS('Locations Data'!$C:$C,'Locations Data'!$G:$G,$B16,'Locations Data'!$B:$B,IB$5)&gt;0,1,0)</f>
        <v>1</v>
      </c>
      <c r="IC16" s="6">
        <f>IF(SUMIFS('Locations Data'!$C:$C,'Locations Data'!$G:$G,$B16,'Locations Data'!$B:$B,IC$5)&gt;0,1,0)</f>
        <v>0</v>
      </c>
      <c r="ID16" s="6">
        <f>IF(SUMIFS('Locations Data'!$C:$C,'Locations Data'!$G:$G,$B16,'Locations Data'!$B:$B,ID$5)&gt;0,1,0)</f>
        <v>0</v>
      </c>
      <c r="IE16" s="6">
        <f>IF(SUMIFS('Locations Data'!$C:$C,'Locations Data'!$G:$G,$B16,'Locations Data'!$B:$B,IE$5)&gt;0,1,0)</f>
        <v>1</v>
      </c>
      <c r="IF16" s="6">
        <f>IF(SUMIFS('Locations Data'!$C:$C,'Locations Data'!$G:$G,$B16,'Locations Data'!$B:$B,IF$5)&gt;0,1,0)</f>
        <v>1</v>
      </c>
      <c r="IG16" s="6">
        <f>IF(SUMIFS('Locations Data'!$C:$C,'Locations Data'!$G:$G,$B16,'Locations Data'!$B:$B,IG$5)&gt;0,1,0)</f>
        <v>1</v>
      </c>
      <c r="IH16" s="6">
        <f>IF(SUMIFS('Locations Data'!$C:$C,'Locations Data'!$G:$G,$B16,'Locations Data'!$B:$B,IH$5)&gt;0,1,0)</f>
        <v>1</v>
      </c>
      <c r="II16" s="6">
        <f>IF(SUMIFS('Locations Data'!$C:$C,'Locations Data'!$G:$G,$B16,'Locations Data'!$B:$B,II$5)&gt;0,1,0)</f>
        <v>1</v>
      </c>
      <c r="IJ16" s="6">
        <f>IF(SUMIFS('Locations Data'!$C:$C,'Locations Data'!$G:$G,$B16,'Locations Data'!$B:$B,IJ$5)&gt;0,1,0)</f>
        <v>0</v>
      </c>
      <c r="IK16" s="6">
        <f>IF(SUMIFS('Locations Data'!$C:$C,'Locations Data'!$G:$G,$B16,'Locations Data'!$B:$B,IK$5)&gt;0,1,0)</f>
        <v>0</v>
      </c>
      <c r="IL16" s="6">
        <f>IF(SUMIFS('Locations Data'!$C:$C,'Locations Data'!$G:$G,$B16,'Locations Data'!$B:$B,IL$5)&gt;0,1,0)</f>
        <v>1</v>
      </c>
      <c r="IM16" s="6">
        <f>IF(SUMIFS('Locations Data'!$C:$C,'Locations Data'!$G:$G,$B16,'Locations Data'!$B:$B,IM$5)&gt;0,1,0)</f>
        <v>1</v>
      </c>
      <c r="IN16" s="6">
        <f>IF(SUMIFS('Locations Data'!$C:$C,'Locations Data'!$G:$G,$B16,'Locations Data'!$B:$B,IN$5)&gt;0,1,0)</f>
        <v>1</v>
      </c>
      <c r="IO16" s="6">
        <f>IF(SUMIFS('Locations Data'!$C:$C,'Locations Data'!$G:$G,$B16,'Locations Data'!$B:$B,IO$5)&gt;0,1,0)</f>
        <v>1</v>
      </c>
      <c r="IP16" s="6">
        <f>IF(SUMIFS('Locations Data'!$C:$C,'Locations Data'!$G:$G,$B16,'Locations Data'!$B:$B,IP$5)&gt;0,1,0)</f>
        <v>1</v>
      </c>
      <c r="IQ16" s="6">
        <f>IF(SUMIFS('Locations Data'!$C:$C,'Locations Data'!$G:$G,$B16,'Locations Data'!$B:$B,IQ$5)&gt;0,1,0)</f>
        <v>0</v>
      </c>
      <c r="IR16" s="6">
        <f>IF(SUMIFS('Locations Data'!$C:$C,'Locations Data'!$G:$G,$B16,'Locations Data'!$B:$B,IR$5)&gt;0,1,0)</f>
        <v>0</v>
      </c>
      <c r="IS16" s="6">
        <f>IF(SUMIFS('Locations Data'!$C:$C,'Locations Data'!$G:$G,$B16,'Locations Data'!$B:$B,IS$5)&gt;0,1,0)</f>
        <v>1</v>
      </c>
      <c r="IT16" s="6">
        <f>IF(SUMIFS('Locations Data'!$C:$C,'Locations Data'!$G:$G,$B16,'Locations Data'!$B:$B,IT$5)&gt;0,1,0)</f>
        <v>1</v>
      </c>
      <c r="IU16" s="6">
        <f>IF(SUMIFS('Locations Data'!$C:$C,'Locations Data'!$G:$G,$B16,'Locations Data'!$B:$B,IU$5)&gt;0,1,0)</f>
        <v>1</v>
      </c>
      <c r="IV16" s="6">
        <f>IF(SUMIFS('Locations Data'!$C:$C,'Locations Data'!$G:$G,$B16,'Locations Data'!$B:$B,IV$5)&gt;0,1,0)</f>
        <v>1</v>
      </c>
      <c r="IW16" s="6">
        <f>IF(SUMIFS('Locations Data'!$C:$C,'Locations Data'!$G:$G,$B16,'Locations Data'!$B:$B,IW$5)&gt;0,1,0)</f>
        <v>1</v>
      </c>
      <c r="IX16" s="6">
        <f>IF(SUMIFS('Locations Data'!$C:$C,'Locations Data'!$G:$G,$B16,'Locations Data'!$B:$B,IX$5)&gt;0,1,0)</f>
        <v>0</v>
      </c>
      <c r="IY16" s="6">
        <f>IF(SUMIFS('Locations Data'!$C:$C,'Locations Data'!$G:$G,$B16,'Locations Data'!$B:$B,IY$5)&gt;0,1,0)</f>
        <v>0</v>
      </c>
      <c r="IZ16" s="6">
        <f>IF(SUMIFS('Locations Data'!$C:$C,'Locations Data'!$G:$G,$B16,'Locations Data'!$B:$B,IZ$5)&gt;0,1,0)</f>
        <v>1</v>
      </c>
      <c r="JA16" s="6">
        <f>IF(SUMIFS('Locations Data'!$C:$C,'Locations Data'!$G:$G,$B16,'Locations Data'!$B:$B,JA$5)&gt;0,1,0)</f>
        <v>1</v>
      </c>
      <c r="JB16" s="6">
        <f>IF(SUMIFS('Locations Data'!$C:$C,'Locations Data'!$G:$G,$B16,'Locations Data'!$B:$B,JB$5)&gt;0,1,0)</f>
        <v>1</v>
      </c>
      <c r="JC16" s="6">
        <f>IF(SUMIFS('Locations Data'!$C:$C,'Locations Data'!$G:$G,$B16,'Locations Data'!$B:$B,JC$5)&gt;0,1,0)</f>
        <v>1</v>
      </c>
      <c r="JD16" s="6">
        <f>IF(SUMIFS('Locations Data'!$C:$C,'Locations Data'!$G:$G,$B16,'Locations Data'!$B:$B,JD$5)&gt;0,1,0)</f>
        <v>1</v>
      </c>
      <c r="JE16" s="6">
        <f>IF(SUMIFS('Locations Data'!$C:$C,'Locations Data'!$G:$G,$B16,'Locations Data'!$B:$B,JE$5)&gt;0,1,0)</f>
        <v>0</v>
      </c>
      <c r="JF16" s="6">
        <f>IF(SUMIFS('Locations Data'!$C:$C,'Locations Data'!$G:$G,$B16,'Locations Data'!$B:$B,JF$5)&gt;0,1,0)</f>
        <v>0</v>
      </c>
      <c r="JG16" s="6">
        <f>IF(SUMIFS('Locations Data'!$C:$C,'Locations Data'!$G:$G,$B16,'Locations Data'!$B:$B,JG$5)&gt;0,1,0)</f>
        <v>1</v>
      </c>
      <c r="JH16" s="6">
        <f>IF(SUMIFS('Locations Data'!$C:$C,'Locations Data'!$G:$G,$B16,'Locations Data'!$B:$B,JH$5)&gt;0,1,0)</f>
        <v>1</v>
      </c>
      <c r="JI16" s="6">
        <f>IF(SUMIFS('Locations Data'!$C:$C,'Locations Data'!$G:$G,$B16,'Locations Data'!$B:$B,JI$5)&gt;0,1,0)</f>
        <v>1</v>
      </c>
      <c r="JJ16" s="6">
        <f>IF(SUMIFS('Locations Data'!$C:$C,'Locations Data'!$G:$G,$B16,'Locations Data'!$B:$B,JJ$5)&gt;0,1,0)</f>
        <v>1</v>
      </c>
      <c r="JK16" s="6">
        <f>IF(SUMIFS('Locations Data'!$C:$C,'Locations Data'!$G:$G,$B16,'Locations Data'!$B:$B,JK$5)&gt;0,1,0)</f>
        <v>1</v>
      </c>
      <c r="JL16" s="6">
        <f>IF(SUMIFS('Locations Data'!$C:$C,'Locations Data'!$G:$G,$B16,'Locations Data'!$B:$B,JL$5)&gt;0,1,0)</f>
        <v>0</v>
      </c>
      <c r="JM16" s="6">
        <f>IF(SUMIFS('Locations Data'!$C:$C,'Locations Data'!$G:$G,$B16,'Locations Data'!$B:$B,JM$5)&gt;0,1,0)</f>
        <v>0</v>
      </c>
      <c r="JN16" s="6">
        <f>IF(SUMIFS('Locations Data'!$C:$C,'Locations Data'!$G:$G,$B16,'Locations Data'!$B:$B,JN$5)&gt;0,1,0)</f>
        <v>1</v>
      </c>
      <c r="JO16" s="6">
        <f>IF(SUMIFS('Locations Data'!$C:$C,'Locations Data'!$G:$G,$B16,'Locations Data'!$B:$B,JO$5)&gt;0,1,0)</f>
        <v>1</v>
      </c>
      <c r="JP16" s="6">
        <f>IF(SUMIFS('Locations Data'!$C:$C,'Locations Data'!$G:$G,$B16,'Locations Data'!$B:$B,JP$5)&gt;0,1,0)</f>
        <v>1</v>
      </c>
      <c r="JQ16" s="6">
        <f>IF(SUMIFS('Locations Data'!$C:$C,'Locations Data'!$G:$G,$B16,'Locations Data'!$B:$B,JQ$5)&gt;0,1,0)</f>
        <v>1</v>
      </c>
      <c r="JR16" s="6">
        <f>IF(SUMIFS('Locations Data'!$C:$C,'Locations Data'!$G:$G,$B16,'Locations Data'!$B:$B,JR$5)&gt;0,1,0)</f>
        <v>1</v>
      </c>
      <c r="JS16" s="6">
        <f>IF(SUMIFS('Locations Data'!$C:$C,'Locations Data'!$G:$G,$B16,'Locations Data'!$B:$B,JS$5)&gt;0,1,0)</f>
        <v>0</v>
      </c>
      <c r="JT16" s="6">
        <f>IF(SUMIFS('Locations Data'!$C:$C,'Locations Data'!$G:$G,$B16,'Locations Data'!$B:$B,JT$5)&gt;0,1,0)</f>
        <v>0</v>
      </c>
      <c r="JU16" s="6">
        <f>IF(SUMIFS('Locations Data'!$C:$C,'Locations Data'!$G:$G,$B16,'Locations Data'!$B:$B,JU$5)&gt;0,1,0)</f>
        <v>1</v>
      </c>
      <c r="JV16" s="6">
        <f>IF(SUMIFS('Locations Data'!$C:$C,'Locations Data'!$G:$G,$B16,'Locations Data'!$B:$B,JV$5)&gt;0,1,0)</f>
        <v>1</v>
      </c>
      <c r="JW16" s="6">
        <f>IF(SUMIFS('Locations Data'!$C:$C,'Locations Data'!$G:$G,$B16,'Locations Data'!$B:$B,JW$5)&gt;0,1,0)</f>
        <v>1</v>
      </c>
      <c r="JX16" s="6">
        <f>IF(SUMIFS('Locations Data'!$C:$C,'Locations Data'!$G:$G,$B16,'Locations Data'!$B:$B,JX$5)&gt;0,1,0)</f>
        <v>1</v>
      </c>
      <c r="JY16" s="6">
        <f>IF(SUMIFS('Locations Data'!$C:$C,'Locations Data'!$G:$G,$B16,'Locations Data'!$B:$B,JY$5)&gt;0,1,0)</f>
        <v>1</v>
      </c>
      <c r="JZ16" s="6">
        <f>IF(SUMIFS('Locations Data'!$C:$C,'Locations Data'!$G:$G,$B16,'Locations Data'!$B:$B,JZ$5)&gt;0,1,0)</f>
        <v>0</v>
      </c>
      <c r="KA16" s="6">
        <f>IF(SUMIFS('Locations Data'!$C:$C,'Locations Data'!$G:$G,$B16,'Locations Data'!$B:$B,KA$5)&gt;0,1,0)</f>
        <v>0</v>
      </c>
      <c r="KB16" s="6">
        <f>IF(SUMIFS('Locations Data'!$C:$C,'Locations Data'!$G:$G,$B16,'Locations Data'!$B:$B,KB$5)&gt;0,1,0)</f>
        <v>1</v>
      </c>
      <c r="KC16" s="6">
        <f>IF(SUMIFS('Locations Data'!$C:$C,'Locations Data'!$G:$G,$B16,'Locations Data'!$B:$B,KC$5)&gt;0,1,0)</f>
        <v>1</v>
      </c>
      <c r="KD16" s="6">
        <f>IF(SUMIFS('Locations Data'!$C:$C,'Locations Data'!$G:$G,$B16,'Locations Data'!$B:$B,KD$5)&gt;0,1,0)</f>
        <v>1</v>
      </c>
      <c r="KE16" s="6">
        <f>IF(SUMIFS('Locations Data'!$C:$C,'Locations Data'!$G:$G,$B16,'Locations Data'!$B:$B,KE$5)&gt;0,1,0)</f>
        <v>1</v>
      </c>
      <c r="KF16" s="6">
        <f>IF(SUMIFS('Locations Data'!$C:$C,'Locations Data'!$G:$G,$B16,'Locations Data'!$B:$B,KF$5)&gt;0,1,0)</f>
        <v>1</v>
      </c>
      <c r="KG16" s="6">
        <f>IF(SUMIFS('Locations Data'!$C:$C,'Locations Data'!$G:$G,$B16,'Locations Data'!$B:$B,KG$5)&gt;0,1,0)</f>
        <v>0</v>
      </c>
      <c r="KH16" s="6">
        <f>IF(SUMIFS('Locations Data'!$C:$C,'Locations Data'!$G:$G,$B16,'Locations Data'!$B:$B,KH$5)&gt;0,1,0)</f>
        <v>0</v>
      </c>
      <c r="KI16" s="6">
        <f>IF(SUMIFS('Locations Data'!$C:$C,'Locations Data'!$G:$G,$B16,'Locations Data'!$B:$B,KI$5)&gt;0,1,0)</f>
        <v>1</v>
      </c>
      <c r="KJ16" s="6">
        <f>IF(SUMIFS('Locations Data'!$C:$C,'Locations Data'!$G:$G,$B16,'Locations Data'!$B:$B,KJ$5)&gt;0,1,0)</f>
        <v>1</v>
      </c>
      <c r="KK16" s="6">
        <f>IF(SUMIFS('Locations Data'!$C:$C,'Locations Data'!$G:$G,$B16,'Locations Data'!$B:$B,KK$5)&gt;0,1,0)</f>
        <v>1</v>
      </c>
      <c r="KL16" s="6">
        <f>IF(SUMIFS('Locations Data'!$C:$C,'Locations Data'!$G:$G,$B16,'Locations Data'!$B:$B,KL$5)&gt;0,1,0)</f>
        <v>1</v>
      </c>
      <c r="KM16" s="6">
        <f>IF(SUMIFS('Locations Data'!$C:$C,'Locations Data'!$G:$G,$B16,'Locations Data'!$B:$B,KM$5)&gt;0,1,0)</f>
        <v>1</v>
      </c>
      <c r="KN16" s="6">
        <f>IF(SUMIFS('Locations Data'!$C:$C,'Locations Data'!$G:$G,$B16,'Locations Data'!$B:$B,KN$5)&gt;0,1,0)</f>
        <v>0</v>
      </c>
      <c r="KO16" s="6">
        <f>IF(SUMIFS('Locations Data'!$C:$C,'Locations Data'!$G:$G,$B16,'Locations Data'!$B:$B,KO$5)&gt;0,1,0)</f>
        <v>0</v>
      </c>
      <c r="KP16" s="6">
        <f>IF(SUMIFS('Locations Data'!$C:$C,'Locations Data'!$G:$G,$B16,'Locations Data'!$B:$B,KP$5)&gt;0,1,0)</f>
        <v>1</v>
      </c>
      <c r="KQ16" s="6">
        <f>IF(SUMIFS('Locations Data'!$C:$C,'Locations Data'!$G:$G,$B16,'Locations Data'!$B:$B,KQ$5)&gt;0,1,0)</f>
        <v>1</v>
      </c>
      <c r="KR16" s="6">
        <f>IF(SUMIFS('Locations Data'!$C:$C,'Locations Data'!$G:$G,$B16,'Locations Data'!$B:$B,KR$5)&gt;0,1,0)</f>
        <v>1</v>
      </c>
      <c r="KS16" s="6">
        <f>IF(SUMIFS('Locations Data'!$C:$C,'Locations Data'!$G:$G,$B16,'Locations Data'!$B:$B,KS$5)&gt;0,1,0)</f>
        <v>1</v>
      </c>
      <c r="KT16" s="6">
        <f>IF(SUMIFS('Locations Data'!$C:$C,'Locations Data'!$G:$G,$B16,'Locations Data'!$B:$B,KT$5)&gt;0,1,0)</f>
        <v>1</v>
      </c>
      <c r="KU16" s="6">
        <f>IF(SUMIFS('Locations Data'!$C:$C,'Locations Data'!$G:$G,$B16,'Locations Data'!$B:$B,KU$5)&gt;0,1,0)</f>
        <v>0</v>
      </c>
      <c r="KV16" s="6">
        <f>IF(SUMIFS('Locations Data'!$C:$C,'Locations Data'!$G:$G,$B16,'Locations Data'!$B:$B,KV$5)&gt;0,1,0)</f>
        <v>0</v>
      </c>
      <c r="KW16" s="6">
        <f>IF(SUMIFS('Locations Data'!$C:$C,'Locations Data'!$G:$G,$B16,'Locations Data'!$B:$B,KW$5)&gt;0,1,0)</f>
        <v>1</v>
      </c>
      <c r="KX16" s="6">
        <f>IF(SUMIFS('Locations Data'!$C:$C,'Locations Data'!$G:$G,$B16,'Locations Data'!$B:$B,KX$5)&gt;0,1,0)</f>
        <v>1</v>
      </c>
      <c r="KY16" s="6">
        <f>IF(SUMIFS('Locations Data'!$C:$C,'Locations Data'!$G:$G,$B16,'Locations Data'!$B:$B,KY$5)&gt;0,1,0)</f>
        <v>1</v>
      </c>
      <c r="KZ16" s="6">
        <f>IF(SUMIFS('Locations Data'!$C:$C,'Locations Data'!$G:$G,$B16,'Locations Data'!$B:$B,KZ$5)&gt;0,1,0)</f>
        <v>1</v>
      </c>
      <c r="LA16" s="6">
        <f>IF(SUMIFS('Locations Data'!$C:$C,'Locations Data'!$G:$G,$B16,'Locations Data'!$B:$B,LA$5)&gt;0,1,0)</f>
        <v>1</v>
      </c>
      <c r="LB16" s="6">
        <f>IF(SUMIFS('Locations Data'!$C:$C,'Locations Data'!$G:$G,$B16,'Locations Data'!$B:$B,LB$5)&gt;0,1,0)</f>
        <v>0</v>
      </c>
      <c r="LC16" s="6">
        <f>IF(SUMIFS('Locations Data'!$C:$C,'Locations Data'!$G:$G,$B16,'Locations Data'!$B:$B,LC$5)&gt;0,1,0)</f>
        <v>0</v>
      </c>
      <c r="LD16" s="6">
        <f>IF(SUMIFS('Locations Data'!$C:$C,'Locations Data'!$G:$G,$B16,'Locations Data'!$B:$B,LD$5)&gt;0,1,0)</f>
        <v>1</v>
      </c>
      <c r="LE16" s="6">
        <f>IF(SUMIFS('Locations Data'!$C:$C,'Locations Data'!$G:$G,$B16,'Locations Data'!$B:$B,LE$5)&gt;0,1,0)</f>
        <v>1</v>
      </c>
      <c r="LF16" s="6">
        <f>IF(SUMIFS('Locations Data'!$C:$C,'Locations Data'!$G:$G,$B16,'Locations Data'!$B:$B,LF$5)&gt;0,1,0)</f>
        <v>1</v>
      </c>
      <c r="LG16" s="6">
        <f>IF(SUMIFS('Locations Data'!$C:$C,'Locations Data'!$G:$G,$B16,'Locations Data'!$B:$B,LG$5)&gt;0,1,0)</f>
        <v>1</v>
      </c>
      <c r="LH16" s="6">
        <f>IF(SUMIFS('Locations Data'!$C:$C,'Locations Data'!$G:$G,$B16,'Locations Data'!$B:$B,LH$5)&gt;0,1,0)</f>
        <v>1</v>
      </c>
      <c r="LI16" s="6">
        <f>IF(SUMIFS('Locations Data'!$C:$C,'Locations Data'!$G:$G,$B16,'Locations Data'!$B:$B,LI$5)&gt;0,1,0)</f>
        <v>0</v>
      </c>
      <c r="LJ16" s="6">
        <f>IF(SUMIFS('Locations Data'!$C:$C,'Locations Data'!$G:$G,$B16,'Locations Data'!$B:$B,LJ$5)&gt;0,1,0)</f>
        <v>0</v>
      </c>
      <c r="LK16" s="6">
        <f>IF(SUMIFS('Locations Data'!$C:$C,'Locations Data'!$G:$G,$B16,'Locations Data'!$B:$B,LK$5)&gt;0,1,0)</f>
        <v>1</v>
      </c>
      <c r="LL16" s="6">
        <f>IF(SUMIFS('Locations Data'!$C:$C,'Locations Data'!$G:$G,$B16,'Locations Data'!$B:$B,LL$5)&gt;0,1,0)</f>
        <v>1</v>
      </c>
      <c r="LM16" s="6">
        <f>IF(SUMIFS('Locations Data'!$C:$C,'Locations Data'!$G:$G,$B16,'Locations Data'!$B:$B,LM$5)&gt;0,1,0)</f>
        <v>1</v>
      </c>
      <c r="LN16" s="6">
        <f>IF(SUMIFS('Locations Data'!$C:$C,'Locations Data'!$G:$G,$B16,'Locations Data'!$B:$B,LN$5)&gt;0,1,0)</f>
        <v>1</v>
      </c>
      <c r="LO16" s="6">
        <f>IF(SUMIFS('Locations Data'!$C:$C,'Locations Data'!$G:$G,$B16,'Locations Data'!$B:$B,LO$5)&gt;0,1,0)</f>
        <v>1</v>
      </c>
      <c r="LP16" s="6">
        <f>IF(SUMIFS('Locations Data'!$C:$C,'Locations Data'!$G:$G,$B16,'Locations Data'!$B:$B,LP$5)&gt;0,1,0)</f>
        <v>0</v>
      </c>
      <c r="LQ16" s="6">
        <f>IF(SUMIFS('Locations Data'!$C:$C,'Locations Data'!$G:$G,$B16,'Locations Data'!$B:$B,LQ$5)&gt;0,1,0)</f>
        <v>0</v>
      </c>
      <c r="LR16" s="6">
        <f>IF(SUMIFS('Locations Data'!$C:$C,'Locations Data'!$G:$G,$B16,'Locations Data'!$B:$B,LR$5)&gt;0,1,0)</f>
        <v>1</v>
      </c>
      <c r="LS16" s="6">
        <f>IF(SUMIFS('Locations Data'!$C:$C,'Locations Data'!$G:$G,$B16,'Locations Data'!$B:$B,LS$5)&gt;0,1,0)</f>
        <v>1</v>
      </c>
      <c r="LT16" s="6">
        <f>IF(SUMIFS('Locations Data'!$C:$C,'Locations Data'!$G:$G,$B16,'Locations Data'!$B:$B,LT$5)&gt;0,1,0)</f>
        <v>1</v>
      </c>
      <c r="LU16" s="6">
        <f>IF(SUMIFS('Locations Data'!$C:$C,'Locations Data'!$G:$G,$B16,'Locations Data'!$B:$B,LU$5)&gt;0,1,0)</f>
        <v>1</v>
      </c>
      <c r="LV16" s="6">
        <f>IF(SUMIFS('Locations Data'!$C:$C,'Locations Data'!$G:$G,$B16,'Locations Data'!$B:$B,LV$5)&gt;0,1,0)</f>
        <v>1</v>
      </c>
      <c r="LW16" s="6">
        <f>IF(SUMIFS('Locations Data'!$C:$C,'Locations Data'!$G:$G,$B16,'Locations Data'!$B:$B,LW$5)&gt;0,1,0)</f>
        <v>0</v>
      </c>
      <c r="LX16" s="6">
        <f>IF(SUMIFS('Locations Data'!$C:$C,'Locations Data'!$G:$G,$B16,'Locations Data'!$B:$B,LX$5)&gt;0,1,0)</f>
        <v>0</v>
      </c>
      <c r="LY16" s="6">
        <f>IF(SUMIFS('Locations Data'!$C:$C,'Locations Data'!$G:$G,$B16,'Locations Data'!$B:$B,LY$5)&gt;0,1,0)</f>
        <v>1</v>
      </c>
      <c r="LZ16" s="6">
        <f>IF(SUMIFS('Locations Data'!$C:$C,'Locations Data'!$G:$G,$B16,'Locations Data'!$B:$B,LZ$5)&gt;0,1,0)</f>
        <v>1</v>
      </c>
      <c r="MA16" s="6">
        <f>IF(SUMIFS('Locations Data'!$C:$C,'Locations Data'!$G:$G,$B16,'Locations Data'!$B:$B,MA$5)&gt;0,1,0)</f>
        <v>1</v>
      </c>
      <c r="MB16" s="6">
        <f>IF(SUMIFS('Locations Data'!$C:$C,'Locations Data'!$G:$G,$B16,'Locations Data'!$B:$B,MB$5)&gt;0,1,0)</f>
        <v>1</v>
      </c>
      <c r="MC16" s="6">
        <f>IF(SUMIFS('Locations Data'!$C:$C,'Locations Data'!$G:$G,$B16,'Locations Data'!$B:$B,MC$5)&gt;0,1,0)</f>
        <v>1</v>
      </c>
      <c r="MD16" s="6">
        <f>IF(SUMIFS('Locations Data'!$C:$C,'Locations Data'!$G:$G,$B16,'Locations Data'!$B:$B,MD$5)&gt;0,1,0)</f>
        <v>0</v>
      </c>
      <c r="ME16" s="6">
        <f>IF(SUMIFS('Locations Data'!$C:$C,'Locations Data'!$G:$G,$B16,'Locations Data'!$B:$B,ME$5)&gt;0,1,0)</f>
        <v>0</v>
      </c>
      <c r="MF16" s="6">
        <f>IF(SUMIFS('Locations Data'!$C:$C,'Locations Data'!$G:$G,$B16,'Locations Data'!$B:$B,MF$5)&gt;0,1,0)</f>
        <v>1</v>
      </c>
      <c r="MG16" s="6">
        <f>IF(SUMIFS('Locations Data'!$C:$C,'Locations Data'!$G:$G,$B16,'Locations Data'!$B:$B,MG$5)&gt;0,1,0)</f>
        <v>1</v>
      </c>
      <c r="MH16" s="6">
        <f>IF(SUMIFS('Locations Data'!$C:$C,'Locations Data'!$G:$G,$B16,'Locations Data'!$B:$B,MH$5)&gt;0,1,0)</f>
        <v>1</v>
      </c>
      <c r="MI16" s="6">
        <f>IF(SUMIFS('Locations Data'!$C:$C,'Locations Data'!$G:$G,$B16,'Locations Data'!$B:$B,MI$5)&gt;0,1,0)</f>
        <v>1</v>
      </c>
      <c r="MJ16" s="6">
        <f>IF(SUMIFS('Locations Data'!$C:$C,'Locations Data'!$G:$G,$B16,'Locations Data'!$B:$B,MJ$5)&gt;0,1,0)</f>
        <v>1</v>
      </c>
      <c r="MK16" s="6">
        <f>IF(SUMIFS('Locations Data'!$C:$C,'Locations Data'!$G:$G,$B16,'Locations Data'!$B:$B,MK$5)&gt;0,1,0)</f>
        <v>0</v>
      </c>
      <c r="ML16" s="6">
        <f>IF(SUMIFS('Locations Data'!$C:$C,'Locations Data'!$G:$G,$B16,'Locations Data'!$B:$B,ML$5)&gt;0,1,0)</f>
        <v>0</v>
      </c>
      <c r="MM16" s="6">
        <f>IF(SUMIFS('Locations Data'!$C:$C,'Locations Data'!$G:$G,$B16,'Locations Data'!$B:$B,MM$5)&gt;0,1,0)</f>
        <v>1</v>
      </c>
      <c r="MN16" s="6">
        <f>IF(SUMIFS('Locations Data'!$C:$C,'Locations Data'!$G:$G,$B16,'Locations Data'!$B:$B,MN$5)&gt;0,1,0)</f>
        <v>1</v>
      </c>
      <c r="MO16" s="6">
        <f>IF(SUMIFS('Locations Data'!$C:$C,'Locations Data'!$G:$G,$B16,'Locations Data'!$B:$B,MO$5)&gt;0,1,0)</f>
        <v>1</v>
      </c>
      <c r="MP16" s="6">
        <f>IF(SUMIFS('Locations Data'!$C:$C,'Locations Data'!$G:$G,$B16,'Locations Data'!$B:$B,MP$5)&gt;0,1,0)</f>
        <v>1</v>
      </c>
      <c r="MQ16" s="6">
        <f>IF(SUMIFS('Locations Data'!$C:$C,'Locations Data'!$G:$G,$B16,'Locations Data'!$B:$B,MQ$5)&gt;0,1,0)</f>
        <v>1</v>
      </c>
      <c r="MR16" s="6">
        <f>IF(SUMIFS('Locations Data'!$C:$C,'Locations Data'!$G:$G,$B16,'Locations Data'!$B:$B,MR$5)&gt;0,1,0)</f>
        <v>0</v>
      </c>
      <c r="MS16" s="6">
        <f>IF(SUMIFS('Locations Data'!$C:$C,'Locations Data'!$G:$G,$B16,'Locations Data'!$B:$B,MS$5)&gt;0,1,0)</f>
        <v>0</v>
      </c>
      <c r="MT16" s="6">
        <f>IF(SUMIFS('Locations Data'!$C:$C,'Locations Data'!$G:$G,$B16,'Locations Data'!$B:$B,MT$5)&gt;0,1,0)</f>
        <v>1</v>
      </c>
      <c r="MU16" s="6">
        <f>IF(SUMIFS('Locations Data'!$C:$C,'Locations Data'!$G:$G,$B16,'Locations Data'!$B:$B,MU$5)&gt;0,1,0)</f>
        <v>1</v>
      </c>
      <c r="MV16" s="6">
        <f>IF(SUMIFS('Locations Data'!$C:$C,'Locations Data'!$G:$G,$B16,'Locations Data'!$B:$B,MV$5)&gt;0,1,0)</f>
        <v>1</v>
      </c>
      <c r="MW16" s="26">
        <v>0</v>
      </c>
      <c r="MX16" s="6">
        <f>IF(SUMIFS('Locations Data'!$C:$C,'Locations Data'!$G:$G,$B16,'Locations Data'!$B:$B,MX$5)&gt;0,1,0)</f>
        <v>1</v>
      </c>
      <c r="MY16" s="6">
        <f>IF(SUMIFS('Locations Data'!$C:$C,'Locations Data'!$G:$G,$B16,'Locations Data'!$B:$B,MY$5)&gt;0,1,0)</f>
        <v>0</v>
      </c>
      <c r="MZ16" s="6">
        <f>IF(SUMIFS('Locations Data'!$C:$C,'Locations Data'!$G:$G,$B16,'Locations Data'!$B:$B,MZ$5)&gt;0,1,0)</f>
        <v>0</v>
      </c>
      <c r="NA16" s="6">
        <f>IF(SUMIFS('Locations Data'!$C:$C,'Locations Data'!$G:$G,$B16,'Locations Data'!$B:$B,NA$5)&gt;0,1,0)</f>
        <v>1</v>
      </c>
      <c r="NB16" s="6">
        <f>IF(SUMIFS('Locations Data'!$C:$C,'Locations Data'!$G:$G,$B16,'Locations Data'!$B:$B,NB$5)&gt;0,1,0)</f>
        <v>1</v>
      </c>
      <c r="NC16" s="6">
        <f>IF(SUMIFS('Locations Data'!$C:$C,'Locations Data'!$G:$G,$B16,'Locations Data'!$B:$B,NC$5)&gt;0,1,0)</f>
        <v>1</v>
      </c>
    </row>
    <row r="17" spans="2:367">
      <c r="B17" s="20" t="s">
        <v>311</v>
      </c>
      <c r="C17" s="6">
        <v>0</v>
      </c>
      <c r="D17" s="6">
        <f>IF(SUMIFS('Locations Data'!$C:$C,'Locations Data'!$G:$G,$B17,'Locations Data'!$B:$B,D$5)&gt;0,1,0)</f>
        <v>1</v>
      </c>
      <c r="E17" s="6">
        <f>IF(SUMIFS('Locations Data'!$C:$C,'Locations Data'!$G:$G,$B17,'Locations Data'!$B:$B,E$5)&gt;0,1,0)</f>
        <v>1</v>
      </c>
      <c r="F17" s="6">
        <f>IF(SUMIFS('Locations Data'!$C:$C,'Locations Data'!$G:$G,$B17,'Locations Data'!$B:$B,F$5)&gt;0,1,0)</f>
        <v>0</v>
      </c>
      <c r="G17" s="6">
        <f>IF(SUMIFS('Locations Data'!$C:$C,'Locations Data'!$G:$G,$B17,'Locations Data'!$B:$B,G$5)&gt;0,1,0)</f>
        <v>0</v>
      </c>
      <c r="H17" s="6">
        <f>IF(SUMIFS('Locations Data'!$C:$C,'Locations Data'!$G:$G,$B17,'Locations Data'!$B:$B,H$5)&gt;0,1,0)</f>
        <v>1</v>
      </c>
      <c r="I17" s="6">
        <f>IF(SUMIFS('Locations Data'!$C:$C,'Locations Data'!$G:$G,$B17,'Locations Data'!$B:$B,I$5)&gt;0,1,0)</f>
        <v>1</v>
      </c>
      <c r="J17" s="6">
        <f>IF(SUMIFS('Locations Data'!$C:$C,'Locations Data'!$G:$G,$B17,'Locations Data'!$B:$B,J$5)&gt;0,1,0)</f>
        <v>1</v>
      </c>
      <c r="K17" s="6">
        <f>IF(SUMIFS('Locations Data'!$C:$C,'Locations Data'!$G:$G,$B17,'Locations Data'!$B:$B,K$5)&gt;0,1,0)</f>
        <v>1</v>
      </c>
      <c r="L17" s="6">
        <f>IF(SUMIFS('Locations Data'!$C:$C,'Locations Data'!$G:$G,$B17,'Locations Data'!$B:$B,L$5)&gt;0,1,0)</f>
        <v>1</v>
      </c>
      <c r="M17" s="6">
        <f>IF(SUMIFS('Locations Data'!$C:$C,'Locations Data'!$G:$G,$B17,'Locations Data'!$B:$B,M$5)&gt;0,1,0)</f>
        <v>0</v>
      </c>
      <c r="N17" s="6">
        <f>IF(SUMIFS('Locations Data'!$C:$C,'Locations Data'!$G:$G,$B17,'Locations Data'!$B:$B,N$5)&gt;0,1,0)</f>
        <v>0</v>
      </c>
      <c r="O17" s="6">
        <f>IF(SUMIFS('Locations Data'!$C:$C,'Locations Data'!$G:$G,$B17,'Locations Data'!$B:$B,O$5)&gt;0,1,0)</f>
        <v>1</v>
      </c>
      <c r="P17" s="6">
        <f>IF(SUMIFS('Locations Data'!$C:$C,'Locations Data'!$G:$G,$B17,'Locations Data'!$B:$B,P$5)&gt;0,1,0)</f>
        <v>1</v>
      </c>
      <c r="Q17" s="6">
        <f>IF(SUMIFS('Locations Data'!$C:$C,'Locations Data'!$G:$G,$B17,'Locations Data'!$B:$B,Q$5)&gt;0,1,0)</f>
        <v>1</v>
      </c>
      <c r="R17" s="6">
        <f>IF(SUMIFS('Locations Data'!$C:$C,'Locations Data'!$G:$G,$B17,'Locations Data'!$B:$B,R$5)&gt;0,1,0)</f>
        <v>1</v>
      </c>
      <c r="S17" s="6">
        <f>IF(SUMIFS('Locations Data'!$C:$C,'Locations Data'!$G:$G,$B17,'Locations Data'!$B:$B,S$5)&gt;0,1,0)</f>
        <v>1</v>
      </c>
      <c r="T17" s="6">
        <f>IF(SUMIFS('Locations Data'!$C:$C,'Locations Data'!$G:$G,$B17,'Locations Data'!$B:$B,T$5)&gt;0,1,0)</f>
        <v>0</v>
      </c>
      <c r="U17" s="6">
        <f>IF(SUMIFS('Locations Data'!$C:$C,'Locations Data'!$G:$G,$B17,'Locations Data'!$B:$B,U$5)&gt;0,1,0)</f>
        <v>0</v>
      </c>
      <c r="V17" s="6">
        <f>IF(SUMIFS('Locations Data'!$C:$C,'Locations Data'!$G:$G,$B17,'Locations Data'!$B:$B,V$5)&gt;0,1,0)</f>
        <v>1</v>
      </c>
      <c r="W17" s="6">
        <f>IF(SUMIFS('Locations Data'!$C:$C,'Locations Data'!$G:$G,$B17,'Locations Data'!$B:$B,W$5)&gt;0,1,0)</f>
        <v>1</v>
      </c>
      <c r="X17" s="6">
        <f>IF(SUMIFS('Locations Data'!$C:$C,'Locations Data'!$G:$G,$B17,'Locations Data'!$B:$B,X$5)&gt;0,1,0)</f>
        <v>1</v>
      </c>
      <c r="Y17" s="6">
        <f>IF(SUMIFS('Locations Data'!$C:$C,'Locations Data'!$G:$G,$B17,'Locations Data'!$B:$B,Y$5)&gt;0,1,0)</f>
        <v>1</v>
      </c>
      <c r="Z17" s="6">
        <f>IF(SUMIFS('Locations Data'!$C:$C,'Locations Data'!$G:$G,$B17,'Locations Data'!$B:$B,Z$5)&gt;0,1,0)</f>
        <v>1</v>
      </c>
      <c r="AA17" s="6">
        <f>IF(SUMIFS('Locations Data'!$C:$C,'Locations Data'!$G:$G,$B17,'Locations Data'!$B:$B,AA$5)&gt;0,1,0)</f>
        <v>0</v>
      </c>
      <c r="AB17" s="6">
        <f>IF(SUMIFS('Locations Data'!$C:$C,'Locations Data'!$G:$G,$B17,'Locations Data'!$B:$B,AB$5)&gt;0,1,0)</f>
        <v>0</v>
      </c>
      <c r="AC17" s="6">
        <f>IF(SUMIFS('Locations Data'!$C:$C,'Locations Data'!$G:$G,$B17,'Locations Data'!$B:$B,AC$5)&gt;0,1,0)</f>
        <v>1</v>
      </c>
      <c r="AD17" s="6">
        <f>IF(SUMIFS('Locations Data'!$C:$C,'Locations Data'!$G:$G,$B17,'Locations Data'!$B:$B,AD$5)&gt;0,1,0)</f>
        <v>1</v>
      </c>
      <c r="AE17" s="6">
        <f>IF(SUMIFS('Locations Data'!$C:$C,'Locations Data'!$G:$G,$B17,'Locations Data'!$B:$B,AE$5)&gt;0,1,0)</f>
        <v>1</v>
      </c>
      <c r="AF17" s="6">
        <f>IF(SUMIFS('Locations Data'!$C:$C,'Locations Data'!$G:$G,$B17,'Locations Data'!$B:$B,AF$5)&gt;0,1,0)</f>
        <v>1</v>
      </c>
      <c r="AG17" s="6">
        <f>IF(SUMIFS('Locations Data'!$C:$C,'Locations Data'!$G:$G,$B17,'Locations Data'!$B:$B,AG$5)&gt;0,1,0)</f>
        <v>1</v>
      </c>
      <c r="AH17" s="6">
        <f>IF(SUMIFS('Locations Data'!$C:$C,'Locations Data'!$G:$G,$B17,'Locations Data'!$B:$B,AH$5)&gt;0,1,0)</f>
        <v>0</v>
      </c>
      <c r="AI17" s="6">
        <f>IF(SUMIFS('Locations Data'!$C:$C,'Locations Data'!$G:$G,$B17,'Locations Data'!$B:$B,AI$5)&gt;0,1,0)</f>
        <v>0</v>
      </c>
      <c r="AJ17" s="6">
        <f>IF(SUMIFS('Locations Data'!$C:$C,'Locations Data'!$G:$G,$B17,'Locations Data'!$B:$B,AJ$5)&gt;0,1,0)</f>
        <v>1</v>
      </c>
      <c r="AK17" s="6">
        <f>IF(SUMIFS('Locations Data'!$C:$C,'Locations Data'!$G:$G,$B17,'Locations Data'!$B:$B,AK$5)&gt;0,1,0)</f>
        <v>1</v>
      </c>
      <c r="AL17" s="6">
        <f>IF(SUMIFS('Locations Data'!$C:$C,'Locations Data'!$G:$G,$B17,'Locations Data'!$B:$B,AL$5)&gt;0,1,0)</f>
        <v>1</v>
      </c>
      <c r="AM17" s="6">
        <f>IF(SUMIFS('Locations Data'!$C:$C,'Locations Data'!$G:$G,$B17,'Locations Data'!$B:$B,AM$5)&gt;0,1,0)</f>
        <v>1</v>
      </c>
      <c r="AN17" s="6">
        <f>IF(SUMIFS('Locations Data'!$C:$C,'Locations Data'!$G:$G,$B17,'Locations Data'!$B:$B,AN$5)&gt;0,1,0)</f>
        <v>1</v>
      </c>
      <c r="AO17" s="6">
        <f>IF(SUMIFS('Locations Data'!$C:$C,'Locations Data'!$G:$G,$B17,'Locations Data'!$B:$B,AO$5)&gt;0,1,0)</f>
        <v>0</v>
      </c>
      <c r="AP17" s="6">
        <f>IF(SUMIFS('Locations Data'!$C:$C,'Locations Data'!$G:$G,$B17,'Locations Data'!$B:$B,AP$5)&gt;0,1,0)</f>
        <v>0</v>
      </c>
      <c r="AQ17" s="6">
        <f>IF(SUMIFS('Locations Data'!$C:$C,'Locations Data'!$G:$G,$B17,'Locations Data'!$B:$B,AQ$5)&gt;0,1,0)</f>
        <v>1</v>
      </c>
      <c r="AR17" s="6">
        <f>IF(SUMIFS('Locations Data'!$C:$C,'Locations Data'!$G:$G,$B17,'Locations Data'!$B:$B,AR$5)&gt;0,1,0)</f>
        <v>1</v>
      </c>
      <c r="AS17" s="6">
        <f>IF(SUMIFS('Locations Data'!$C:$C,'Locations Data'!$G:$G,$B17,'Locations Data'!$B:$B,AS$5)&gt;0,1,0)</f>
        <v>1</v>
      </c>
      <c r="AT17" s="6">
        <f>IF(SUMIFS('Locations Data'!$C:$C,'Locations Data'!$G:$G,$B17,'Locations Data'!$B:$B,AT$5)&gt;0,1,0)</f>
        <v>1</v>
      </c>
      <c r="AU17" s="6">
        <f>IF(SUMIFS('Locations Data'!$C:$C,'Locations Data'!$G:$G,$B17,'Locations Data'!$B:$B,AU$5)&gt;0,1,0)</f>
        <v>1</v>
      </c>
      <c r="AV17" s="6">
        <f>IF(SUMIFS('Locations Data'!$C:$C,'Locations Data'!$G:$G,$B17,'Locations Data'!$B:$B,AV$5)&gt;0,1,0)</f>
        <v>0</v>
      </c>
      <c r="AW17" s="6">
        <f>IF(SUMIFS('Locations Data'!$C:$C,'Locations Data'!$G:$G,$B17,'Locations Data'!$B:$B,AW$5)&gt;0,1,0)</f>
        <v>0</v>
      </c>
      <c r="AX17" s="6">
        <f>IF(SUMIFS('Locations Data'!$C:$C,'Locations Data'!$G:$G,$B17,'Locations Data'!$B:$B,AX$5)&gt;0,1,0)</f>
        <v>1</v>
      </c>
      <c r="AY17" s="6">
        <f>IF(SUMIFS('Locations Data'!$C:$C,'Locations Data'!$G:$G,$B17,'Locations Data'!$B:$B,AY$5)&gt;0,1,0)</f>
        <v>1</v>
      </c>
      <c r="AZ17" s="6">
        <f>IF(SUMIFS('Locations Data'!$C:$C,'Locations Data'!$G:$G,$B17,'Locations Data'!$B:$B,AZ$5)&gt;0,1,0)</f>
        <v>1</v>
      </c>
      <c r="BA17" s="6">
        <f>IF(SUMIFS('Locations Data'!$C:$C,'Locations Data'!$G:$G,$B17,'Locations Data'!$B:$B,BA$5)&gt;0,1,0)</f>
        <v>1</v>
      </c>
      <c r="BB17" s="6">
        <f>IF(SUMIFS('Locations Data'!$C:$C,'Locations Data'!$G:$G,$B17,'Locations Data'!$B:$B,BB$5)&gt;0,1,0)</f>
        <v>1</v>
      </c>
      <c r="BC17" s="6">
        <f>IF(SUMIFS('Locations Data'!$C:$C,'Locations Data'!$G:$G,$B17,'Locations Data'!$B:$B,BC$5)&gt;0,1,0)</f>
        <v>0</v>
      </c>
      <c r="BD17" s="6">
        <f>IF(SUMIFS('Locations Data'!$C:$C,'Locations Data'!$G:$G,$B17,'Locations Data'!$B:$B,BD$5)&gt;0,1,0)</f>
        <v>0</v>
      </c>
      <c r="BE17" s="6">
        <f>IF(SUMIFS('Locations Data'!$C:$C,'Locations Data'!$G:$G,$B17,'Locations Data'!$B:$B,BE$5)&gt;0,1,0)</f>
        <v>1</v>
      </c>
      <c r="BF17" s="6">
        <f>IF(SUMIFS('Locations Data'!$C:$C,'Locations Data'!$G:$G,$B17,'Locations Data'!$B:$B,BF$5)&gt;0,1,0)</f>
        <v>1</v>
      </c>
      <c r="BG17" s="6">
        <f>IF(SUMIFS('Locations Data'!$C:$C,'Locations Data'!$G:$G,$B17,'Locations Data'!$B:$B,BG$5)&gt;0,1,0)</f>
        <v>1</v>
      </c>
      <c r="BH17" s="6">
        <f>IF(SUMIFS('Locations Data'!$C:$C,'Locations Data'!$G:$G,$B17,'Locations Data'!$B:$B,BH$5)&gt;0,1,0)</f>
        <v>1</v>
      </c>
      <c r="BI17" s="6">
        <f>IF(SUMIFS('Locations Data'!$C:$C,'Locations Data'!$G:$G,$B17,'Locations Data'!$B:$B,BI$5)&gt;0,1,0)</f>
        <v>1</v>
      </c>
      <c r="BJ17" s="6">
        <f>IF(SUMIFS('Locations Data'!$C:$C,'Locations Data'!$G:$G,$B17,'Locations Data'!$B:$B,BJ$5)&gt;0,1,0)</f>
        <v>0</v>
      </c>
      <c r="BK17" s="6">
        <f>IF(SUMIFS('Locations Data'!$C:$C,'Locations Data'!$G:$G,$B17,'Locations Data'!$B:$B,BK$5)&gt;0,1,0)</f>
        <v>0</v>
      </c>
      <c r="BL17" s="6">
        <f>IF(SUMIFS('Locations Data'!$C:$C,'Locations Data'!$G:$G,$B17,'Locations Data'!$B:$B,BL$5)&gt;0,1,0)</f>
        <v>1</v>
      </c>
      <c r="BM17" s="6">
        <f>IF(SUMIFS('Locations Data'!$C:$C,'Locations Data'!$G:$G,$B17,'Locations Data'!$B:$B,BM$5)&gt;0,1,0)</f>
        <v>1</v>
      </c>
      <c r="BN17" s="6">
        <f>IF(SUMIFS('Locations Data'!$C:$C,'Locations Data'!$G:$G,$B17,'Locations Data'!$B:$B,BN$5)&gt;0,1,0)</f>
        <v>1</v>
      </c>
      <c r="BO17" s="6">
        <f>IF(SUMIFS('Locations Data'!$C:$C,'Locations Data'!$G:$G,$B17,'Locations Data'!$B:$B,BO$5)&gt;0,1,0)</f>
        <v>1</v>
      </c>
      <c r="BP17" s="6">
        <f>IF(SUMIFS('Locations Data'!$C:$C,'Locations Data'!$G:$G,$B17,'Locations Data'!$B:$B,BP$5)&gt;0,1,0)</f>
        <v>1</v>
      </c>
      <c r="BQ17" s="6">
        <f>IF(SUMIFS('Locations Data'!$C:$C,'Locations Data'!$G:$G,$B17,'Locations Data'!$B:$B,BQ$5)&gt;0,1,0)</f>
        <v>0</v>
      </c>
      <c r="BR17" s="6">
        <f>IF(SUMIFS('Locations Data'!$C:$C,'Locations Data'!$G:$G,$B17,'Locations Data'!$B:$B,BR$5)&gt;0,1,0)</f>
        <v>0</v>
      </c>
      <c r="BS17" s="6">
        <f>IF(SUMIFS('Locations Data'!$C:$C,'Locations Data'!$G:$G,$B17,'Locations Data'!$B:$B,BS$5)&gt;0,1,0)</f>
        <v>1</v>
      </c>
      <c r="BT17" s="6">
        <f>IF(SUMIFS('Locations Data'!$C:$C,'Locations Data'!$G:$G,$B17,'Locations Data'!$B:$B,BT$5)&gt;0,1,0)</f>
        <v>1</v>
      </c>
      <c r="BU17" s="6">
        <f>IF(SUMIFS('Locations Data'!$C:$C,'Locations Data'!$G:$G,$B17,'Locations Data'!$B:$B,BU$5)&gt;0,1,0)</f>
        <v>1</v>
      </c>
      <c r="BV17" s="6">
        <f>IF(SUMIFS('Locations Data'!$C:$C,'Locations Data'!$G:$G,$B17,'Locations Data'!$B:$B,BV$5)&gt;0,1,0)</f>
        <v>1</v>
      </c>
      <c r="BW17" s="6">
        <f>IF(SUMIFS('Locations Data'!$C:$C,'Locations Data'!$G:$G,$B17,'Locations Data'!$B:$B,BW$5)&gt;0,1,0)</f>
        <v>1</v>
      </c>
      <c r="BX17" s="6">
        <f>IF(SUMIFS('Locations Data'!$C:$C,'Locations Data'!$G:$G,$B17,'Locations Data'!$B:$B,BX$5)&gt;0,1,0)</f>
        <v>0</v>
      </c>
      <c r="BY17" s="6">
        <f>IF(SUMIFS('Locations Data'!$C:$C,'Locations Data'!$G:$G,$B17,'Locations Data'!$B:$B,BY$5)&gt;0,1,0)</f>
        <v>0</v>
      </c>
      <c r="BZ17" s="6">
        <f>IF(SUMIFS('Locations Data'!$C:$C,'Locations Data'!$G:$G,$B17,'Locations Data'!$B:$B,BZ$5)&gt;0,1,0)</f>
        <v>1</v>
      </c>
      <c r="CA17" s="6">
        <f>IF(SUMIFS('Locations Data'!$C:$C,'Locations Data'!$G:$G,$B17,'Locations Data'!$B:$B,CA$5)&gt;0,1,0)</f>
        <v>1</v>
      </c>
      <c r="CB17" s="6">
        <f>IF(SUMIFS('Locations Data'!$C:$C,'Locations Data'!$G:$G,$B17,'Locations Data'!$B:$B,CB$5)&gt;0,1,0)</f>
        <v>1</v>
      </c>
      <c r="CC17" s="6">
        <f>IF(SUMIFS('Locations Data'!$C:$C,'Locations Data'!$G:$G,$B17,'Locations Data'!$B:$B,CC$5)&gt;0,1,0)</f>
        <v>1</v>
      </c>
      <c r="CD17" s="6">
        <f>IF(SUMIFS('Locations Data'!$C:$C,'Locations Data'!$G:$G,$B17,'Locations Data'!$B:$B,CD$5)&gt;0,1,0)</f>
        <v>1</v>
      </c>
      <c r="CE17" s="6">
        <f>IF(SUMIFS('Locations Data'!$C:$C,'Locations Data'!$G:$G,$B17,'Locations Data'!$B:$B,CE$5)&gt;0,1,0)</f>
        <v>0</v>
      </c>
      <c r="CF17" s="6">
        <f>IF(SUMIFS('Locations Data'!$C:$C,'Locations Data'!$G:$G,$B17,'Locations Data'!$B:$B,CF$5)&gt;0,1,0)</f>
        <v>0</v>
      </c>
      <c r="CG17" s="6">
        <f>IF(SUMIFS('Locations Data'!$C:$C,'Locations Data'!$G:$G,$B17,'Locations Data'!$B:$B,CG$5)&gt;0,1,0)</f>
        <v>1</v>
      </c>
      <c r="CH17" s="6">
        <f>IF(SUMIFS('Locations Data'!$C:$C,'Locations Data'!$G:$G,$B17,'Locations Data'!$B:$B,CH$5)&gt;0,1,0)</f>
        <v>1</v>
      </c>
      <c r="CI17" s="6">
        <f>IF(SUMIFS('Locations Data'!$C:$C,'Locations Data'!$G:$G,$B17,'Locations Data'!$B:$B,CI$5)&gt;0,1,0)</f>
        <v>1</v>
      </c>
      <c r="CJ17" s="6">
        <f>IF(SUMIFS('Locations Data'!$C:$C,'Locations Data'!$G:$G,$B17,'Locations Data'!$B:$B,CJ$5)&gt;0,1,0)</f>
        <v>1</v>
      </c>
      <c r="CK17" s="6">
        <f>IF(SUMIFS('Locations Data'!$C:$C,'Locations Data'!$G:$G,$B17,'Locations Data'!$B:$B,CK$5)&gt;0,1,0)</f>
        <v>1</v>
      </c>
      <c r="CL17" s="6">
        <f>IF(SUMIFS('Locations Data'!$C:$C,'Locations Data'!$G:$G,$B17,'Locations Data'!$B:$B,CL$5)&gt;0,1,0)</f>
        <v>0</v>
      </c>
      <c r="CM17" s="6">
        <f>IF(SUMIFS('Locations Data'!$C:$C,'Locations Data'!$G:$G,$B17,'Locations Data'!$B:$B,CM$5)&gt;0,1,0)</f>
        <v>0</v>
      </c>
      <c r="CN17" s="6">
        <f>IF(SUMIFS('Locations Data'!$C:$C,'Locations Data'!$G:$G,$B17,'Locations Data'!$B:$B,CN$5)&gt;0,1,0)</f>
        <v>1</v>
      </c>
      <c r="CO17" s="6">
        <f>IF(SUMIFS('Locations Data'!$C:$C,'Locations Data'!$G:$G,$B17,'Locations Data'!$B:$B,CO$5)&gt;0,1,0)</f>
        <v>1</v>
      </c>
      <c r="CP17" s="6">
        <f>IF(SUMIFS('Locations Data'!$C:$C,'Locations Data'!$G:$G,$B17,'Locations Data'!$B:$B,CP$5)&gt;0,1,0)</f>
        <v>1</v>
      </c>
      <c r="CQ17" s="6">
        <f>IF(SUMIFS('Locations Data'!$C:$C,'Locations Data'!$G:$G,$B17,'Locations Data'!$B:$B,CQ$5)&gt;0,1,0)</f>
        <v>1</v>
      </c>
      <c r="CR17" s="6">
        <f>IF(SUMIFS('Locations Data'!$C:$C,'Locations Data'!$G:$G,$B17,'Locations Data'!$B:$B,CR$5)&gt;0,1,0)</f>
        <v>1</v>
      </c>
      <c r="CS17" s="6">
        <f>IF(SUMIFS('Locations Data'!$C:$C,'Locations Data'!$G:$G,$B17,'Locations Data'!$B:$B,CS$5)&gt;0,1,0)</f>
        <v>0</v>
      </c>
      <c r="CT17" s="6">
        <f>IF(SUMIFS('Locations Data'!$C:$C,'Locations Data'!$G:$G,$B17,'Locations Data'!$B:$B,CT$5)&gt;0,1,0)</f>
        <v>0</v>
      </c>
      <c r="CU17" s="6">
        <f>IF(SUMIFS('Locations Data'!$C:$C,'Locations Data'!$G:$G,$B17,'Locations Data'!$B:$B,CU$5)&gt;0,1,0)</f>
        <v>1</v>
      </c>
      <c r="CV17" s="6">
        <f>IF(SUMIFS('Locations Data'!$C:$C,'Locations Data'!$G:$G,$B17,'Locations Data'!$B:$B,CV$5)&gt;0,1,0)</f>
        <v>1</v>
      </c>
      <c r="CW17" s="6">
        <f>IF(SUMIFS('Locations Data'!$C:$C,'Locations Data'!$G:$G,$B17,'Locations Data'!$B:$B,CW$5)&gt;0,1,0)</f>
        <v>1</v>
      </c>
      <c r="CX17" s="6">
        <f>IF(SUMIFS('Locations Data'!$C:$C,'Locations Data'!$G:$G,$B17,'Locations Data'!$B:$B,CX$5)&gt;0,1,0)</f>
        <v>1</v>
      </c>
      <c r="CY17" s="6">
        <f>IF(SUMIFS('Locations Data'!$C:$C,'Locations Data'!$G:$G,$B17,'Locations Data'!$B:$B,CY$5)&gt;0,1,0)</f>
        <v>1</v>
      </c>
      <c r="CZ17" s="6">
        <f>IF(SUMIFS('Locations Data'!$C:$C,'Locations Data'!$G:$G,$B17,'Locations Data'!$B:$B,CZ$5)&gt;0,1,0)</f>
        <v>0</v>
      </c>
      <c r="DA17" s="6">
        <f>IF(SUMIFS('Locations Data'!$C:$C,'Locations Data'!$G:$G,$B17,'Locations Data'!$B:$B,DA$5)&gt;0,1,0)</f>
        <v>0</v>
      </c>
      <c r="DB17" s="6">
        <f>IF(SUMIFS('Locations Data'!$C:$C,'Locations Data'!$G:$G,$B17,'Locations Data'!$B:$B,DB$5)&gt;0,1,0)</f>
        <v>1</v>
      </c>
      <c r="DC17" s="6">
        <f>IF(SUMIFS('Locations Data'!$C:$C,'Locations Data'!$G:$G,$B17,'Locations Data'!$B:$B,DC$5)&gt;0,1,0)</f>
        <v>1</v>
      </c>
      <c r="DD17" s="6">
        <f>IF(SUMIFS('Locations Data'!$C:$C,'Locations Data'!$G:$G,$B17,'Locations Data'!$B:$B,DD$5)&gt;0,1,0)</f>
        <v>1</v>
      </c>
      <c r="DE17" s="6">
        <f>IF(SUMIFS('Locations Data'!$C:$C,'Locations Data'!$G:$G,$B17,'Locations Data'!$B:$B,DE$5)&gt;0,1,0)</f>
        <v>1</v>
      </c>
      <c r="DF17" s="6">
        <f>IF(SUMIFS('Locations Data'!$C:$C,'Locations Data'!$G:$G,$B17,'Locations Data'!$B:$B,DF$5)&gt;0,1,0)</f>
        <v>1</v>
      </c>
      <c r="DG17" s="6">
        <f>IF(SUMIFS('Locations Data'!$C:$C,'Locations Data'!$G:$G,$B17,'Locations Data'!$B:$B,DG$5)&gt;0,1,0)</f>
        <v>0</v>
      </c>
      <c r="DH17" s="6">
        <f>IF(SUMIFS('Locations Data'!$C:$C,'Locations Data'!$G:$G,$B17,'Locations Data'!$B:$B,DH$5)&gt;0,1,0)</f>
        <v>0</v>
      </c>
      <c r="DI17" s="6">
        <f>IF(SUMIFS('Locations Data'!$C:$C,'Locations Data'!$G:$G,$B17,'Locations Data'!$B:$B,DI$5)&gt;0,1,0)</f>
        <v>1</v>
      </c>
      <c r="DJ17" s="6">
        <f>IF(SUMIFS('Locations Data'!$C:$C,'Locations Data'!$G:$G,$B17,'Locations Data'!$B:$B,DJ$5)&gt;0,1,0)</f>
        <v>1</v>
      </c>
      <c r="DK17" s="6">
        <f>IF(SUMIFS('Locations Data'!$C:$C,'Locations Data'!$G:$G,$B17,'Locations Data'!$B:$B,DK$5)&gt;0,1,0)</f>
        <v>1</v>
      </c>
      <c r="DL17" s="6">
        <f>IF(SUMIFS('Locations Data'!$C:$C,'Locations Data'!$G:$G,$B17,'Locations Data'!$B:$B,DL$5)&gt;0,1,0)</f>
        <v>1</v>
      </c>
      <c r="DM17" s="6">
        <f>IF(SUMIFS('Locations Data'!$C:$C,'Locations Data'!$G:$G,$B17,'Locations Data'!$B:$B,DM$5)&gt;0,1,0)</f>
        <v>1</v>
      </c>
      <c r="DN17" s="6">
        <f>IF(SUMIFS('Locations Data'!$C:$C,'Locations Data'!$G:$G,$B17,'Locations Data'!$B:$B,DN$5)&gt;0,1,0)</f>
        <v>0</v>
      </c>
      <c r="DO17" s="6">
        <f>IF(SUMIFS('Locations Data'!$C:$C,'Locations Data'!$G:$G,$B17,'Locations Data'!$B:$B,DO$5)&gt;0,1,0)</f>
        <v>0</v>
      </c>
      <c r="DP17" s="6">
        <f>IF(SUMIFS('Locations Data'!$C:$C,'Locations Data'!$G:$G,$B17,'Locations Data'!$B:$B,DP$5)&gt;0,1,0)</f>
        <v>1</v>
      </c>
      <c r="DQ17" s="6">
        <f>IF(SUMIFS('Locations Data'!$C:$C,'Locations Data'!$G:$G,$B17,'Locations Data'!$B:$B,DQ$5)&gt;0,1,0)</f>
        <v>1</v>
      </c>
      <c r="DR17" s="6">
        <f>IF(SUMIFS('Locations Data'!$C:$C,'Locations Data'!$G:$G,$B17,'Locations Data'!$B:$B,DR$5)&gt;0,1,0)</f>
        <v>1</v>
      </c>
      <c r="DS17" s="6">
        <f>IF(SUMIFS('Locations Data'!$C:$C,'Locations Data'!$G:$G,$B17,'Locations Data'!$B:$B,DS$5)&gt;0,1,0)</f>
        <v>1</v>
      </c>
      <c r="DT17" s="6">
        <f>IF(SUMIFS('Locations Data'!$C:$C,'Locations Data'!$G:$G,$B17,'Locations Data'!$B:$B,DT$5)&gt;0,1,0)</f>
        <v>1</v>
      </c>
      <c r="DU17" s="6">
        <f>IF(SUMIFS('Locations Data'!$C:$C,'Locations Data'!$G:$G,$B17,'Locations Data'!$B:$B,DU$5)&gt;0,1,0)</f>
        <v>0</v>
      </c>
      <c r="DV17" s="6">
        <f>IF(SUMIFS('Locations Data'!$C:$C,'Locations Data'!$G:$G,$B17,'Locations Data'!$B:$B,DV$5)&gt;0,1,0)</f>
        <v>0</v>
      </c>
      <c r="DW17" s="6">
        <f>IF(SUMIFS('Locations Data'!$C:$C,'Locations Data'!$G:$G,$B17,'Locations Data'!$B:$B,DW$5)&gt;0,1,0)</f>
        <v>1</v>
      </c>
      <c r="DX17" s="6">
        <f>IF(SUMIFS('Locations Data'!$C:$C,'Locations Data'!$G:$G,$B17,'Locations Data'!$B:$B,DX$5)&gt;0,1,0)</f>
        <v>1</v>
      </c>
      <c r="DY17" s="6">
        <f>IF(SUMIFS('Locations Data'!$C:$C,'Locations Data'!$G:$G,$B17,'Locations Data'!$B:$B,DY$5)&gt;0,1,0)</f>
        <v>1</v>
      </c>
      <c r="DZ17" s="6">
        <f>IF(SUMIFS('Locations Data'!$C:$C,'Locations Data'!$G:$G,$B17,'Locations Data'!$B:$B,DZ$5)&gt;0,1,0)</f>
        <v>1</v>
      </c>
      <c r="EA17" s="6">
        <f>IF(SUMIFS('Locations Data'!$C:$C,'Locations Data'!$G:$G,$B17,'Locations Data'!$B:$B,EA$5)&gt;0,1,0)</f>
        <v>1</v>
      </c>
      <c r="EB17" s="6">
        <f>IF(SUMIFS('Locations Data'!$C:$C,'Locations Data'!$G:$G,$B17,'Locations Data'!$B:$B,EB$5)&gt;0,1,0)</f>
        <v>0</v>
      </c>
      <c r="EC17" s="6">
        <f>IF(SUMIFS('Locations Data'!$C:$C,'Locations Data'!$G:$G,$B17,'Locations Data'!$B:$B,EC$5)&gt;0,1,0)</f>
        <v>0</v>
      </c>
      <c r="ED17" s="6">
        <f>IF(SUMIFS('Locations Data'!$C:$C,'Locations Data'!$G:$G,$B17,'Locations Data'!$B:$B,ED$5)&gt;0,1,0)</f>
        <v>1</v>
      </c>
      <c r="EE17" s="6">
        <f>IF(SUMIFS('Locations Data'!$C:$C,'Locations Data'!$G:$G,$B17,'Locations Data'!$B:$B,EE$5)&gt;0,1,0)</f>
        <v>1</v>
      </c>
      <c r="EF17" s="6">
        <f>IF(SUMIFS('Locations Data'!$C:$C,'Locations Data'!$G:$G,$B17,'Locations Data'!$B:$B,EF$5)&gt;0,1,0)</f>
        <v>1</v>
      </c>
      <c r="EG17" s="6">
        <f>IF(SUMIFS('Locations Data'!$C:$C,'Locations Data'!$G:$G,$B17,'Locations Data'!$B:$B,EG$5)&gt;0,1,0)</f>
        <v>1</v>
      </c>
      <c r="EH17" s="6">
        <f>IF(SUMIFS('Locations Data'!$C:$C,'Locations Data'!$G:$G,$B17,'Locations Data'!$B:$B,EH$5)&gt;0,1,0)</f>
        <v>1</v>
      </c>
      <c r="EI17" s="6">
        <f>IF(SUMIFS('Locations Data'!$C:$C,'Locations Data'!$G:$G,$B17,'Locations Data'!$B:$B,EI$5)&gt;0,1,0)</f>
        <v>0</v>
      </c>
      <c r="EJ17" s="6">
        <f>IF(SUMIFS('Locations Data'!$C:$C,'Locations Data'!$G:$G,$B17,'Locations Data'!$B:$B,EJ$5)&gt;0,1,0)</f>
        <v>0</v>
      </c>
      <c r="EK17" s="6">
        <f>IF(SUMIFS('Locations Data'!$C:$C,'Locations Data'!$G:$G,$B17,'Locations Data'!$B:$B,EK$5)&gt;0,1,0)</f>
        <v>1</v>
      </c>
      <c r="EL17" s="6">
        <f>IF(SUMIFS('Locations Data'!$C:$C,'Locations Data'!$G:$G,$B17,'Locations Data'!$B:$B,EL$5)&gt;0,1,0)</f>
        <v>1</v>
      </c>
      <c r="EM17" s="6">
        <f>IF(SUMIFS('Locations Data'!$C:$C,'Locations Data'!$G:$G,$B17,'Locations Data'!$B:$B,EM$5)&gt;0,1,0)</f>
        <v>1</v>
      </c>
      <c r="EN17" s="6">
        <f>IF(SUMIFS('Locations Data'!$C:$C,'Locations Data'!$G:$G,$B17,'Locations Data'!$B:$B,EN$5)&gt;0,1,0)</f>
        <v>1</v>
      </c>
      <c r="EO17" s="6">
        <f>IF(SUMIFS('Locations Data'!$C:$C,'Locations Data'!$G:$G,$B17,'Locations Data'!$B:$B,EO$5)&gt;0,1,0)</f>
        <v>1</v>
      </c>
      <c r="EP17" s="6">
        <f>IF(SUMIFS('Locations Data'!$C:$C,'Locations Data'!$G:$G,$B17,'Locations Data'!$B:$B,EP$5)&gt;0,1,0)</f>
        <v>0</v>
      </c>
      <c r="EQ17" s="6">
        <f>IF(SUMIFS('Locations Data'!$C:$C,'Locations Data'!$G:$G,$B17,'Locations Data'!$B:$B,EQ$5)&gt;0,1,0)</f>
        <v>0</v>
      </c>
      <c r="ER17" s="6">
        <f>IF(SUMIFS('Locations Data'!$C:$C,'Locations Data'!$G:$G,$B17,'Locations Data'!$B:$B,ER$5)&gt;0,1,0)</f>
        <v>1</v>
      </c>
      <c r="ES17" s="6">
        <f>IF(SUMIFS('Locations Data'!$C:$C,'Locations Data'!$G:$G,$B17,'Locations Data'!$B:$B,ES$5)&gt;0,1,0)</f>
        <v>1</v>
      </c>
      <c r="ET17" s="6">
        <f>IF(SUMIFS('Locations Data'!$C:$C,'Locations Data'!$G:$G,$B17,'Locations Data'!$B:$B,ET$5)&gt;0,1,0)</f>
        <v>1</v>
      </c>
      <c r="EU17" s="6">
        <f>IF(SUMIFS('Locations Data'!$C:$C,'Locations Data'!$G:$G,$B17,'Locations Data'!$B:$B,EU$5)&gt;0,1,0)</f>
        <v>1</v>
      </c>
      <c r="EV17" s="6">
        <f>IF(SUMIFS('Locations Data'!$C:$C,'Locations Data'!$G:$G,$B17,'Locations Data'!$B:$B,EV$5)&gt;0,1,0)</f>
        <v>1</v>
      </c>
      <c r="EW17" s="6">
        <f>IF(SUMIFS('Locations Data'!$C:$C,'Locations Data'!$G:$G,$B17,'Locations Data'!$B:$B,EW$5)&gt;0,1,0)</f>
        <v>0</v>
      </c>
      <c r="EX17" s="6">
        <f>IF(SUMIFS('Locations Data'!$C:$C,'Locations Data'!$G:$G,$B17,'Locations Data'!$B:$B,EX$5)&gt;0,1,0)</f>
        <v>0</v>
      </c>
      <c r="EY17" s="6">
        <f>IF(SUMIFS('Locations Data'!$C:$C,'Locations Data'!$G:$G,$B17,'Locations Data'!$B:$B,EY$5)&gt;0,1,0)</f>
        <v>1</v>
      </c>
      <c r="EZ17" s="6">
        <f>IF(SUMIFS('Locations Data'!$C:$C,'Locations Data'!$G:$G,$B17,'Locations Data'!$B:$B,EZ$5)&gt;0,1,0)</f>
        <v>1</v>
      </c>
      <c r="FA17" s="6">
        <f>IF(SUMIFS('Locations Data'!$C:$C,'Locations Data'!$G:$G,$B17,'Locations Data'!$B:$B,FA$5)&gt;0,1,0)</f>
        <v>1</v>
      </c>
      <c r="FB17" s="6">
        <f>IF(SUMIFS('Locations Data'!$C:$C,'Locations Data'!$G:$G,$B17,'Locations Data'!$B:$B,FB$5)&gt;0,1,0)</f>
        <v>1</v>
      </c>
      <c r="FC17" s="6">
        <f>IF(SUMIFS('Locations Data'!$C:$C,'Locations Data'!$G:$G,$B17,'Locations Data'!$B:$B,FC$5)&gt;0,1,0)</f>
        <v>1</v>
      </c>
      <c r="FD17" s="6">
        <f>IF(SUMIFS('Locations Data'!$C:$C,'Locations Data'!$G:$G,$B17,'Locations Data'!$B:$B,FD$5)&gt;0,1,0)</f>
        <v>0</v>
      </c>
      <c r="FE17" s="6">
        <f>IF(SUMIFS('Locations Data'!$C:$C,'Locations Data'!$G:$G,$B17,'Locations Data'!$B:$B,FE$5)&gt;0,1,0)</f>
        <v>0</v>
      </c>
      <c r="FF17" s="6">
        <f>IF(SUMIFS('Locations Data'!$C:$C,'Locations Data'!$G:$G,$B17,'Locations Data'!$B:$B,FF$5)&gt;0,1,0)</f>
        <v>1</v>
      </c>
      <c r="FG17" s="6">
        <f>IF(SUMIFS('Locations Data'!$C:$C,'Locations Data'!$G:$G,$B17,'Locations Data'!$B:$B,FG$5)&gt;0,1,0)</f>
        <v>1</v>
      </c>
      <c r="FH17" s="6">
        <f>IF(SUMIFS('Locations Data'!$C:$C,'Locations Data'!$G:$G,$B17,'Locations Data'!$B:$B,FH$5)&gt;0,1,0)</f>
        <v>1</v>
      </c>
      <c r="FI17" s="6">
        <f>IF(SUMIFS('Locations Data'!$C:$C,'Locations Data'!$G:$G,$B17,'Locations Data'!$B:$B,FI$5)&gt;0,1,0)</f>
        <v>1</v>
      </c>
      <c r="FJ17" s="6">
        <f>IF(SUMIFS('Locations Data'!$C:$C,'Locations Data'!$G:$G,$B17,'Locations Data'!$B:$B,FJ$5)&gt;0,1,0)</f>
        <v>1</v>
      </c>
      <c r="FK17" s="6">
        <f>IF(SUMIFS('Locations Data'!$C:$C,'Locations Data'!$G:$G,$B17,'Locations Data'!$B:$B,FK$5)&gt;0,1,0)</f>
        <v>0</v>
      </c>
      <c r="FL17" s="6">
        <f>IF(SUMIFS('Locations Data'!$C:$C,'Locations Data'!$G:$G,$B17,'Locations Data'!$B:$B,FL$5)&gt;0,1,0)</f>
        <v>0</v>
      </c>
      <c r="FM17" s="6">
        <f>IF(SUMIFS('Locations Data'!$C:$C,'Locations Data'!$G:$G,$B17,'Locations Data'!$B:$B,FM$5)&gt;0,1,0)</f>
        <v>1</v>
      </c>
      <c r="FN17" s="6">
        <f>IF(SUMIFS('Locations Data'!$C:$C,'Locations Data'!$G:$G,$B17,'Locations Data'!$B:$B,FN$5)&gt;0,1,0)</f>
        <v>1</v>
      </c>
      <c r="FO17" s="6">
        <f>IF(SUMIFS('Locations Data'!$C:$C,'Locations Data'!$G:$G,$B17,'Locations Data'!$B:$B,FO$5)&gt;0,1,0)</f>
        <v>1</v>
      </c>
      <c r="FP17" s="6">
        <f>IF(SUMIFS('Locations Data'!$C:$C,'Locations Data'!$G:$G,$B17,'Locations Data'!$B:$B,FP$5)&gt;0,1,0)</f>
        <v>1</v>
      </c>
      <c r="FQ17" s="6">
        <f>IF(SUMIFS('Locations Data'!$C:$C,'Locations Data'!$G:$G,$B17,'Locations Data'!$B:$B,FQ$5)&gt;0,1,0)</f>
        <v>1</v>
      </c>
      <c r="FR17" s="6">
        <f>IF(SUMIFS('Locations Data'!$C:$C,'Locations Data'!$G:$G,$B17,'Locations Data'!$B:$B,FR$5)&gt;0,1,0)</f>
        <v>0</v>
      </c>
      <c r="FS17" s="6">
        <f>IF(SUMIFS('Locations Data'!$C:$C,'Locations Data'!$G:$G,$B17,'Locations Data'!$B:$B,FS$5)&gt;0,1,0)</f>
        <v>0</v>
      </c>
      <c r="FT17" s="6">
        <f>IF(SUMIFS('Locations Data'!$C:$C,'Locations Data'!$G:$G,$B17,'Locations Data'!$B:$B,FT$5)&gt;0,1,0)</f>
        <v>1</v>
      </c>
      <c r="FU17" s="6">
        <f>IF(SUMIFS('Locations Data'!$C:$C,'Locations Data'!$G:$G,$B17,'Locations Data'!$B:$B,FU$5)&gt;0,1,0)</f>
        <v>1</v>
      </c>
      <c r="FV17" s="6">
        <f>IF(SUMIFS('Locations Data'!$C:$C,'Locations Data'!$G:$G,$B17,'Locations Data'!$B:$B,FV$5)&gt;0,1,0)</f>
        <v>1</v>
      </c>
      <c r="FW17" s="6">
        <f>IF(SUMIFS('Locations Data'!$C:$C,'Locations Data'!$G:$G,$B17,'Locations Data'!$B:$B,FW$5)&gt;0,1,0)</f>
        <v>1</v>
      </c>
      <c r="FX17" s="6">
        <f>IF(SUMIFS('Locations Data'!$C:$C,'Locations Data'!$G:$G,$B17,'Locations Data'!$B:$B,FX$5)&gt;0,1,0)</f>
        <v>1</v>
      </c>
      <c r="FY17" s="6">
        <f>IF(SUMIFS('Locations Data'!$C:$C,'Locations Data'!$G:$G,$B17,'Locations Data'!$B:$B,FY$5)&gt;0,1,0)</f>
        <v>0</v>
      </c>
      <c r="FZ17" s="6">
        <f>IF(SUMIFS('Locations Data'!$C:$C,'Locations Data'!$G:$G,$B17,'Locations Data'!$B:$B,FZ$5)&gt;0,1,0)</f>
        <v>0</v>
      </c>
      <c r="GA17" s="6">
        <f>IF(SUMIFS('Locations Data'!$C:$C,'Locations Data'!$G:$G,$B17,'Locations Data'!$B:$B,GA$5)&gt;0,1,0)</f>
        <v>1</v>
      </c>
      <c r="GB17" s="6">
        <f>IF(SUMIFS('Locations Data'!$C:$C,'Locations Data'!$G:$G,$B17,'Locations Data'!$B:$B,GB$5)&gt;0,1,0)</f>
        <v>1</v>
      </c>
      <c r="GC17" s="6">
        <f>IF(SUMIFS('Locations Data'!$C:$C,'Locations Data'!$G:$G,$B17,'Locations Data'!$B:$B,GC$5)&gt;0,1,0)</f>
        <v>1</v>
      </c>
      <c r="GD17" s="6">
        <f>IF(SUMIFS('Locations Data'!$C:$C,'Locations Data'!$G:$G,$B17,'Locations Data'!$B:$B,GD$5)&gt;0,1,0)</f>
        <v>1</v>
      </c>
      <c r="GE17" s="6">
        <f>IF(SUMIFS('Locations Data'!$C:$C,'Locations Data'!$G:$G,$B17,'Locations Data'!$B:$B,GE$5)&gt;0,1,0)</f>
        <v>1</v>
      </c>
      <c r="GF17" s="6">
        <f>IF(SUMIFS('Locations Data'!$C:$C,'Locations Data'!$G:$G,$B17,'Locations Data'!$B:$B,GF$5)&gt;0,1,0)</f>
        <v>0</v>
      </c>
      <c r="GG17" s="6">
        <f>IF(SUMIFS('Locations Data'!$C:$C,'Locations Data'!$G:$G,$B17,'Locations Data'!$B:$B,GG$5)&gt;0,1,0)</f>
        <v>0</v>
      </c>
      <c r="GH17" s="6">
        <f>IF(SUMIFS('Locations Data'!$C:$C,'Locations Data'!$G:$G,$B17,'Locations Data'!$B:$B,GH$5)&gt;0,1,0)</f>
        <v>1</v>
      </c>
      <c r="GI17" s="6">
        <f>IF(SUMIFS('Locations Data'!$C:$C,'Locations Data'!$G:$G,$B17,'Locations Data'!$B:$B,GI$5)&gt;0,1,0)</f>
        <v>1</v>
      </c>
      <c r="GJ17" s="6">
        <f>IF(SUMIFS('Locations Data'!$C:$C,'Locations Data'!$G:$G,$B17,'Locations Data'!$B:$B,GJ$5)&gt;0,1,0)</f>
        <v>1</v>
      </c>
      <c r="GK17" s="6">
        <f>IF(SUMIFS('Locations Data'!$C:$C,'Locations Data'!$G:$G,$B17,'Locations Data'!$B:$B,GK$5)&gt;0,1,0)</f>
        <v>1</v>
      </c>
      <c r="GL17" s="6">
        <f>IF(SUMIFS('Locations Data'!$C:$C,'Locations Data'!$G:$G,$B17,'Locations Data'!$B:$B,GL$5)&gt;0,1,0)</f>
        <v>1</v>
      </c>
      <c r="GM17" s="6">
        <f>IF(SUMIFS('Locations Data'!$C:$C,'Locations Data'!$G:$G,$B17,'Locations Data'!$B:$B,GM$5)&gt;0,1,0)</f>
        <v>0</v>
      </c>
      <c r="GN17" s="6">
        <f>IF(SUMIFS('Locations Data'!$C:$C,'Locations Data'!$G:$G,$B17,'Locations Data'!$B:$B,GN$5)&gt;0,1,0)</f>
        <v>0</v>
      </c>
      <c r="GO17" s="6">
        <f>IF(SUMIFS('Locations Data'!$C:$C,'Locations Data'!$G:$G,$B17,'Locations Data'!$B:$B,GO$5)&gt;0,1,0)</f>
        <v>1</v>
      </c>
      <c r="GP17" s="6">
        <f>IF(SUMIFS('Locations Data'!$C:$C,'Locations Data'!$G:$G,$B17,'Locations Data'!$B:$B,GP$5)&gt;0,1,0)</f>
        <v>1</v>
      </c>
      <c r="GQ17" s="6">
        <f>IF(SUMIFS('Locations Data'!$C:$C,'Locations Data'!$G:$G,$B17,'Locations Data'!$B:$B,GQ$5)&gt;0,1,0)</f>
        <v>1</v>
      </c>
      <c r="GR17" s="6">
        <f>IF(SUMIFS('Locations Data'!$C:$C,'Locations Data'!$G:$G,$B17,'Locations Data'!$B:$B,GR$5)&gt;0,1,0)</f>
        <v>1</v>
      </c>
      <c r="GS17" s="6">
        <f>IF(SUMIFS('Locations Data'!$C:$C,'Locations Data'!$G:$G,$B17,'Locations Data'!$B:$B,GS$5)&gt;0,1,0)</f>
        <v>1</v>
      </c>
      <c r="GT17" s="6">
        <f>IF(SUMIFS('Locations Data'!$C:$C,'Locations Data'!$G:$G,$B17,'Locations Data'!$B:$B,GT$5)&gt;0,1,0)</f>
        <v>0</v>
      </c>
      <c r="GU17" s="6">
        <f>IF(SUMIFS('Locations Data'!$C:$C,'Locations Data'!$G:$G,$B17,'Locations Data'!$B:$B,GU$5)&gt;0,1,0)</f>
        <v>0</v>
      </c>
      <c r="GV17" s="6">
        <f>IF(SUMIFS('Locations Data'!$C:$C,'Locations Data'!$G:$G,$B17,'Locations Data'!$B:$B,GV$5)&gt;0,1,0)</f>
        <v>1</v>
      </c>
      <c r="GW17" s="6">
        <f>IF(SUMIFS('Locations Data'!$C:$C,'Locations Data'!$G:$G,$B17,'Locations Data'!$B:$B,GW$5)&gt;0,1,0)</f>
        <v>1</v>
      </c>
      <c r="GX17" s="6">
        <f>IF(SUMIFS('Locations Data'!$C:$C,'Locations Data'!$G:$G,$B17,'Locations Data'!$B:$B,GX$5)&gt;0,1,0)</f>
        <v>1</v>
      </c>
      <c r="GY17" s="6">
        <f>IF(SUMIFS('Locations Data'!$C:$C,'Locations Data'!$G:$G,$B17,'Locations Data'!$B:$B,GY$5)&gt;0,1,0)</f>
        <v>1</v>
      </c>
      <c r="GZ17" s="6">
        <f>IF(SUMIFS('Locations Data'!$C:$C,'Locations Data'!$G:$G,$B17,'Locations Data'!$B:$B,GZ$5)&gt;0,1,0)</f>
        <v>1</v>
      </c>
      <c r="HA17" s="6">
        <f>IF(SUMIFS('Locations Data'!$C:$C,'Locations Data'!$G:$G,$B17,'Locations Data'!$B:$B,HA$5)&gt;0,1,0)</f>
        <v>0</v>
      </c>
      <c r="HB17" s="6">
        <f>IF(SUMIFS('Locations Data'!$C:$C,'Locations Data'!$G:$G,$B17,'Locations Data'!$B:$B,HB$5)&gt;0,1,0)</f>
        <v>0</v>
      </c>
      <c r="HC17" s="6">
        <f>IF(SUMIFS('Locations Data'!$C:$C,'Locations Data'!$G:$G,$B17,'Locations Data'!$B:$B,HC$5)&gt;0,1,0)</f>
        <v>1</v>
      </c>
      <c r="HD17" s="6">
        <f>IF(SUMIFS('Locations Data'!$C:$C,'Locations Data'!$G:$G,$B17,'Locations Data'!$B:$B,HD$5)&gt;0,1,0)</f>
        <v>1</v>
      </c>
      <c r="HE17" s="6">
        <f>IF(SUMIFS('Locations Data'!$C:$C,'Locations Data'!$G:$G,$B17,'Locations Data'!$B:$B,HE$5)&gt;0,1,0)</f>
        <v>1</v>
      </c>
      <c r="HF17" s="6">
        <f>IF(SUMIFS('Locations Data'!$C:$C,'Locations Data'!$G:$G,$B17,'Locations Data'!$B:$B,HF$5)&gt;0,1,0)</f>
        <v>1</v>
      </c>
      <c r="HG17" s="6">
        <f>IF(SUMIFS('Locations Data'!$C:$C,'Locations Data'!$G:$G,$B17,'Locations Data'!$B:$B,HG$5)&gt;0,1,0)</f>
        <v>1</v>
      </c>
      <c r="HH17" s="6">
        <f>IF(SUMIFS('Locations Data'!$C:$C,'Locations Data'!$G:$G,$B17,'Locations Data'!$B:$B,HH$5)&gt;0,1,0)</f>
        <v>0</v>
      </c>
      <c r="HI17" s="6">
        <f>IF(SUMIFS('Locations Data'!$C:$C,'Locations Data'!$G:$G,$B17,'Locations Data'!$B:$B,HI$5)&gt;0,1,0)</f>
        <v>0</v>
      </c>
      <c r="HJ17" s="6">
        <f>IF(SUMIFS('Locations Data'!$C:$C,'Locations Data'!$G:$G,$B17,'Locations Data'!$B:$B,HJ$5)&gt;0,1,0)</f>
        <v>1</v>
      </c>
      <c r="HK17" s="6">
        <f>IF(SUMIFS('Locations Data'!$C:$C,'Locations Data'!$G:$G,$B17,'Locations Data'!$B:$B,HK$5)&gt;0,1,0)</f>
        <v>1</v>
      </c>
      <c r="HL17" s="6">
        <f>IF(SUMIFS('Locations Data'!$C:$C,'Locations Data'!$G:$G,$B17,'Locations Data'!$B:$B,HL$5)&gt;0,1,0)</f>
        <v>1</v>
      </c>
      <c r="HM17" s="6">
        <f>IF(SUMIFS('Locations Data'!$C:$C,'Locations Data'!$G:$G,$B17,'Locations Data'!$B:$B,HM$5)&gt;0,1,0)</f>
        <v>1</v>
      </c>
      <c r="HN17" s="6">
        <f>IF(SUMIFS('Locations Data'!$C:$C,'Locations Data'!$G:$G,$B17,'Locations Data'!$B:$B,HN$5)&gt;0,1,0)</f>
        <v>1</v>
      </c>
      <c r="HO17" s="6">
        <f>IF(SUMIFS('Locations Data'!$C:$C,'Locations Data'!$G:$G,$B17,'Locations Data'!$B:$B,HO$5)&gt;0,1,0)</f>
        <v>0</v>
      </c>
      <c r="HP17" s="6">
        <f>IF(SUMIFS('Locations Data'!$C:$C,'Locations Data'!$G:$G,$B17,'Locations Data'!$B:$B,HP$5)&gt;0,1,0)</f>
        <v>0</v>
      </c>
      <c r="HQ17" s="6">
        <f>IF(SUMIFS('Locations Data'!$C:$C,'Locations Data'!$G:$G,$B17,'Locations Data'!$B:$B,HQ$5)&gt;0,1,0)</f>
        <v>1</v>
      </c>
      <c r="HR17" s="6">
        <f>IF(SUMIFS('Locations Data'!$C:$C,'Locations Data'!$G:$G,$B17,'Locations Data'!$B:$B,HR$5)&gt;0,1,0)</f>
        <v>1</v>
      </c>
      <c r="HS17" s="6">
        <f>IF(SUMIFS('Locations Data'!$C:$C,'Locations Data'!$G:$G,$B17,'Locations Data'!$B:$B,HS$5)&gt;0,1,0)</f>
        <v>1</v>
      </c>
      <c r="HT17" s="6">
        <f>IF(SUMIFS('Locations Data'!$C:$C,'Locations Data'!$G:$G,$B17,'Locations Data'!$B:$B,HT$5)&gt;0,1,0)</f>
        <v>1</v>
      </c>
      <c r="HU17" s="6">
        <f>IF(SUMIFS('Locations Data'!$C:$C,'Locations Data'!$G:$G,$B17,'Locations Data'!$B:$B,HU$5)&gt;0,1,0)</f>
        <v>1</v>
      </c>
      <c r="HV17" s="6">
        <f>IF(SUMIFS('Locations Data'!$C:$C,'Locations Data'!$G:$G,$B17,'Locations Data'!$B:$B,HV$5)&gt;0,1,0)</f>
        <v>0</v>
      </c>
      <c r="HW17" s="6">
        <f>IF(SUMIFS('Locations Data'!$C:$C,'Locations Data'!$G:$G,$B17,'Locations Data'!$B:$B,HW$5)&gt;0,1,0)</f>
        <v>0</v>
      </c>
      <c r="HX17" s="6">
        <f>IF(SUMIFS('Locations Data'!$C:$C,'Locations Data'!$G:$G,$B17,'Locations Data'!$B:$B,HX$5)&gt;0,1,0)</f>
        <v>1</v>
      </c>
      <c r="HY17" s="6">
        <f>IF(SUMIFS('Locations Data'!$C:$C,'Locations Data'!$G:$G,$B17,'Locations Data'!$B:$B,HY$5)&gt;0,1,0)</f>
        <v>1</v>
      </c>
      <c r="HZ17" s="6">
        <f>IF(SUMIFS('Locations Data'!$C:$C,'Locations Data'!$G:$G,$B17,'Locations Data'!$B:$B,HZ$5)&gt;0,1,0)</f>
        <v>1</v>
      </c>
      <c r="IA17" s="6">
        <f>IF(SUMIFS('Locations Data'!$C:$C,'Locations Data'!$G:$G,$B17,'Locations Data'!$B:$B,IA$5)&gt;0,1,0)</f>
        <v>1</v>
      </c>
      <c r="IB17" s="6">
        <f>IF(SUMIFS('Locations Data'!$C:$C,'Locations Data'!$G:$G,$B17,'Locations Data'!$B:$B,IB$5)&gt;0,1,0)</f>
        <v>1</v>
      </c>
      <c r="IC17" s="6">
        <f>IF(SUMIFS('Locations Data'!$C:$C,'Locations Data'!$G:$G,$B17,'Locations Data'!$B:$B,IC$5)&gt;0,1,0)</f>
        <v>0</v>
      </c>
      <c r="ID17" s="6">
        <f>IF(SUMIFS('Locations Data'!$C:$C,'Locations Data'!$G:$G,$B17,'Locations Data'!$B:$B,ID$5)&gt;0,1,0)</f>
        <v>0</v>
      </c>
      <c r="IE17" s="6">
        <f>IF(SUMIFS('Locations Data'!$C:$C,'Locations Data'!$G:$G,$B17,'Locations Data'!$B:$B,IE$5)&gt;0,1,0)</f>
        <v>1</v>
      </c>
      <c r="IF17" s="6">
        <f>IF(SUMIFS('Locations Data'!$C:$C,'Locations Data'!$G:$G,$B17,'Locations Data'!$B:$B,IF$5)&gt;0,1,0)</f>
        <v>1</v>
      </c>
      <c r="IG17" s="6">
        <f>IF(SUMIFS('Locations Data'!$C:$C,'Locations Data'!$G:$G,$B17,'Locations Data'!$B:$B,IG$5)&gt;0,1,0)</f>
        <v>1</v>
      </c>
      <c r="IH17" s="6">
        <f>IF(SUMIFS('Locations Data'!$C:$C,'Locations Data'!$G:$G,$B17,'Locations Data'!$B:$B,IH$5)&gt;0,1,0)</f>
        <v>1</v>
      </c>
      <c r="II17" s="6">
        <f>IF(SUMIFS('Locations Data'!$C:$C,'Locations Data'!$G:$G,$B17,'Locations Data'!$B:$B,II$5)&gt;0,1,0)</f>
        <v>1</v>
      </c>
      <c r="IJ17" s="6">
        <f>IF(SUMIFS('Locations Data'!$C:$C,'Locations Data'!$G:$G,$B17,'Locations Data'!$B:$B,IJ$5)&gt;0,1,0)</f>
        <v>0</v>
      </c>
      <c r="IK17" s="6">
        <f>IF(SUMIFS('Locations Data'!$C:$C,'Locations Data'!$G:$G,$B17,'Locations Data'!$B:$B,IK$5)&gt;0,1,0)</f>
        <v>0</v>
      </c>
      <c r="IL17" s="6">
        <f>IF(SUMIFS('Locations Data'!$C:$C,'Locations Data'!$G:$G,$B17,'Locations Data'!$B:$B,IL$5)&gt;0,1,0)</f>
        <v>1</v>
      </c>
      <c r="IM17" s="6">
        <f>IF(SUMIFS('Locations Data'!$C:$C,'Locations Data'!$G:$G,$B17,'Locations Data'!$B:$B,IM$5)&gt;0,1,0)</f>
        <v>1</v>
      </c>
      <c r="IN17" s="6">
        <f>IF(SUMIFS('Locations Data'!$C:$C,'Locations Data'!$G:$G,$B17,'Locations Data'!$B:$B,IN$5)&gt;0,1,0)</f>
        <v>1</v>
      </c>
      <c r="IO17" s="6">
        <f>IF(SUMIFS('Locations Data'!$C:$C,'Locations Data'!$G:$G,$B17,'Locations Data'!$B:$B,IO$5)&gt;0,1,0)</f>
        <v>1</v>
      </c>
      <c r="IP17" s="6">
        <f>IF(SUMIFS('Locations Data'!$C:$C,'Locations Data'!$G:$G,$B17,'Locations Data'!$B:$B,IP$5)&gt;0,1,0)</f>
        <v>1</v>
      </c>
      <c r="IQ17" s="6">
        <f>IF(SUMIFS('Locations Data'!$C:$C,'Locations Data'!$G:$G,$B17,'Locations Data'!$B:$B,IQ$5)&gt;0,1,0)</f>
        <v>0</v>
      </c>
      <c r="IR17" s="6">
        <f>IF(SUMIFS('Locations Data'!$C:$C,'Locations Data'!$G:$G,$B17,'Locations Data'!$B:$B,IR$5)&gt;0,1,0)</f>
        <v>0</v>
      </c>
      <c r="IS17" s="6">
        <f>IF(SUMIFS('Locations Data'!$C:$C,'Locations Data'!$G:$G,$B17,'Locations Data'!$B:$B,IS$5)&gt;0,1,0)</f>
        <v>1</v>
      </c>
      <c r="IT17" s="6">
        <f>IF(SUMIFS('Locations Data'!$C:$C,'Locations Data'!$G:$G,$B17,'Locations Data'!$B:$B,IT$5)&gt;0,1,0)</f>
        <v>1</v>
      </c>
      <c r="IU17" s="6">
        <f>IF(SUMIFS('Locations Data'!$C:$C,'Locations Data'!$G:$G,$B17,'Locations Data'!$B:$B,IU$5)&gt;0,1,0)</f>
        <v>1</v>
      </c>
      <c r="IV17" s="6">
        <f>IF(SUMIFS('Locations Data'!$C:$C,'Locations Data'!$G:$G,$B17,'Locations Data'!$B:$B,IV$5)&gt;0,1,0)</f>
        <v>1</v>
      </c>
      <c r="IW17" s="6">
        <f>IF(SUMIFS('Locations Data'!$C:$C,'Locations Data'!$G:$G,$B17,'Locations Data'!$B:$B,IW$5)&gt;0,1,0)</f>
        <v>1</v>
      </c>
      <c r="IX17" s="6">
        <f>IF(SUMIFS('Locations Data'!$C:$C,'Locations Data'!$G:$G,$B17,'Locations Data'!$B:$B,IX$5)&gt;0,1,0)</f>
        <v>0</v>
      </c>
      <c r="IY17" s="6">
        <f>IF(SUMIFS('Locations Data'!$C:$C,'Locations Data'!$G:$G,$B17,'Locations Data'!$B:$B,IY$5)&gt;0,1,0)</f>
        <v>0</v>
      </c>
      <c r="IZ17" s="6">
        <f>IF(SUMIFS('Locations Data'!$C:$C,'Locations Data'!$G:$G,$B17,'Locations Data'!$B:$B,IZ$5)&gt;0,1,0)</f>
        <v>1</v>
      </c>
      <c r="JA17" s="6">
        <f>IF(SUMIFS('Locations Data'!$C:$C,'Locations Data'!$G:$G,$B17,'Locations Data'!$B:$B,JA$5)&gt;0,1,0)</f>
        <v>1</v>
      </c>
      <c r="JB17" s="6">
        <f>IF(SUMIFS('Locations Data'!$C:$C,'Locations Data'!$G:$G,$B17,'Locations Data'!$B:$B,JB$5)&gt;0,1,0)</f>
        <v>1</v>
      </c>
      <c r="JC17" s="6">
        <f>IF(SUMIFS('Locations Data'!$C:$C,'Locations Data'!$G:$G,$B17,'Locations Data'!$B:$B,JC$5)&gt;0,1,0)</f>
        <v>1</v>
      </c>
      <c r="JD17" s="6">
        <f>IF(SUMIFS('Locations Data'!$C:$C,'Locations Data'!$G:$G,$B17,'Locations Data'!$B:$B,JD$5)&gt;0,1,0)</f>
        <v>1</v>
      </c>
      <c r="JE17" s="6">
        <f>IF(SUMIFS('Locations Data'!$C:$C,'Locations Data'!$G:$G,$B17,'Locations Data'!$B:$B,JE$5)&gt;0,1,0)</f>
        <v>0</v>
      </c>
      <c r="JF17" s="6">
        <f>IF(SUMIFS('Locations Data'!$C:$C,'Locations Data'!$G:$G,$B17,'Locations Data'!$B:$B,JF$5)&gt;0,1,0)</f>
        <v>0</v>
      </c>
      <c r="JG17" s="6">
        <f>IF(SUMIFS('Locations Data'!$C:$C,'Locations Data'!$G:$G,$B17,'Locations Data'!$B:$B,JG$5)&gt;0,1,0)</f>
        <v>1</v>
      </c>
      <c r="JH17" s="6">
        <f>IF(SUMIFS('Locations Data'!$C:$C,'Locations Data'!$G:$G,$B17,'Locations Data'!$B:$B,JH$5)&gt;0,1,0)</f>
        <v>1</v>
      </c>
      <c r="JI17" s="6">
        <f>IF(SUMIFS('Locations Data'!$C:$C,'Locations Data'!$G:$G,$B17,'Locations Data'!$B:$B,JI$5)&gt;0,1,0)</f>
        <v>1</v>
      </c>
      <c r="JJ17" s="6">
        <f>IF(SUMIFS('Locations Data'!$C:$C,'Locations Data'!$G:$G,$B17,'Locations Data'!$B:$B,JJ$5)&gt;0,1,0)</f>
        <v>1</v>
      </c>
      <c r="JK17" s="6">
        <f>IF(SUMIFS('Locations Data'!$C:$C,'Locations Data'!$G:$G,$B17,'Locations Data'!$B:$B,JK$5)&gt;0,1,0)</f>
        <v>1</v>
      </c>
      <c r="JL17" s="6">
        <f>IF(SUMIFS('Locations Data'!$C:$C,'Locations Data'!$G:$G,$B17,'Locations Data'!$B:$B,JL$5)&gt;0,1,0)</f>
        <v>0</v>
      </c>
      <c r="JM17" s="6">
        <f>IF(SUMIFS('Locations Data'!$C:$C,'Locations Data'!$G:$G,$B17,'Locations Data'!$B:$B,JM$5)&gt;0,1,0)</f>
        <v>0</v>
      </c>
      <c r="JN17" s="6">
        <f>IF(SUMIFS('Locations Data'!$C:$C,'Locations Data'!$G:$G,$B17,'Locations Data'!$B:$B,JN$5)&gt;0,1,0)</f>
        <v>1</v>
      </c>
      <c r="JO17" s="6">
        <f>IF(SUMIFS('Locations Data'!$C:$C,'Locations Data'!$G:$G,$B17,'Locations Data'!$B:$B,JO$5)&gt;0,1,0)</f>
        <v>1</v>
      </c>
      <c r="JP17" s="6">
        <f>IF(SUMIFS('Locations Data'!$C:$C,'Locations Data'!$G:$G,$B17,'Locations Data'!$B:$B,JP$5)&gt;0,1,0)</f>
        <v>1</v>
      </c>
      <c r="JQ17" s="6">
        <f>IF(SUMIFS('Locations Data'!$C:$C,'Locations Data'!$G:$G,$B17,'Locations Data'!$B:$B,JQ$5)&gt;0,1,0)</f>
        <v>1</v>
      </c>
      <c r="JR17" s="6">
        <f>IF(SUMIFS('Locations Data'!$C:$C,'Locations Data'!$G:$G,$B17,'Locations Data'!$B:$B,JR$5)&gt;0,1,0)</f>
        <v>1</v>
      </c>
      <c r="JS17" s="6">
        <f>IF(SUMIFS('Locations Data'!$C:$C,'Locations Data'!$G:$G,$B17,'Locations Data'!$B:$B,JS$5)&gt;0,1,0)</f>
        <v>0</v>
      </c>
      <c r="JT17" s="6">
        <f>IF(SUMIFS('Locations Data'!$C:$C,'Locations Data'!$G:$G,$B17,'Locations Data'!$B:$B,JT$5)&gt;0,1,0)</f>
        <v>0</v>
      </c>
      <c r="JU17" s="6">
        <f>IF(SUMIFS('Locations Data'!$C:$C,'Locations Data'!$G:$G,$B17,'Locations Data'!$B:$B,JU$5)&gt;0,1,0)</f>
        <v>1</v>
      </c>
      <c r="JV17" s="6">
        <f>IF(SUMIFS('Locations Data'!$C:$C,'Locations Data'!$G:$G,$B17,'Locations Data'!$B:$B,JV$5)&gt;0,1,0)</f>
        <v>1</v>
      </c>
      <c r="JW17" s="6">
        <f>IF(SUMIFS('Locations Data'!$C:$C,'Locations Data'!$G:$G,$B17,'Locations Data'!$B:$B,JW$5)&gt;0,1,0)</f>
        <v>1</v>
      </c>
      <c r="JX17" s="6">
        <f>IF(SUMIFS('Locations Data'!$C:$C,'Locations Data'!$G:$G,$B17,'Locations Data'!$B:$B,JX$5)&gt;0,1,0)</f>
        <v>1</v>
      </c>
      <c r="JY17" s="6">
        <f>IF(SUMIFS('Locations Data'!$C:$C,'Locations Data'!$G:$G,$B17,'Locations Data'!$B:$B,JY$5)&gt;0,1,0)</f>
        <v>1</v>
      </c>
      <c r="JZ17" s="6">
        <f>IF(SUMIFS('Locations Data'!$C:$C,'Locations Data'!$G:$G,$B17,'Locations Data'!$B:$B,JZ$5)&gt;0,1,0)</f>
        <v>0</v>
      </c>
      <c r="KA17" s="6">
        <f>IF(SUMIFS('Locations Data'!$C:$C,'Locations Data'!$G:$G,$B17,'Locations Data'!$B:$B,KA$5)&gt;0,1,0)</f>
        <v>0</v>
      </c>
      <c r="KB17" s="6">
        <f>IF(SUMIFS('Locations Data'!$C:$C,'Locations Data'!$G:$G,$B17,'Locations Data'!$B:$B,KB$5)&gt;0,1,0)</f>
        <v>1</v>
      </c>
      <c r="KC17" s="6">
        <f>IF(SUMIFS('Locations Data'!$C:$C,'Locations Data'!$G:$G,$B17,'Locations Data'!$B:$B,KC$5)&gt;0,1,0)</f>
        <v>1</v>
      </c>
      <c r="KD17" s="6">
        <f>IF(SUMIFS('Locations Data'!$C:$C,'Locations Data'!$G:$G,$B17,'Locations Data'!$B:$B,KD$5)&gt;0,1,0)</f>
        <v>1</v>
      </c>
      <c r="KE17" s="6">
        <f>IF(SUMIFS('Locations Data'!$C:$C,'Locations Data'!$G:$G,$B17,'Locations Data'!$B:$B,KE$5)&gt;0,1,0)</f>
        <v>1</v>
      </c>
      <c r="KF17" s="6">
        <f>IF(SUMIFS('Locations Data'!$C:$C,'Locations Data'!$G:$G,$B17,'Locations Data'!$B:$B,KF$5)&gt;0,1,0)</f>
        <v>1</v>
      </c>
      <c r="KG17" s="6">
        <f>IF(SUMIFS('Locations Data'!$C:$C,'Locations Data'!$G:$G,$B17,'Locations Data'!$B:$B,KG$5)&gt;0,1,0)</f>
        <v>0</v>
      </c>
      <c r="KH17" s="6">
        <f>IF(SUMIFS('Locations Data'!$C:$C,'Locations Data'!$G:$G,$B17,'Locations Data'!$B:$B,KH$5)&gt;0,1,0)</f>
        <v>0</v>
      </c>
      <c r="KI17" s="6">
        <f>IF(SUMIFS('Locations Data'!$C:$C,'Locations Data'!$G:$G,$B17,'Locations Data'!$B:$B,KI$5)&gt;0,1,0)</f>
        <v>1</v>
      </c>
      <c r="KJ17" s="6">
        <f>IF(SUMIFS('Locations Data'!$C:$C,'Locations Data'!$G:$G,$B17,'Locations Data'!$B:$B,KJ$5)&gt;0,1,0)</f>
        <v>1</v>
      </c>
      <c r="KK17" s="6">
        <f>IF(SUMIFS('Locations Data'!$C:$C,'Locations Data'!$G:$G,$B17,'Locations Data'!$B:$B,KK$5)&gt;0,1,0)</f>
        <v>1</v>
      </c>
      <c r="KL17" s="6">
        <f>IF(SUMIFS('Locations Data'!$C:$C,'Locations Data'!$G:$G,$B17,'Locations Data'!$B:$B,KL$5)&gt;0,1,0)</f>
        <v>1</v>
      </c>
      <c r="KM17" s="6">
        <f>IF(SUMIFS('Locations Data'!$C:$C,'Locations Data'!$G:$G,$B17,'Locations Data'!$B:$B,KM$5)&gt;0,1,0)</f>
        <v>1</v>
      </c>
      <c r="KN17" s="6">
        <f>IF(SUMIFS('Locations Data'!$C:$C,'Locations Data'!$G:$G,$B17,'Locations Data'!$B:$B,KN$5)&gt;0,1,0)</f>
        <v>0</v>
      </c>
      <c r="KO17" s="6">
        <f>IF(SUMIFS('Locations Data'!$C:$C,'Locations Data'!$G:$G,$B17,'Locations Data'!$B:$B,KO$5)&gt;0,1,0)</f>
        <v>0</v>
      </c>
      <c r="KP17" s="6">
        <f>IF(SUMIFS('Locations Data'!$C:$C,'Locations Data'!$G:$G,$B17,'Locations Data'!$B:$B,KP$5)&gt;0,1,0)</f>
        <v>1</v>
      </c>
      <c r="KQ17" s="6">
        <f>IF(SUMIFS('Locations Data'!$C:$C,'Locations Data'!$G:$G,$B17,'Locations Data'!$B:$B,KQ$5)&gt;0,1,0)</f>
        <v>1</v>
      </c>
      <c r="KR17" s="6">
        <f>IF(SUMIFS('Locations Data'!$C:$C,'Locations Data'!$G:$G,$B17,'Locations Data'!$B:$B,KR$5)&gt;0,1,0)</f>
        <v>1</v>
      </c>
      <c r="KS17" s="6">
        <f>IF(SUMIFS('Locations Data'!$C:$C,'Locations Data'!$G:$G,$B17,'Locations Data'!$B:$B,KS$5)&gt;0,1,0)</f>
        <v>1</v>
      </c>
      <c r="KT17" s="6">
        <f>IF(SUMIFS('Locations Data'!$C:$C,'Locations Data'!$G:$G,$B17,'Locations Data'!$B:$B,KT$5)&gt;0,1,0)</f>
        <v>1</v>
      </c>
      <c r="KU17" s="6">
        <f>IF(SUMIFS('Locations Data'!$C:$C,'Locations Data'!$G:$G,$B17,'Locations Data'!$B:$B,KU$5)&gt;0,1,0)</f>
        <v>0</v>
      </c>
      <c r="KV17" s="6">
        <f>IF(SUMIFS('Locations Data'!$C:$C,'Locations Data'!$G:$G,$B17,'Locations Data'!$B:$B,KV$5)&gt;0,1,0)</f>
        <v>0</v>
      </c>
      <c r="KW17" s="6">
        <f>IF(SUMIFS('Locations Data'!$C:$C,'Locations Data'!$G:$G,$B17,'Locations Data'!$B:$B,KW$5)&gt;0,1,0)</f>
        <v>1</v>
      </c>
      <c r="KX17" s="6">
        <f>IF(SUMIFS('Locations Data'!$C:$C,'Locations Data'!$G:$G,$B17,'Locations Data'!$B:$B,KX$5)&gt;0,1,0)</f>
        <v>1</v>
      </c>
      <c r="KY17" s="6">
        <f>IF(SUMIFS('Locations Data'!$C:$C,'Locations Data'!$G:$G,$B17,'Locations Data'!$B:$B,KY$5)&gt;0,1,0)</f>
        <v>1</v>
      </c>
      <c r="KZ17" s="6">
        <f>IF(SUMIFS('Locations Data'!$C:$C,'Locations Data'!$G:$G,$B17,'Locations Data'!$B:$B,KZ$5)&gt;0,1,0)</f>
        <v>1</v>
      </c>
      <c r="LA17" s="6">
        <f>IF(SUMIFS('Locations Data'!$C:$C,'Locations Data'!$G:$G,$B17,'Locations Data'!$B:$B,LA$5)&gt;0,1,0)</f>
        <v>1</v>
      </c>
      <c r="LB17" s="6">
        <f>IF(SUMIFS('Locations Data'!$C:$C,'Locations Data'!$G:$G,$B17,'Locations Data'!$B:$B,LB$5)&gt;0,1,0)</f>
        <v>0</v>
      </c>
      <c r="LC17" s="6">
        <f>IF(SUMIFS('Locations Data'!$C:$C,'Locations Data'!$G:$G,$B17,'Locations Data'!$B:$B,LC$5)&gt;0,1,0)</f>
        <v>0</v>
      </c>
      <c r="LD17" s="6">
        <f>IF(SUMIFS('Locations Data'!$C:$C,'Locations Data'!$G:$G,$B17,'Locations Data'!$B:$B,LD$5)&gt;0,1,0)</f>
        <v>1</v>
      </c>
      <c r="LE17" s="6">
        <f>IF(SUMIFS('Locations Data'!$C:$C,'Locations Data'!$G:$G,$B17,'Locations Data'!$B:$B,LE$5)&gt;0,1,0)</f>
        <v>1</v>
      </c>
      <c r="LF17" s="6">
        <f>IF(SUMIFS('Locations Data'!$C:$C,'Locations Data'!$G:$G,$B17,'Locations Data'!$B:$B,LF$5)&gt;0,1,0)</f>
        <v>1</v>
      </c>
      <c r="LG17" s="6">
        <f>IF(SUMIFS('Locations Data'!$C:$C,'Locations Data'!$G:$G,$B17,'Locations Data'!$B:$B,LG$5)&gt;0,1,0)</f>
        <v>1</v>
      </c>
      <c r="LH17" s="6">
        <f>IF(SUMIFS('Locations Data'!$C:$C,'Locations Data'!$G:$G,$B17,'Locations Data'!$B:$B,LH$5)&gt;0,1,0)</f>
        <v>1</v>
      </c>
      <c r="LI17" s="6">
        <f>IF(SUMIFS('Locations Data'!$C:$C,'Locations Data'!$G:$G,$B17,'Locations Data'!$B:$B,LI$5)&gt;0,1,0)</f>
        <v>0</v>
      </c>
      <c r="LJ17" s="6">
        <f>IF(SUMIFS('Locations Data'!$C:$C,'Locations Data'!$G:$G,$B17,'Locations Data'!$B:$B,LJ$5)&gt;0,1,0)</f>
        <v>0</v>
      </c>
      <c r="LK17" s="6">
        <f>IF(SUMIFS('Locations Data'!$C:$C,'Locations Data'!$G:$G,$B17,'Locations Data'!$B:$B,LK$5)&gt;0,1,0)</f>
        <v>1</v>
      </c>
      <c r="LL17" s="6">
        <f>IF(SUMIFS('Locations Data'!$C:$C,'Locations Data'!$G:$G,$B17,'Locations Data'!$B:$B,LL$5)&gt;0,1,0)</f>
        <v>1</v>
      </c>
      <c r="LM17" s="6">
        <f>IF(SUMIFS('Locations Data'!$C:$C,'Locations Data'!$G:$G,$B17,'Locations Data'!$B:$B,LM$5)&gt;0,1,0)</f>
        <v>1</v>
      </c>
      <c r="LN17" s="6">
        <f>IF(SUMIFS('Locations Data'!$C:$C,'Locations Data'!$G:$G,$B17,'Locations Data'!$B:$B,LN$5)&gt;0,1,0)</f>
        <v>1</v>
      </c>
      <c r="LO17" s="6">
        <f>IF(SUMIFS('Locations Data'!$C:$C,'Locations Data'!$G:$G,$B17,'Locations Data'!$B:$B,LO$5)&gt;0,1,0)</f>
        <v>1</v>
      </c>
      <c r="LP17" s="6">
        <f>IF(SUMIFS('Locations Data'!$C:$C,'Locations Data'!$G:$G,$B17,'Locations Data'!$B:$B,LP$5)&gt;0,1,0)</f>
        <v>0</v>
      </c>
      <c r="LQ17" s="6">
        <f>IF(SUMIFS('Locations Data'!$C:$C,'Locations Data'!$G:$G,$B17,'Locations Data'!$B:$B,LQ$5)&gt;0,1,0)</f>
        <v>0</v>
      </c>
      <c r="LR17" s="6">
        <f>IF(SUMIFS('Locations Data'!$C:$C,'Locations Data'!$G:$G,$B17,'Locations Data'!$B:$B,LR$5)&gt;0,1,0)</f>
        <v>1</v>
      </c>
      <c r="LS17" s="6">
        <f>IF(SUMIFS('Locations Data'!$C:$C,'Locations Data'!$G:$G,$B17,'Locations Data'!$B:$B,LS$5)&gt;0,1,0)</f>
        <v>1</v>
      </c>
      <c r="LT17" s="6">
        <f>IF(SUMIFS('Locations Data'!$C:$C,'Locations Data'!$G:$G,$B17,'Locations Data'!$B:$B,LT$5)&gt;0,1,0)</f>
        <v>1</v>
      </c>
      <c r="LU17" s="6">
        <f>IF(SUMIFS('Locations Data'!$C:$C,'Locations Data'!$G:$G,$B17,'Locations Data'!$B:$B,LU$5)&gt;0,1,0)</f>
        <v>1</v>
      </c>
      <c r="LV17" s="6">
        <f>IF(SUMIFS('Locations Data'!$C:$C,'Locations Data'!$G:$G,$B17,'Locations Data'!$B:$B,LV$5)&gt;0,1,0)</f>
        <v>1</v>
      </c>
      <c r="LW17" s="6">
        <f>IF(SUMIFS('Locations Data'!$C:$C,'Locations Data'!$G:$G,$B17,'Locations Data'!$B:$B,LW$5)&gt;0,1,0)</f>
        <v>0</v>
      </c>
      <c r="LX17" s="6">
        <f>IF(SUMIFS('Locations Data'!$C:$C,'Locations Data'!$G:$G,$B17,'Locations Data'!$B:$B,LX$5)&gt;0,1,0)</f>
        <v>0</v>
      </c>
      <c r="LY17" s="6">
        <f>IF(SUMIFS('Locations Data'!$C:$C,'Locations Data'!$G:$G,$B17,'Locations Data'!$B:$B,LY$5)&gt;0,1,0)</f>
        <v>1</v>
      </c>
      <c r="LZ17" s="6">
        <f>IF(SUMIFS('Locations Data'!$C:$C,'Locations Data'!$G:$G,$B17,'Locations Data'!$B:$B,LZ$5)&gt;0,1,0)</f>
        <v>1</v>
      </c>
      <c r="MA17" s="6">
        <f>IF(SUMIFS('Locations Data'!$C:$C,'Locations Data'!$G:$G,$B17,'Locations Data'!$B:$B,MA$5)&gt;0,1,0)</f>
        <v>1</v>
      </c>
      <c r="MB17" s="6">
        <f>IF(SUMIFS('Locations Data'!$C:$C,'Locations Data'!$G:$G,$B17,'Locations Data'!$B:$B,MB$5)&gt;0,1,0)</f>
        <v>1</v>
      </c>
      <c r="MC17" s="6">
        <f>IF(SUMIFS('Locations Data'!$C:$C,'Locations Data'!$G:$G,$B17,'Locations Data'!$B:$B,MC$5)&gt;0,1,0)</f>
        <v>1</v>
      </c>
      <c r="MD17" s="6">
        <f>IF(SUMIFS('Locations Data'!$C:$C,'Locations Data'!$G:$G,$B17,'Locations Data'!$B:$B,MD$5)&gt;0,1,0)</f>
        <v>0</v>
      </c>
      <c r="ME17" s="6">
        <f>IF(SUMIFS('Locations Data'!$C:$C,'Locations Data'!$G:$G,$B17,'Locations Data'!$B:$B,ME$5)&gt;0,1,0)</f>
        <v>0</v>
      </c>
      <c r="MF17" s="6">
        <f>IF(SUMIFS('Locations Data'!$C:$C,'Locations Data'!$G:$G,$B17,'Locations Data'!$B:$B,MF$5)&gt;0,1,0)</f>
        <v>1</v>
      </c>
      <c r="MG17" s="6">
        <f>IF(SUMIFS('Locations Data'!$C:$C,'Locations Data'!$G:$G,$B17,'Locations Data'!$B:$B,MG$5)&gt;0,1,0)</f>
        <v>1</v>
      </c>
      <c r="MH17" s="6">
        <f>IF(SUMIFS('Locations Data'!$C:$C,'Locations Data'!$G:$G,$B17,'Locations Data'!$B:$B,MH$5)&gt;0,1,0)</f>
        <v>1</v>
      </c>
      <c r="MI17" s="6">
        <f>IF(SUMIFS('Locations Data'!$C:$C,'Locations Data'!$G:$G,$B17,'Locations Data'!$B:$B,MI$5)&gt;0,1,0)</f>
        <v>1</v>
      </c>
      <c r="MJ17" s="6">
        <f>IF(SUMIFS('Locations Data'!$C:$C,'Locations Data'!$G:$G,$B17,'Locations Data'!$B:$B,MJ$5)&gt;0,1,0)</f>
        <v>1</v>
      </c>
      <c r="MK17" s="6">
        <f>IF(SUMIFS('Locations Data'!$C:$C,'Locations Data'!$G:$G,$B17,'Locations Data'!$B:$B,MK$5)&gt;0,1,0)</f>
        <v>0</v>
      </c>
      <c r="ML17" s="6">
        <f>IF(SUMIFS('Locations Data'!$C:$C,'Locations Data'!$G:$G,$B17,'Locations Data'!$B:$B,ML$5)&gt;0,1,0)</f>
        <v>0</v>
      </c>
      <c r="MM17" s="6">
        <f>IF(SUMIFS('Locations Data'!$C:$C,'Locations Data'!$G:$G,$B17,'Locations Data'!$B:$B,MM$5)&gt;0,1,0)</f>
        <v>1</v>
      </c>
      <c r="MN17" s="6">
        <f>IF(SUMIFS('Locations Data'!$C:$C,'Locations Data'!$G:$G,$B17,'Locations Data'!$B:$B,MN$5)&gt;0,1,0)</f>
        <v>1</v>
      </c>
      <c r="MO17" s="6">
        <f>IF(SUMIFS('Locations Data'!$C:$C,'Locations Data'!$G:$G,$B17,'Locations Data'!$B:$B,MO$5)&gt;0,1,0)</f>
        <v>1</v>
      </c>
      <c r="MP17" s="6">
        <f>IF(SUMIFS('Locations Data'!$C:$C,'Locations Data'!$G:$G,$B17,'Locations Data'!$B:$B,MP$5)&gt;0,1,0)</f>
        <v>1</v>
      </c>
      <c r="MQ17" s="6">
        <f>IF(SUMIFS('Locations Data'!$C:$C,'Locations Data'!$G:$G,$B17,'Locations Data'!$B:$B,MQ$5)&gt;0,1,0)</f>
        <v>1</v>
      </c>
      <c r="MR17" s="6">
        <f>IF(SUMIFS('Locations Data'!$C:$C,'Locations Data'!$G:$G,$B17,'Locations Data'!$B:$B,MR$5)&gt;0,1,0)</f>
        <v>0</v>
      </c>
      <c r="MS17" s="6">
        <f>IF(SUMIFS('Locations Data'!$C:$C,'Locations Data'!$G:$G,$B17,'Locations Data'!$B:$B,MS$5)&gt;0,1,0)</f>
        <v>0</v>
      </c>
      <c r="MT17" s="6">
        <f>IF(SUMIFS('Locations Data'!$C:$C,'Locations Data'!$G:$G,$B17,'Locations Data'!$B:$B,MT$5)&gt;0,1,0)</f>
        <v>1</v>
      </c>
      <c r="MU17" s="6">
        <f>IF(SUMIFS('Locations Data'!$C:$C,'Locations Data'!$G:$G,$B17,'Locations Data'!$B:$B,MU$5)&gt;0,1,0)</f>
        <v>1</v>
      </c>
      <c r="MV17" s="6">
        <f>IF(SUMIFS('Locations Data'!$C:$C,'Locations Data'!$G:$G,$B17,'Locations Data'!$B:$B,MV$5)&gt;0,1,0)</f>
        <v>1</v>
      </c>
      <c r="MW17" s="26">
        <v>0</v>
      </c>
      <c r="MX17" s="6">
        <f>IF(SUMIFS('Locations Data'!$C:$C,'Locations Data'!$G:$G,$B17,'Locations Data'!$B:$B,MX$5)&gt;0,1,0)</f>
        <v>1</v>
      </c>
      <c r="MY17" s="6">
        <f>IF(SUMIFS('Locations Data'!$C:$C,'Locations Data'!$G:$G,$B17,'Locations Data'!$B:$B,MY$5)&gt;0,1,0)</f>
        <v>0</v>
      </c>
      <c r="MZ17" s="6">
        <f>IF(SUMIFS('Locations Data'!$C:$C,'Locations Data'!$G:$G,$B17,'Locations Data'!$B:$B,MZ$5)&gt;0,1,0)</f>
        <v>0</v>
      </c>
      <c r="NA17" s="6">
        <f>IF(SUMIFS('Locations Data'!$C:$C,'Locations Data'!$G:$G,$B17,'Locations Data'!$B:$B,NA$5)&gt;0,1,0)</f>
        <v>1</v>
      </c>
      <c r="NB17" s="6">
        <f>IF(SUMIFS('Locations Data'!$C:$C,'Locations Data'!$G:$G,$B17,'Locations Data'!$B:$B,NB$5)&gt;0,1,0)</f>
        <v>1</v>
      </c>
      <c r="NC17" s="6">
        <f>IF(SUMIFS('Locations Data'!$C:$C,'Locations Data'!$G:$G,$B17,'Locations Data'!$B:$B,NC$5)&gt;0,1,0)</f>
        <v>1</v>
      </c>
    </row>
    <row r="18" spans="2:367">
      <c r="B18" s="20" t="s">
        <v>312</v>
      </c>
      <c r="C18" s="6">
        <v>0</v>
      </c>
      <c r="D18" s="6">
        <f>IF(SUMIFS('Locations Data'!$C:$C,'Locations Data'!$G:$G,$B18,'Locations Data'!$B:$B,D$5)&gt;0,1,0)</f>
        <v>1</v>
      </c>
      <c r="E18" s="6">
        <f>IF(SUMIFS('Locations Data'!$C:$C,'Locations Data'!$G:$G,$B18,'Locations Data'!$B:$B,E$5)&gt;0,1,0)</f>
        <v>1</v>
      </c>
      <c r="F18" s="6">
        <f>IF(SUMIFS('Locations Data'!$C:$C,'Locations Data'!$G:$G,$B18,'Locations Data'!$B:$B,F$5)&gt;0,1,0)</f>
        <v>0</v>
      </c>
      <c r="G18" s="6">
        <f>IF(SUMIFS('Locations Data'!$C:$C,'Locations Data'!$G:$G,$B18,'Locations Data'!$B:$B,G$5)&gt;0,1,0)</f>
        <v>0</v>
      </c>
      <c r="H18" s="6">
        <f>IF(SUMIFS('Locations Data'!$C:$C,'Locations Data'!$G:$G,$B18,'Locations Data'!$B:$B,H$5)&gt;0,1,0)</f>
        <v>1</v>
      </c>
      <c r="I18" s="6">
        <f>IF(SUMIFS('Locations Data'!$C:$C,'Locations Data'!$G:$G,$B18,'Locations Data'!$B:$B,I$5)&gt;0,1,0)</f>
        <v>1</v>
      </c>
      <c r="J18" s="6">
        <f>IF(SUMIFS('Locations Data'!$C:$C,'Locations Data'!$G:$G,$B18,'Locations Data'!$B:$B,J$5)&gt;0,1,0)</f>
        <v>1</v>
      </c>
      <c r="K18" s="6">
        <f>IF(SUMIFS('Locations Data'!$C:$C,'Locations Data'!$G:$G,$B18,'Locations Data'!$B:$B,K$5)&gt;0,1,0)</f>
        <v>1</v>
      </c>
      <c r="L18" s="6">
        <f>IF(SUMIFS('Locations Data'!$C:$C,'Locations Data'!$G:$G,$B18,'Locations Data'!$B:$B,L$5)&gt;0,1,0)</f>
        <v>1</v>
      </c>
      <c r="M18" s="6">
        <f>IF(SUMIFS('Locations Data'!$C:$C,'Locations Data'!$G:$G,$B18,'Locations Data'!$B:$B,M$5)&gt;0,1,0)</f>
        <v>0</v>
      </c>
      <c r="N18" s="6">
        <f>IF(SUMIFS('Locations Data'!$C:$C,'Locations Data'!$G:$G,$B18,'Locations Data'!$B:$B,N$5)&gt;0,1,0)</f>
        <v>0</v>
      </c>
      <c r="O18" s="6">
        <f>IF(SUMIFS('Locations Data'!$C:$C,'Locations Data'!$G:$G,$B18,'Locations Data'!$B:$B,O$5)&gt;0,1,0)</f>
        <v>1</v>
      </c>
      <c r="P18" s="6">
        <f>IF(SUMIFS('Locations Data'!$C:$C,'Locations Data'!$G:$G,$B18,'Locations Data'!$B:$B,P$5)&gt;0,1,0)</f>
        <v>1</v>
      </c>
      <c r="Q18" s="6">
        <f>IF(SUMIFS('Locations Data'!$C:$C,'Locations Data'!$G:$G,$B18,'Locations Data'!$B:$B,Q$5)&gt;0,1,0)</f>
        <v>1</v>
      </c>
      <c r="R18" s="6">
        <f>IF(SUMIFS('Locations Data'!$C:$C,'Locations Data'!$G:$G,$B18,'Locations Data'!$B:$B,R$5)&gt;0,1,0)</f>
        <v>1</v>
      </c>
      <c r="S18" s="6">
        <f>IF(SUMIFS('Locations Data'!$C:$C,'Locations Data'!$G:$G,$B18,'Locations Data'!$B:$B,S$5)&gt;0,1,0)</f>
        <v>1</v>
      </c>
      <c r="T18" s="6">
        <f>IF(SUMIFS('Locations Data'!$C:$C,'Locations Data'!$G:$G,$B18,'Locations Data'!$B:$B,T$5)&gt;0,1,0)</f>
        <v>0</v>
      </c>
      <c r="U18" s="6">
        <f>IF(SUMIFS('Locations Data'!$C:$C,'Locations Data'!$G:$G,$B18,'Locations Data'!$B:$B,U$5)&gt;0,1,0)</f>
        <v>0</v>
      </c>
      <c r="V18" s="6">
        <f>IF(SUMIFS('Locations Data'!$C:$C,'Locations Data'!$G:$G,$B18,'Locations Data'!$B:$B,V$5)&gt;0,1,0)</f>
        <v>1</v>
      </c>
      <c r="W18" s="6">
        <f>IF(SUMIFS('Locations Data'!$C:$C,'Locations Data'!$G:$G,$B18,'Locations Data'!$B:$B,W$5)&gt;0,1,0)</f>
        <v>1</v>
      </c>
      <c r="X18" s="6">
        <f>IF(SUMIFS('Locations Data'!$C:$C,'Locations Data'!$G:$G,$B18,'Locations Data'!$B:$B,X$5)&gt;0,1,0)</f>
        <v>1</v>
      </c>
      <c r="Y18" s="6">
        <f>IF(SUMIFS('Locations Data'!$C:$C,'Locations Data'!$G:$G,$B18,'Locations Data'!$B:$B,Y$5)&gt;0,1,0)</f>
        <v>1</v>
      </c>
      <c r="Z18" s="6">
        <f>IF(SUMIFS('Locations Data'!$C:$C,'Locations Data'!$G:$G,$B18,'Locations Data'!$B:$B,Z$5)&gt;0,1,0)</f>
        <v>1</v>
      </c>
      <c r="AA18" s="6">
        <f>IF(SUMIFS('Locations Data'!$C:$C,'Locations Data'!$G:$G,$B18,'Locations Data'!$B:$B,AA$5)&gt;0,1,0)</f>
        <v>0</v>
      </c>
      <c r="AB18" s="6">
        <f>IF(SUMIFS('Locations Data'!$C:$C,'Locations Data'!$G:$G,$B18,'Locations Data'!$B:$B,AB$5)&gt;0,1,0)</f>
        <v>0</v>
      </c>
      <c r="AC18" s="6">
        <f>IF(SUMIFS('Locations Data'!$C:$C,'Locations Data'!$G:$G,$B18,'Locations Data'!$B:$B,AC$5)&gt;0,1,0)</f>
        <v>1</v>
      </c>
      <c r="AD18" s="6">
        <f>IF(SUMIFS('Locations Data'!$C:$C,'Locations Data'!$G:$G,$B18,'Locations Data'!$B:$B,AD$5)&gt;0,1,0)</f>
        <v>1</v>
      </c>
      <c r="AE18" s="6">
        <f>IF(SUMIFS('Locations Data'!$C:$C,'Locations Data'!$G:$G,$B18,'Locations Data'!$B:$B,AE$5)&gt;0,1,0)</f>
        <v>1</v>
      </c>
      <c r="AF18" s="6">
        <f>IF(SUMIFS('Locations Data'!$C:$C,'Locations Data'!$G:$G,$B18,'Locations Data'!$B:$B,AF$5)&gt;0,1,0)</f>
        <v>1</v>
      </c>
      <c r="AG18" s="6">
        <f>IF(SUMIFS('Locations Data'!$C:$C,'Locations Data'!$G:$G,$B18,'Locations Data'!$B:$B,AG$5)&gt;0,1,0)</f>
        <v>1</v>
      </c>
      <c r="AH18" s="6">
        <f>IF(SUMIFS('Locations Data'!$C:$C,'Locations Data'!$G:$G,$B18,'Locations Data'!$B:$B,AH$5)&gt;0,1,0)</f>
        <v>0</v>
      </c>
      <c r="AI18" s="6">
        <f>IF(SUMIFS('Locations Data'!$C:$C,'Locations Data'!$G:$G,$B18,'Locations Data'!$B:$B,AI$5)&gt;0,1,0)</f>
        <v>0</v>
      </c>
      <c r="AJ18" s="6">
        <f>IF(SUMIFS('Locations Data'!$C:$C,'Locations Data'!$G:$G,$B18,'Locations Data'!$B:$B,AJ$5)&gt;0,1,0)</f>
        <v>1</v>
      </c>
      <c r="AK18" s="6">
        <f>IF(SUMIFS('Locations Data'!$C:$C,'Locations Data'!$G:$G,$B18,'Locations Data'!$B:$B,AK$5)&gt;0,1,0)</f>
        <v>1</v>
      </c>
      <c r="AL18" s="6">
        <f>IF(SUMIFS('Locations Data'!$C:$C,'Locations Data'!$G:$G,$B18,'Locations Data'!$B:$B,AL$5)&gt;0,1,0)</f>
        <v>1</v>
      </c>
      <c r="AM18" s="6">
        <f>IF(SUMIFS('Locations Data'!$C:$C,'Locations Data'!$G:$G,$B18,'Locations Data'!$B:$B,AM$5)&gt;0,1,0)</f>
        <v>1</v>
      </c>
      <c r="AN18" s="6">
        <f>IF(SUMIFS('Locations Data'!$C:$C,'Locations Data'!$G:$G,$B18,'Locations Data'!$B:$B,AN$5)&gt;0,1,0)</f>
        <v>1</v>
      </c>
      <c r="AO18" s="6">
        <f>IF(SUMIFS('Locations Data'!$C:$C,'Locations Data'!$G:$G,$B18,'Locations Data'!$B:$B,AO$5)&gt;0,1,0)</f>
        <v>0</v>
      </c>
      <c r="AP18" s="6">
        <f>IF(SUMIFS('Locations Data'!$C:$C,'Locations Data'!$G:$G,$B18,'Locations Data'!$B:$B,AP$5)&gt;0,1,0)</f>
        <v>0</v>
      </c>
      <c r="AQ18" s="6">
        <f>IF(SUMIFS('Locations Data'!$C:$C,'Locations Data'!$G:$G,$B18,'Locations Data'!$B:$B,AQ$5)&gt;0,1,0)</f>
        <v>1</v>
      </c>
      <c r="AR18" s="6">
        <f>IF(SUMIFS('Locations Data'!$C:$C,'Locations Data'!$G:$G,$B18,'Locations Data'!$B:$B,AR$5)&gt;0,1,0)</f>
        <v>1</v>
      </c>
      <c r="AS18" s="6">
        <f>IF(SUMIFS('Locations Data'!$C:$C,'Locations Data'!$G:$G,$B18,'Locations Data'!$B:$B,AS$5)&gt;0,1,0)</f>
        <v>1</v>
      </c>
      <c r="AT18" s="6">
        <f>IF(SUMIFS('Locations Data'!$C:$C,'Locations Data'!$G:$G,$B18,'Locations Data'!$B:$B,AT$5)&gt;0,1,0)</f>
        <v>1</v>
      </c>
      <c r="AU18" s="6">
        <f>IF(SUMIFS('Locations Data'!$C:$C,'Locations Data'!$G:$G,$B18,'Locations Data'!$B:$B,AU$5)&gt;0,1,0)</f>
        <v>1</v>
      </c>
      <c r="AV18" s="6">
        <f>IF(SUMIFS('Locations Data'!$C:$C,'Locations Data'!$G:$G,$B18,'Locations Data'!$B:$B,AV$5)&gt;0,1,0)</f>
        <v>0</v>
      </c>
      <c r="AW18" s="6">
        <f>IF(SUMIFS('Locations Data'!$C:$C,'Locations Data'!$G:$G,$B18,'Locations Data'!$B:$B,AW$5)&gt;0,1,0)</f>
        <v>0</v>
      </c>
      <c r="AX18" s="6">
        <f>IF(SUMIFS('Locations Data'!$C:$C,'Locations Data'!$G:$G,$B18,'Locations Data'!$B:$B,AX$5)&gt;0,1,0)</f>
        <v>1</v>
      </c>
      <c r="AY18" s="6">
        <f>IF(SUMIFS('Locations Data'!$C:$C,'Locations Data'!$G:$G,$B18,'Locations Data'!$B:$B,AY$5)&gt;0,1,0)</f>
        <v>1</v>
      </c>
      <c r="AZ18" s="6">
        <f>IF(SUMIFS('Locations Data'!$C:$C,'Locations Data'!$G:$G,$B18,'Locations Data'!$B:$B,AZ$5)&gt;0,1,0)</f>
        <v>1</v>
      </c>
      <c r="BA18" s="6">
        <f>IF(SUMIFS('Locations Data'!$C:$C,'Locations Data'!$G:$G,$B18,'Locations Data'!$B:$B,BA$5)&gt;0,1,0)</f>
        <v>1</v>
      </c>
      <c r="BB18" s="6">
        <f>IF(SUMIFS('Locations Data'!$C:$C,'Locations Data'!$G:$G,$B18,'Locations Data'!$B:$B,BB$5)&gt;0,1,0)</f>
        <v>1</v>
      </c>
      <c r="BC18" s="6">
        <f>IF(SUMIFS('Locations Data'!$C:$C,'Locations Data'!$G:$G,$B18,'Locations Data'!$B:$B,BC$5)&gt;0,1,0)</f>
        <v>0</v>
      </c>
      <c r="BD18" s="6">
        <f>IF(SUMIFS('Locations Data'!$C:$C,'Locations Data'!$G:$G,$B18,'Locations Data'!$B:$B,BD$5)&gt;0,1,0)</f>
        <v>0</v>
      </c>
      <c r="BE18" s="6">
        <f>IF(SUMIFS('Locations Data'!$C:$C,'Locations Data'!$G:$G,$B18,'Locations Data'!$B:$B,BE$5)&gt;0,1,0)</f>
        <v>1</v>
      </c>
      <c r="BF18" s="6">
        <f>IF(SUMIFS('Locations Data'!$C:$C,'Locations Data'!$G:$G,$B18,'Locations Data'!$B:$B,BF$5)&gt;0,1,0)</f>
        <v>1</v>
      </c>
      <c r="BG18" s="6">
        <f>IF(SUMIFS('Locations Data'!$C:$C,'Locations Data'!$G:$G,$B18,'Locations Data'!$B:$B,BG$5)&gt;0,1,0)</f>
        <v>1</v>
      </c>
      <c r="BH18" s="6">
        <f>IF(SUMIFS('Locations Data'!$C:$C,'Locations Data'!$G:$G,$B18,'Locations Data'!$B:$B,BH$5)&gt;0,1,0)</f>
        <v>1</v>
      </c>
      <c r="BI18" s="6">
        <f>IF(SUMIFS('Locations Data'!$C:$C,'Locations Data'!$G:$G,$B18,'Locations Data'!$B:$B,BI$5)&gt;0,1,0)</f>
        <v>1</v>
      </c>
      <c r="BJ18" s="6">
        <f>IF(SUMIFS('Locations Data'!$C:$C,'Locations Data'!$G:$G,$B18,'Locations Data'!$B:$B,BJ$5)&gt;0,1,0)</f>
        <v>0</v>
      </c>
      <c r="BK18" s="6">
        <f>IF(SUMIFS('Locations Data'!$C:$C,'Locations Data'!$G:$G,$B18,'Locations Data'!$B:$B,BK$5)&gt;0,1,0)</f>
        <v>0</v>
      </c>
      <c r="BL18" s="6">
        <f>IF(SUMIFS('Locations Data'!$C:$C,'Locations Data'!$G:$G,$B18,'Locations Data'!$B:$B,BL$5)&gt;0,1,0)</f>
        <v>1</v>
      </c>
      <c r="BM18" s="6">
        <f>IF(SUMIFS('Locations Data'!$C:$C,'Locations Data'!$G:$G,$B18,'Locations Data'!$B:$B,BM$5)&gt;0,1,0)</f>
        <v>1</v>
      </c>
      <c r="BN18" s="6">
        <f>IF(SUMIFS('Locations Data'!$C:$C,'Locations Data'!$G:$G,$B18,'Locations Data'!$B:$B,BN$5)&gt;0,1,0)</f>
        <v>1</v>
      </c>
      <c r="BO18" s="6">
        <f>IF(SUMIFS('Locations Data'!$C:$C,'Locations Data'!$G:$G,$B18,'Locations Data'!$B:$B,BO$5)&gt;0,1,0)</f>
        <v>1</v>
      </c>
      <c r="BP18" s="6">
        <f>IF(SUMIFS('Locations Data'!$C:$C,'Locations Data'!$G:$G,$B18,'Locations Data'!$B:$B,BP$5)&gt;0,1,0)</f>
        <v>1</v>
      </c>
      <c r="BQ18" s="6">
        <f>IF(SUMIFS('Locations Data'!$C:$C,'Locations Data'!$G:$G,$B18,'Locations Data'!$B:$B,BQ$5)&gt;0,1,0)</f>
        <v>0</v>
      </c>
      <c r="BR18" s="6">
        <f>IF(SUMIFS('Locations Data'!$C:$C,'Locations Data'!$G:$G,$B18,'Locations Data'!$B:$B,BR$5)&gt;0,1,0)</f>
        <v>0</v>
      </c>
      <c r="BS18" s="6">
        <f>IF(SUMIFS('Locations Data'!$C:$C,'Locations Data'!$G:$G,$B18,'Locations Data'!$B:$B,BS$5)&gt;0,1,0)</f>
        <v>1</v>
      </c>
      <c r="BT18" s="6">
        <f>IF(SUMIFS('Locations Data'!$C:$C,'Locations Data'!$G:$G,$B18,'Locations Data'!$B:$B,BT$5)&gt;0,1,0)</f>
        <v>1</v>
      </c>
      <c r="BU18" s="6">
        <f>IF(SUMIFS('Locations Data'!$C:$C,'Locations Data'!$G:$G,$B18,'Locations Data'!$B:$B,BU$5)&gt;0,1,0)</f>
        <v>1</v>
      </c>
      <c r="BV18" s="6">
        <f>IF(SUMIFS('Locations Data'!$C:$C,'Locations Data'!$G:$G,$B18,'Locations Data'!$B:$B,BV$5)&gt;0,1,0)</f>
        <v>1</v>
      </c>
      <c r="BW18" s="6">
        <f>IF(SUMIFS('Locations Data'!$C:$C,'Locations Data'!$G:$G,$B18,'Locations Data'!$B:$B,BW$5)&gt;0,1,0)</f>
        <v>1</v>
      </c>
      <c r="BX18" s="6">
        <f>IF(SUMIFS('Locations Data'!$C:$C,'Locations Data'!$G:$G,$B18,'Locations Data'!$B:$B,BX$5)&gt;0,1,0)</f>
        <v>0</v>
      </c>
      <c r="BY18" s="6">
        <f>IF(SUMIFS('Locations Data'!$C:$C,'Locations Data'!$G:$G,$B18,'Locations Data'!$B:$B,BY$5)&gt;0,1,0)</f>
        <v>0</v>
      </c>
      <c r="BZ18" s="6">
        <f>IF(SUMIFS('Locations Data'!$C:$C,'Locations Data'!$G:$G,$B18,'Locations Data'!$B:$B,BZ$5)&gt;0,1,0)</f>
        <v>1</v>
      </c>
      <c r="CA18" s="6">
        <f>IF(SUMIFS('Locations Data'!$C:$C,'Locations Data'!$G:$G,$B18,'Locations Data'!$B:$B,CA$5)&gt;0,1,0)</f>
        <v>1</v>
      </c>
      <c r="CB18" s="6">
        <f>IF(SUMIFS('Locations Data'!$C:$C,'Locations Data'!$G:$G,$B18,'Locations Data'!$B:$B,CB$5)&gt;0,1,0)</f>
        <v>1</v>
      </c>
      <c r="CC18" s="6">
        <f>IF(SUMIFS('Locations Data'!$C:$C,'Locations Data'!$G:$G,$B18,'Locations Data'!$B:$B,CC$5)&gt;0,1,0)</f>
        <v>1</v>
      </c>
      <c r="CD18" s="6">
        <f>IF(SUMIFS('Locations Data'!$C:$C,'Locations Data'!$G:$G,$B18,'Locations Data'!$B:$B,CD$5)&gt;0,1,0)</f>
        <v>1</v>
      </c>
      <c r="CE18" s="6">
        <f>IF(SUMIFS('Locations Data'!$C:$C,'Locations Data'!$G:$G,$B18,'Locations Data'!$B:$B,CE$5)&gt;0,1,0)</f>
        <v>0</v>
      </c>
      <c r="CF18" s="6">
        <f>IF(SUMIFS('Locations Data'!$C:$C,'Locations Data'!$G:$G,$B18,'Locations Data'!$B:$B,CF$5)&gt;0,1,0)</f>
        <v>0</v>
      </c>
      <c r="CG18" s="6">
        <f>IF(SUMIFS('Locations Data'!$C:$C,'Locations Data'!$G:$G,$B18,'Locations Data'!$B:$B,CG$5)&gt;0,1,0)</f>
        <v>1</v>
      </c>
      <c r="CH18" s="6">
        <f>IF(SUMIFS('Locations Data'!$C:$C,'Locations Data'!$G:$G,$B18,'Locations Data'!$B:$B,CH$5)&gt;0,1,0)</f>
        <v>1</v>
      </c>
      <c r="CI18" s="6">
        <f>IF(SUMIFS('Locations Data'!$C:$C,'Locations Data'!$G:$G,$B18,'Locations Data'!$B:$B,CI$5)&gt;0,1,0)</f>
        <v>1</v>
      </c>
      <c r="CJ18" s="6">
        <f>IF(SUMIFS('Locations Data'!$C:$C,'Locations Data'!$G:$G,$B18,'Locations Data'!$B:$B,CJ$5)&gt;0,1,0)</f>
        <v>1</v>
      </c>
      <c r="CK18" s="6">
        <f>IF(SUMIFS('Locations Data'!$C:$C,'Locations Data'!$G:$G,$B18,'Locations Data'!$B:$B,CK$5)&gt;0,1,0)</f>
        <v>1</v>
      </c>
      <c r="CL18" s="6">
        <f>IF(SUMIFS('Locations Data'!$C:$C,'Locations Data'!$G:$G,$B18,'Locations Data'!$B:$B,CL$5)&gt;0,1,0)</f>
        <v>0</v>
      </c>
      <c r="CM18" s="6">
        <f>IF(SUMIFS('Locations Data'!$C:$C,'Locations Data'!$G:$G,$B18,'Locations Data'!$B:$B,CM$5)&gt;0,1,0)</f>
        <v>0</v>
      </c>
      <c r="CN18" s="6">
        <f>IF(SUMIFS('Locations Data'!$C:$C,'Locations Data'!$G:$G,$B18,'Locations Data'!$B:$B,CN$5)&gt;0,1,0)</f>
        <v>1</v>
      </c>
      <c r="CO18" s="6">
        <f>IF(SUMIFS('Locations Data'!$C:$C,'Locations Data'!$G:$G,$B18,'Locations Data'!$B:$B,CO$5)&gt;0,1,0)</f>
        <v>1</v>
      </c>
      <c r="CP18" s="6">
        <f>IF(SUMIFS('Locations Data'!$C:$C,'Locations Data'!$G:$G,$B18,'Locations Data'!$B:$B,CP$5)&gt;0,1,0)</f>
        <v>1</v>
      </c>
      <c r="CQ18" s="6">
        <f>IF(SUMIFS('Locations Data'!$C:$C,'Locations Data'!$G:$G,$B18,'Locations Data'!$B:$B,CQ$5)&gt;0,1,0)</f>
        <v>1</v>
      </c>
      <c r="CR18" s="6">
        <f>IF(SUMIFS('Locations Data'!$C:$C,'Locations Data'!$G:$G,$B18,'Locations Data'!$B:$B,CR$5)&gt;0,1,0)</f>
        <v>1</v>
      </c>
      <c r="CS18" s="6">
        <f>IF(SUMIFS('Locations Data'!$C:$C,'Locations Data'!$G:$G,$B18,'Locations Data'!$B:$B,CS$5)&gt;0,1,0)</f>
        <v>0</v>
      </c>
      <c r="CT18" s="6">
        <f>IF(SUMIFS('Locations Data'!$C:$C,'Locations Data'!$G:$G,$B18,'Locations Data'!$B:$B,CT$5)&gt;0,1,0)</f>
        <v>0</v>
      </c>
      <c r="CU18" s="6">
        <f>IF(SUMIFS('Locations Data'!$C:$C,'Locations Data'!$G:$G,$B18,'Locations Data'!$B:$B,CU$5)&gt;0,1,0)</f>
        <v>1</v>
      </c>
      <c r="CV18" s="6">
        <f>IF(SUMIFS('Locations Data'!$C:$C,'Locations Data'!$G:$G,$B18,'Locations Data'!$B:$B,CV$5)&gt;0,1,0)</f>
        <v>1</v>
      </c>
      <c r="CW18" s="6">
        <f>IF(SUMIFS('Locations Data'!$C:$C,'Locations Data'!$G:$G,$B18,'Locations Data'!$B:$B,CW$5)&gt;0,1,0)</f>
        <v>1</v>
      </c>
      <c r="CX18" s="6">
        <f>IF(SUMIFS('Locations Data'!$C:$C,'Locations Data'!$G:$G,$B18,'Locations Data'!$B:$B,CX$5)&gt;0,1,0)</f>
        <v>1</v>
      </c>
      <c r="CY18" s="6">
        <f>IF(SUMIFS('Locations Data'!$C:$C,'Locations Data'!$G:$G,$B18,'Locations Data'!$B:$B,CY$5)&gt;0,1,0)</f>
        <v>1</v>
      </c>
      <c r="CZ18" s="6">
        <f>IF(SUMIFS('Locations Data'!$C:$C,'Locations Data'!$G:$G,$B18,'Locations Data'!$B:$B,CZ$5)&gt;0,1,0)</f>
        <v>0</v>
      </c>
      <c r="DA18" s="6">
        <f>IF(SUMIFS('Locations Data'!$C:$C,'Locations Data'!$G:$G,$B18,'Locations Data'!$B:$B,DA$5)&gt;0,1,0)</f>
        <v>0</v>
      </c>
      <c r="DB18" s="6">
        <f>IF(SUMIFS('Locations Data'!$C:$C,'Locations Data'!$G:$G,$B18,'Locations Data'!$B:$B,DB$5)&gt;0,1,0)</f>
        <v>1</v>
      </c>
      <c r="DC18" s="6">
        <f>IF(SUMIFS('Locations Data'!$C:$C,'Locations Data'!$G:$G,$B18,'Locations Data'!$B:$B,DC$5)&gt;0,1,0)</f>
        <v>1</v>
      </c>
      <c r="DD18" s="6">
        <f>IF(SUMIFS('Locations Data'!$C:$C,'Locations Data'!$G:$G,$B18,'Locations Data'!$B:$B,DD$5)&gt;0,1,0)</f>
        <v>1</v>
      </c>
      <c r="DE18" s="6">
        <f>IF(SUMIFS('Locations Data'!$C:$C,'Locations Data'!$G:$G,$B18,'Locations Data'!$B:$B,DE$5)&gt;0,1,0)</f>
        <v>1</v>
      </c>
      <c r="DF18" s="6">
        <f>IF(SUMIFS('Locations Data'!$C:$C,'Locations Data'!$G:$G,$B18,'Locations Data'!$B:$B,DF$5)&gt;0,1,0)</f>
        <v>1</v>
      </c>
      <c r="DG18" s="6">
        <f>IF(SUMIFS('Locations Data'!$C:$C,'Locations Data'!$G:$G,$B18,'Locations Data'!$B:$B,DG$5)&gt;0,1,0)</f>
        <v>0</v>
      </c>
      <c r="DH18" s="6">
        <f>IF(SUMIFS('Locations Data'!$C:$C,'Locations Data'!$G:$G,$B18,'Locations Data'!$B:$B,DH$5)&gt;0,1,0)</f>
        <v>0</v>
      </c>
      <c r="DI18" s="6">
        <f>IF(SUMIFS('Locations Data'!$C:$C,'Locations Data'!$G:$G,$B18,'Locations Data'!$B:$B,DI$5)&gt;0,1,0)</f>
        <v>1</v>
      </c>
      <c r="DJ18" s="6">
        <f>IF(SUMIFS('Locations Data'!$C:$C,'Locations Data'!$G:$G,$B18,'Locations Data'!$B:$B,DJ$5)&gt;0,1,0)</f>
        <v>1</v>
      </c>
      <c r="DK18" s="6">
        <f>IF(SUMIFS('Locations Data'!$C:$C,'Locations Data'!$G:$G,$B18,'Locations Data'!$B:$B,DK$5)&gt;0,1,0)</f>
        <v>1</v>
      </c>
      <c r="DL18" s="6">
        <f>IF(SUMIFS('Locations Data'!$C:$C,'Locations Data'!$G:$G,$B18,'Locations Data'!$B:$B,DL$5)&gt;0,1,0)</f>
        <v>1</v>
      </c>
      <c r="DM18" s="6">
        <f>IF(SUMIFS('Locations Data'!$C:$C,'Locations Data'!$G:$G,$B18,'Locations Data'!$B:$B,DM$5)&gt;0,1,0)</f>
        <v>1</v>
      </c>
      <c r="DN18" s="6">
        <f>IF(SUMIFS('Locations Data'!$C:$C,'Locations Data'!$G:$G,$B18,'Locations Data'!$B:$B,DN$5)&gt;0,1,0)</f>
        <v>0</v>
      </c>
      <c r="DO18" s="6">
        <f>IF(SUMIFS('Locations Data'!$C:$C,'Locations Data'!$G:$G,$B18,'Locations Data'!$B:$B,DO$5)&gt;0,1,0)</f>
        <v>0</v>
      </c>
      <c r="DP18" s="6">
        <f>IF(SUMIFS('Locations Data'!$C:$C,'Locations Data'!$G:$G,$B18,'Locations Data'!$B:$B,DP$5)&gt;0,1,0)</f>
        <v>1</v>
      </c>
      <c r="DQ18" s="6">
        <f>IF(SUMIFS('Locations Data'!$C:$C,'Locations Data'!$G:$G,$B18,'Locations Data'!$B:$B,DQ$5)&gt;0,1,0)</f>
        <v>1</v>
      </c>
      <c r="DR18" s="6">
        <f>IF(SUMIFS('Locations Data'!$C:$C,'Locations Data'!$G:$G,$B18,'Locations Data'!$B:$B,DR$5)&gt;0,1,0)</f>
        <v>1</v>
      </c>
      <c r="DS18" s="6">
        <f>IF(SUMIFS('Locations Data'!$C:$C,'Locations Data'!$G:$G,$B18,'Locations Data'!$B:$B,DS$5)&gt;0,1,0)</f>
        <v>1</v>
      </c>
      <c r="DT18" s="6">
        <f>IF(SUMIFS('Locations Data'!$C:$C,'Locations Data'!$G:$G,$B18,'Locations Data'!$B:$B,DT$5)&gt;0,1,0)</f>
        <v>1</v>
      </c>
      <c r="DU18" s="6">
        <f>IF(SUMIFS('Locations Data'!$C:$C,'Locations Data'!$G:$G,$B18,'Locations Data'!$B:$B,DU$5)&gt;0,1,0)</f>
        <v>0</v>
      </c>
      <c r="DV18" s="6">
        <f>IF(SUMIFS('Locations Data'!$C:$C,'Locations Data'!$G:$G,$B18,'Locations Data'!$B:$B,DV$5)&gt;0,1,0)</f>
        <v>0</v>
      </c>
      <c r="DW18" s="6">
        <f>IF(SUMIFS('Locations Data'!$C:$C,'Locations Data'!$G:$G,$B18,'Locations Data'!$B:$B,DW$5)&gt;0,1,0)</f>
        <v>1</v>
      </c>
      <c r="DX18" s="6">
        <f>IF(SUMIFS('Locations Data'!$C:$C,'Locations Data'!$G:$G,$B18,'Locations Data'!$B:$B,DX$5)&gt;0,1,0)</f>
        <v>1</v>
      </c>
      <c r="DY18" s="6">
        <f>IF(SUMIFS('Locations Data'!$C:$C,'Locations Data'!$G:$G,$B18,'Locations Data'!$B:$B,DY$5)&gt;0,1,0)</f>
        <v>1</v>
      </c>
      <c r="DZ18" s="6">
        <f>IF(SUMIFS('Locations Data'!$C:$C,'Locations Data'!$G:$G,$B18,'Locations Data'!$B:$B,DZ$5)&gt;0,1,0)</f>
        <v>1</v>
      </c>
      <c r="EA18" s="6">
        <f>IF(SUMIFS('Locations Data'!$C:$C,'Locations Data'!$G:$G,$B18,'Locations Data'!$B:$B,EA$5)&gt;0,1,0)</f>
        <v>1</v>
      </c>
      <c r="EB18" s="6">
        <f>IF(SUMIFS('Locations Data'!$C:$C,'Locations Data'!$G:$G,$B18,'Locations Data'!$B:$B,EB$5)&gt;0,1,0)</f>
        <v>0</v>
      </c>
      <c r="EC18" s="6">
        <f>IF(SUMIFS('Locations Data'!$C:$C,'Locations Data'!$G:$G,$B18,'Locations Data'!$B:$B,EC$5)&gt;0,1,0)</f>
        <v>0</v>
      </c>
      <c r="ED18" s="6">
        <f>IF(SUMIFS('Locations Data'!$C:$C,'Locations Data'!$G:$G,$B18,'Locations Data'!$B:$B,ED$5)&gt;0,1,0)</f>
        <v>1</v>
      </c>
      <c r="EE18" s="6">
        <f>IF(SUMIFS('Locations Data'!$C:$C,'Locations Data'!$G:$G,$B18,'Locations Data'!$B:$B,EE$5)&gt;0,1,0)</f>
        <v>1</v>
      </c>
      <c r="EF18" s="6">
        <f>IF(SUMIFS('Locations Data'!$C:$C,'Locations Data'!$G:$G,$B18,'Locations Data'!$B:$B,EF$5)&gt;0,1,0)</f>
        <v>1</v>
      </c>
      <c r="EG18" s="6">
        <f>IF(SUMIFS('Locations Data'!$C:$C,'Locations Data'!$G:$G,$B18,'Locations Data'!$B:$B,EG$5)&gt;0,1,0)</f>
        <v>1</v>
      </c>
      <c r="EH18" s="6">
        <f>IF(SUMIFS('Locations Data'!$C:$C,'Locations Data'!$G:$G,$B18,'Locations Data'!$B:$B,EH$5)&gt;0,1,0)</f>
        <v>1</v>
      </c>
      <c r="EI18" s="6">
        <f>IF(SUMIFS('Locations Data'!$C:$C,'Locations Data'!$G:$G,$B18,'Locations Data'!$B:$B,EI$5)&gt;0,1,0)</f>
        <v>0</v>
      </c>
      <c r="EJ18" s="6">
        <f>IF(SUMIFS('Locations Data'!$C:$C,'Locations Data'!$G:$G,$B18,'Locations Data'!$B:$B,EJ$5)&gt;0,1,0)</f>
        <v>0</v>
      </c>
      <c r="EK18" s="6">
        <f>IF(SUMIFS('Locations Data'!$C:$C,'Locations Data'!$G:$G,$B18,'Locations Data'!$B:$B,EK$5)&gt;0,1,0)</f>
        <v>1</v>
      </c>
      <c r="EL18" s="6">
        <f>IF(SUMIFS('Locations Data'!$C:$C,'Locations Data'!$G:$G,$B18,'Locations Data'!$B:$B,EL$5)&gt;0,1,0)</f>
        <v>1</v>
      </c>
      <c r="EM18" s="6">
        <f>IF(SUMIFS('Locations Data'!$C:$C,'Locations Data'!$G:$G,$B18,'Locations Data'!$B:$B,EM$5)&gt;0,1,0)</f>
        <v>1</v>
      </c>
      <c r="EN18" s="6">
        <f>IF(SUMIFS('Locations Data'!$C:$C,'Locations Data'!$G:$G,$B18,'Locations Data'!$B:$B,EN$5)&gt;0,1,0)</f>
        <v>1</v>
      </c>
      <c r="EO18" s="6">
        <f>IF(SUMIFS('Locations Data'!$C:$C,'Locations Data'!$G:$G,$B18,'Locations Data'!$B:$B,EO$5)&gt;0,1,0)</f>
        <v>1</v>
      </c>
      <c r="EP18" s="6">
        <f>IF(SUMIFS('Locations Data'!$C:$C,'Locations Data'!$G:$G,$B18,'Locations Data'!$B:$B,EP$5)&gt;0,1,0)</f>
        <v>0</v>
      </c>
      <c r="EQ18" s="6">
        <f>IF(SUMIFS('Locations Data'!$C:$C,'Locations Data'!$G:$G,$B18,'Locations Data'!$B:$B,EQ$5)&gt;0,1,0)</f>
        <v>0</v>
      </c>
      <c r="ER18" s="6">
        <f>IF(SUMIFS('Locations Data'!$C:$C,'Locations Data'!$G:$G,$B18,'Locations Data'!$B:$B,ER$5)&gt;0,1,0)</f>
        <v>1</v>
      </c>
      <c r="ES18" s="6">
        <f>IF(SUMIFS('Locations Data'!$C:$C,'Locations Data'!$G:$G,$B18,'Locations Data'!$B:$B,ES$5)&gt;0,1,0)</f>
        <v>1</v>
      </c>
      <c r="ET18" s="6">
        <f>IF(SUMIFS('Locations Data'!$C:$C,'Locations Data'!$G:$G,$B18,'Locations Data'!$B:$B,ET$5)&gt;0,1,0)</f>
        <v>1</v>
      </c>
      <c r="EU18" s="6">
        <f>IF(SUMIFS('Locations Data'!$C:$C,'Locations Data'!$G:$G,$B18,'Locations Data'!$B:$B,EU$5)&gt;0,1,0)</f>
        <v>1</v>
      </c>
      <c r="EV18" s="6">
        <f>IF(SUMIFS('Locations Data'!$C:$C,'Locations Data'!$G:$G,$B18,'Locations Data'!$B:$B,EV$5)&gt;0,1,0)</f>
        <v>1</v>
      </c>
      <c r="EW18" s="6">
        <f>IF(SUMIFS('Locations Data'!$C:$C,'Locations Data'!$G:$G,$B18,'Locations Data'!$B:$B,EW$5)&gt;0,1,0)</f>
        <v>0</v>
      </c>
      <c r="EX18" s="6">
        <f>IF(SUMIFS('Locations Data'!$C:$C,'Locations Data'!$G:$G,$B18,'Locations Data'!$B:$B,EX$5)&gt;0,1,0)</f>
        <v>0</v>
      </c>
      <c r="EY18" s="6">
        <f>IF(SUMIFS('Locations Data'!$C:$C,'Locations Data'!$G:$G,$B18,'Locations Data'!$B:$B,EY$5)&gt;0,1,0)</f>
        <v>1</v>
      </c>
      <c r="EZ18" s="6">
        <f>IF(SUMIFS('Locations Data'!$C:$C,'Locations Data'!$G:$G,$B18,'Locations Data'!$B:$B,EZ$5)&gt;0,1,0)</f>
        <v>1</v>
      </c>
      <c r="FA18" s="6">
        <f>IF(SUMIFS('Locations Data'!$C:$C,'Locations Data'!$G:$G,$B18,'Locations Data'!$B:$B,FA$5)&gt;0,1,0)</f>
        <v>1</v>
      </c>
      <c r="FB18" s="6">
        <f>IF(SUMIFS('Locations Data'!$C:$C,'Locations Data'!$G:$G,$B18,'Locations Data'!$B:$B,FB$5)&gt;0,1,0)</f>
        <v>1</v>
      </c>
      <c r="FC18" s="6">
        <f>IF(SUMIFS('Locations Data'!$C:$C,'Locations Data'!$G:$G,$B18,'Locations Data'!$B:$B,FC$5)&gt;0,1,0)</f>
        <v>1</v>
      </c>
      <c r="FD18" s="6">
        <f>IF(SUMIFS('Locations Data'!$C:$C,'Locations Data'!$G:$G,$B18,'Locations Data'!$B:$B,FD$5)&gt;0,1,0)</f>
        <v>0</v>
      </c>
      <c r="FE18" s="6">
        <f>IF(SUMIFS('Locations Data'!$C:$C,'Locations Data'!$G:$G,$B18,'Locations Data'!$B:$B,FE$5)&gt;0,1,0)</f>
        <v>0</v>
      </c>
      <c r="FF18" s="6">
        <f>IF(SUMIFS('Locations Data'!$C:$C,'Locations Data'!$G:$G,$B18,'Locations Data'!$B:$B,FF$5)&gt;0,1,0)</f>
        <v>1</v>
      </c>
      <c r="FG18" s="6">
        <f>IF(SUMIFS('Locations Data'!$C:$C,'Locations Data'!$G:$G,$B18,'Locations Data'!$B:$B,FG$5)&gt;0,1,0)</f>
        <v>1</v>
      </c>
      <c r="FH18" s="6">
        <f>IF(SUMIFS('Locations Data'!$C:$C,'Locations Data'!$G:$G,$B18,'Locations Data'!$B:$B,FH$5)&gt;0,1,0)</f>
        <v>1</v>
      </c>
      <c r="FI18" s="6">
        <f>IF(SUMIFS('Locations Data'!$C:$C,'Locations Data'!$G:$G,$B18,'Locations Data'!$B:$B,FI$5)&gt;0,1,0)</f>
        <v>1</v>
      </c>
      <c r="FJ18" s="6">
        <f>IF(SUMIFS('Locations Data'!$C:$C,'Locations Data'!$G:$G,$B18,'Locations Data'!$B:$B,FJ$5)&gt;0,1,0)</f>
        <v>1</v>
      </c>
      <c r="FK18" s="6">
        <f>IF(SUMIFS('Locations Data'!$C:$C,'Locations Data'!$G:$G,$B18,'Locations Data'!$B:$B,FK$5)&gt;0,1,0)</f>
        <v>0</v>
      </c>
      <c r="FL18" s="6">
        <f>IF(SUMIFS('Locations Data'!$C:$C,'Locations Data'!$G:$G,$B18,'Locations Data'!$B:$B,FL$5)&gt;0,1,0)</f>
        <v>0</v>
      </c>
      <c r="FM18" s="6">
        <f>IF(SUMIFS('Locations Data'!$C:$C,'Locations Data'!$G:$G,$B18,'Locations Data'!$B:$B,FM$5)&gt;0,1,0)</f>
        <v>1</v>
      </c>
      <c r="FN18" s="6">
        <f>IF(SUMIFS('Locations Data'!$C:$C,'Locations Data'!$G:$G,$B18,'Locations Data'!$B:$B,FN$5)&gt;0,1,0)</f>
        <v>1</v>
      </c>
      <c r="FO18" s="6">
        <f>IF(SUMIFS('Locations Data'!$C:$C,'Locations Data'!$G:$G,$B18,'Locations Data'!$B:$B,FO$5)&gt;0,1,0)</f>
        <v>1</v>
      </c>
      <c r="FP18" s="6">
        <f>IF(SUMIFS('Locations Data'!$C:$C,'Locations Data'!$G:$G,$B18,'Locations Data'!$B:$B,FP$5)&gt;0,1,0)</f>
        <v>1</v>
      </c>
      <c r="FQ18" s="6">
        <f>IF(SUMIFS('Locations Data'!$C:$C,'Locations Data'!$G:$G,$B18,'Locations Data'!$B:$B,FQ$5)&gt;0,1,0)</f>
        <v>1</v>
      </c>
      <c r="FR18" s="6">
        <f>IF(SUMIFS('Locations Data'!$C:$C,'Locations Data'!$G:$G,$B18,'Locations Data'!$B:$B,FR$5)&gt;0,1,0)</f>
        <v>0</v>
      </c>
      <c r="FS18" s="6">
        <f>IF(SUMIFS('Locations Data'!$C:$C,'Locations Data'!$G:$G,$B18,'Locations Data'!$B:$B,FS$5)&gt;0,1,0)</f>
        <v>0</v>
      </c>
      <c r="FT18" s="6">
        <f>IF(SUMIFS('Locations Data'!$C:$C,'Locations Data'!$G:$G,$B18,'Locations Data'!$B:$B,FT$5)&gt;0,1,0)</f>
        <v>1</v>
      </c>
      <c r="FU18" s="6">
        <f>IF(SUMIFS('Locations Data'!$C:$C,'Locations Data'!$G:$G,$B18,'Locations Data'!$B:$B,FU$5)&gt;0,1,0)</f>
        <v>1</v>
      </c>
      <c r="FV18" s="6">
        <f>IF(SUMIFS('Locations Data'!$C:$C,'Locations Data'!$G:$G,$B18,'Locations Data'!$B:$B,FV$5)&gt;0,1,0)</f>
        <v>1</v>
      </c>
      <c r="FW18" s="6">
        <f>IF(SUMIFS('Locations Data'!$C:$C,'Locations Data'!$G:$G,$B18,'Locations Data'!$B:$B,FW$5)&gt;0,1,0)</f>
        <v>1</v>
      </c>
      <c r="FX18" s="6">
        <f>IF(SUMIFS('Locations Data'!$C:$C,'Locations Data'!$G:$G,$B18,'Locations Data'!$B:$B,FX$5)&gt;0,1,0)</f>
        <v>1</v>
      </c>
      <c r="FY18" s="6">
        <f>IF(SUMIFS('Locations Data'!$C:$C,'Locations Data'!$G:$G,$B18,'Locations Data'!$B:$B,FY$5)&gt;0,1,0)</f>
        <v>0</v>
      </c>
      <c r="FZ18" s="6">
        <f>IF(SUMIFS('Locations Data'!$C:$C,'Locations Data'!$G:$G,$B18,'Locations Data'!$B:$B,FZ$5)&gt;0,1,0)</f>
        <v>0</v>
      </c>
      <c r="GA18" s="6">
        <f>IF(SUMIFS('Locations Data'!$C:$C,'Locations Data'!$G:$G,$B18,'Locations Data'!$B:$B,GA$5)&gt;0,1,0)</f>
        <v>1</v>
      </c>
      <c r="GB18" s="6">
        <f>IF(SUMIFS('Locations Data'!$C:$C,'Locations Data'!$G:$G,$B18,'Locations Data'!$B:$B,GB$5)&gt;0,1,0)</f>
        <v>1</v>
      </c>
      <c r="GC18" s="6">
        <f>IF(SUMIFS('Locations Data'!$C:$C,'Locations Data'!$G:$G,$B18,'Locations Data'!$B:$B,GC$5)&gt;0,1,0)</f>
        <v>1</v>
      </c>
      <c r="GD18" s="6">
        <f>IF(SUMIFS('Locations Data'!$C:$C,'Locations Data'!$G:$G,$B18,'Locations Data'!$B:$B,GD$5)&gt;0,1,0)</f>
        <v>1</v>
      </c>
      <c r="GE18" s="6">
        <f>IF(SUMIFS('Locations Data'!$C:$C,'Locations Data'!$G:$G,$B18,'Locations Data'!$B:$B,GE$5)&gt;0,1,0)</f>
        <v>1</v>
      </c>
      <c r="GF18" s="6">
        <f>IF(SUMIFS('Locations Data'!$C:$C,'Locations Data'!$G:$G,$B18,'Locations Data'!$B:$B,GF$5)&gt;0,1,0)</f>
        <v>0</v>
      </c>
      <c r="GG18" s="6">
        <f>IF(SUMIFS('Locations Data'!$C:$C,'Locations Data'!$G:$G,$B18,'Locations Data'!$B:$B,GG$5)&gt;0,1,0)</f>
        <v>0</v>
      </c>
      <c r="GH18" s="6">
        <f>IF(SUMIFS('Locations Data'!$C:$C,'Locations Data'!$G:$G,$B18,'Locations Data'!$B:$B,GH$5)&gt;0,1,0)</f>
        <v>1</v>
      </c>
      <c r="GI18" s="6">
        <f>IF(SUMIFS('Locations Data'!$C:$C,'Locations Data'!$G:$G,$B18,'Locations Data'!$B:$B,GI$5)&gt;0,1,0)</f>
        <v>1</v>
      </c>
      <c r="GJ18" s="6">
        <f>IF(SUMIFS('Locations Data'!$C:$C,'Locations Data'!$G:$G,$B18,'Locations Data'!$B:$B,GJ$5)&gt;0,1,0)</f>
        <v>1</v>
      </c>
      <c r="GK18" s="6">
        <f>IF(SUMIFS('Locations Data'!$C:$C,'Locations Data'!$G:$G,$B18,'Locations Data'!$B:$B,GK$5)&gt;0,1,0)</f>
        <v>1</v>
      </c>
      <c r="GL18" s="6">
        <f>IF(SUMIFS('Locations Data'!$C:$C,'Locations Data'!$G:$G,$B18,'Locations Data'!$B:$B,GL$5)&gt;0,1,0)</f>
        <v>1</v>
      </c>
      <c r="GM18" s="6">
        <f>IF(SUMIFS('Locations Data'!$C:$C,'Locations Data'!$G:$G,$B18,'Locations Data'!$B:$B,GM$5)&gt;0,1,0)</f>
        <v>0</v>
      </c>
      <c r="GN18" s="6">
        <f>IF(SUMIFS('Locations Data'!$C:$C,'Locations Data'!$G:$G,$B18,'Locations Data'!$B:$B,GN$5)&gt;0,1,0)</f>
        <v>0</v>
      </c>
      <c r="GO18" s="6">
        <f>IF(SUMIFS('Locations Data'!$C:$C,'Locations Data'!$G:$G,$B18,'Locations Data'!$B:$B,GO$5)&gt;0,1,0)</f>
        <v>1</v>
      </c>
      <c r="GP18" s="6">
        <f>IF(SUMIFS('Locations Data'!$C:$C,'Locations Data'!$G:$G,$B18,'Locations Data'!$B:$B,GP$5)&gt;0,1,0)</f>
        <v>1</v>
      </c>
      <c r="GQ18" s="6">
        <f>IF(SUMIFS('Locations Data'!$C:$C,'Locations Data'!$G:$G,$B18,'Locations Data'!$B:$B,GQ$5)&gt;0,1,0)</f>
        <v>1</v>
      </c>
      <c r="GR18" s="6">
        <f>IF(SUMIFS('Locations Data'!$C:$C,'Locations Data'!$G:$G,$B18,'Locations Data'!$B:$B,GR$5)&gt;0,1,0)</f>
        <v>1</v>
      </c>
      <c r="GS18" s="6">
        <f>IF(SUMIFS('Locations Data'!$C:$C,'Locations Data'!$G:$G,$B18,'Locations Data'!$B:$B,GS$5)&gt;0,1,0)</f>
        <v>1</v>
      </c>
      <c r="GT18" s="6">
        <f>IF(SUMIFS('Locations Data'!$C:$C,'Locations Data'!$G:$G,$B18,'Locations Data'!$B:$B,GT$5)&gt;0,1,0)</f>
        <v>0</v>
      </c>
      <c r="GU18" s="6">
        <f>IF(SUMIFS('Locations Data'!$C:$C,'Locations Data'!$G:$G,$B18,'Locations Data'!$B:$B,GU$5)&gt;0,1,0)</f>
        <v>0</v>
      </c>
      <c r="GV18" s="6">
        <f>IF(SUMIFS('Locations Data'!$C:$C,'Locations Data'!$G:$G,$B18,'Locations Data'!$B:$B,GV$5)&gt;0,1,0)</f>
        <v>1</v>
      </c>
      <c r="GW18" s="6">
        <f>IF(SUMIFS('Locations Data'!$C:$C,'Locations Data'!$G:$G,$B18,'Locations Data'!$B:$B,GW$5)&gt;0,1,0)</f>
        <v>1</v>
      </c>
      <c r="GX18" s="6">
        <f>IF(SUMIFS('Locations Data'!$C:$C,'Locations Data'!$G:$G,$B18,'Locations Data'!$B:$B,GX$5)&gt;0,1,0)</f>
        <v>1</v>
      </c>
      <c r="GY18" s="6">
        <f>IF(SUMIFS('Locations Data'!$C:$C,'Locations Data'!$G:$G,$B18,'Locations Data'!$B:$B,GY$5)&gt;0,1,0)</f>
        <v>1</v>
      </c>
      <c r="GZ18" s="6">
        <f>IF(SUMIFS('Locations Data'!$C:$C,'Locations Data'!$G:$G,$B18,'Locations Data'!$B:$B,GZ$5)&gt;0,1,0)</f>
        <v>1</v>
      </c>
      <c r="HA18" s="6">
        <f>IF(SUMIFS('Locations Data'!$C:$C,'Locations Data'!$G:$G,$B18,'Locations Data'!$B:$B,HA$5)&gt;0,1,0)</f>
        <v>0</v>
      </c>
      <c r="HB18" s="6">
        <f>IF(SUMIFS('Locations Data'!$C:$C,'Locations Data'!$G:$G,$B18,'Locations Data'!$B:$B,HB$5)&gt;0,1,0)</f>
        <v>0</v>
      </c>
      <c r="HC18" s="6">
        <f>IF(SUMIFS('Locations Data'!$C:$C,'Locations Data'!$G:$G,$B18,'Locations Data'!$B:$B,HC$5)&gt;0,1,0)</f>
        <v>1</v>
      </c>
      <c r="HD18" s="6">
        <f>IF(SUMIFS('Locations Data'!$C:$C,'Locations Data'!$G:$G,$B18,'Locations Data'!$B:$B,HD$5)&gt;0,1,0)</f>
        <v>1</v>
      </c>
      <c r="HE18" s="6">
        <f>IF(SUMIFS('Locations Data'!$C:$C,'Locations Data'!$G:$G,$B18,'Locations Data'!$B:$B,HE$5)&gt;0,1,0)</f>
        <v>1</v>
      </c>
      <c r="HF18" s="6">
        <f>IF(SUMIFS('Locations Data'!$C:$C,'Locations Data'!$G:$G,$B18,'Locations Data'!$B:$B,HF$5)&gt;0,1,0)</f>
        <v>1</v>
      </c>
      <c r="HG18" s="6">
        <f>IF(SUMIFS('Locations Data'!$C:$C,'Locations Data'!$G:$G,$B18,'Locations Data'!$B:$B,HG$5)&gt;0,1,0)</f>
        <v>1</v>
      </c>
      <c r="HH18" s="6">
        <f>IF(SUMIFS('Locations Data'!$C:$C,'Locations Data'!$G:$G,$B18,'Locations Data'!$B:$B,HH$5)&gt;0,1,0)</f>
        <v>0</v>
      </c>
      <c r="HI18" s="6">
        <f>IF(SUMIFS('Locations Data'!$C:$C,'Locations Data'!$G:$G,$B18,'Locations Data'!$B:$B,HI$5)&gt;0,1,0)</f>
        <v>0</v>
      </c>
      <c r="HJ18" s="6">
        <f>IF(SUMIFS('Locations Data'!$C:$C,'Locations Data'!$G:$G,$B18,'Locations Data'!$B:$B,HJ$5)&gt;0,1,0)</f>
        <v>1</v>
      </c>
      <c r="HK18" s="6">
        <f>IF(SUMIFS('Locations Data'!$C:$C,'Locations Data'!$G:$G,$B18,'Locations Data'!$B:$B,HK$5)&gt;0,1,0)</f>
        <v>1</v>
      </c>
      <c r="HL18" s="6">
        <f>IF(SUMIFS('Locations Data'!$C:$C,'Locations Data'!$G:$G,$B18,'Locations Data'!$B:$B,HL$5)&gt;0,1,0)</f>
        <v>1</v>
      </c>
      <c r="HM18" s="6">
        <f>IF(SUMIFS('Locations Data'!$C:$C,'Locations Data'!$G:$G,$B18,'Locations Data'!$B:$B,HM$5)&gt;0,1,0)</f>
        <v>1</v>
      </c>
      <c r="HN18" s="6">
        <f>IF(SUMIFS('Locations Data'!$C:$C,'Locations Data'!$G:$G,$B18,'Locations Data'!$B:$B,HN$5)&gt;0,1,0)</f>
        <v>1</v>
      </c>
      <c r="HO18" s="6">
        <f>IF(SUMIFS('Locations Data'!$C:$C,'Locations Data'!$G:$G,$B18,'Locations Data'!$B:$B,HO$5)&gt;0,1,0)</f>
        <v>0</v>
      </c>
      <c r="HP18" s="6">
        <f>IF(SUMIFS('Locations Data'!$C:$C,'Locations Data'!$G:$G,$B18,'Locations Data'!$B:$B,HP$5)&gt;0,1,0)</f>
        <v>0</v>
      </c>
      <c r="HQ18" s="6">
        <f>IF(SUMIFS('Locations Data'!$C:$C,'Locations Data'!$G:$G,$B18,'Locations Data'!$B:$B,HQ$5)&gt;0,1,0)</f>
        <v>1</v>
      </c>
      <c r="HR18" s="6">
        <f>IF(SUMIFS('Locations Data'!$C:$C,'Locations Data'!$G:$G,$B18,'Locations Data'!$B:$B,HR$5)&gt;0,1,0)</f>
        <v>1</v>
      </c>
      <c r="HS18" s="6">
        <f>IF(SUMIFS('Locations Data'!$C:$C,'Locations Data'!$G:$G,$B18,'Locations Data'!$B:$B,HS$5)&gt;0,1,0)</f>
        <v>1</v>
      </c>
      <c r="HT18" s="6">
        <f>IF(SUMIFS('Locations Data'!$C:$C,'Locations Data'!$G:$G,$B18,'Locations Data'!$B:$B,HT$5)&gt;0,1,0)</f>
        <v>1</v>
      </c>
      <c r="HU18" s="6">
        <f>IF(SUMIFS('Locations Data'!$C:$C,'Locations Data'!$G:$G,$B18,'Locations Data'!$B:$B,HU$5)&gt;0,1,0)</f>
        <v>1</v>
      </c>
      <c r="HV18" s="6">
        <f>IF(SUMIFS('Locations Data'!$C:$C,'Locations Data'!$G:$G,$B18,'Locations Data'!$B:$B,HV$5)&gt;0,1,0)</f>
        <v>0</v>
      </c>
      <c r="HW18" s="6">
        <f>IF(SUMIFS('Locations Data'!$C:$C,'Locations Data'!$G:$G,$B18,'Locations Data'!$B:$B,HW$5)&gt;0,1,0)</f>
        <v>0</v>
      </c>
      <c r="HX18" s="6">
        <f>IF(SUMIFS('Locations Data'!$C:$C,'Locations Data'!$G:$G,$B18,'Locations Data'!$B:$B,HX$5)&gt;0,1,0)</f>
        <v>1</v>
      </c>
      <c r="HY18" s="6">
        <f>IF(SUMIFS('Locations Data'!$C:$C,'Locations Data'!$G:$G,$B18,'Locations Data'!$B:$B,HY$5)&gt;0,1,0)</f>
        <v>1</v>
      </c>
      <c r="HZ18" s="6">
        <f>IF(SUMIFS('Locations Data'!$C:$C,'Locations Data'!$G:$G,$B18,'Locations Data'!$B:$B,HZ$5)&gt;0,1,0)</f>
        <v>1</v>
      </c>
      <c r="IA18" s="6">
        <f>IF(SUMIFS('Locations Data'!$C:$C,'Locations Data'!$G:$G,$B18,'Locations Data'!$B:$B,IA$5)&gt;0,1,0)</f>
        <v>1</v>
      </c>
      <c r="IB18" s="6">
        <f>IF(SUMIFS('Locations Data'!$C:$C,'Locations Data'!$G:$G,$B18,'Locations Data'!$B:$B,IB$5)&gt;0,1,0)</f>
        <v>1</v>
      </c>
      <c r="IC18" s="6">
        <f>IF(SUMIFS('Locations Data'!$C:$C,'Locations Data'!$G:$G,$B18,'Locations Data'!$B:$B,IC$5)&gt;0,1,0)</f>
        <v>0</v>
      </c>
      <c r="ID18" s="6">
        <f>IF(SUMIFS('Locations Data'!$C:$C,'Locations Data'!$G:$G,$B18,'Locations Data'!$B:$B,ID$5)&gt;0,1,0)</f>
        <v>0</v>
      </c>
      <c r="IE18" s="6">
        <f>IF(SUMIFS('Locations Data'!$C:$C,'Locations Data'!$G:$G,$B18,'Locations Data'!$B:$B,IE$5)&gt;0,1,0)</f>
        <v>1</v>
      </c>
      <c r="IF18" s="6">
        <f>IF(SUMIFS('Locations Data'!$C:$C,'Locations Data'!$G:$G,$B18,'Locations Data'!$B:$B,IF$5)&gt;0,1,0)</f>
        <v>1</v>
      </c>
      <c r="IG18" s="6">
        <f>IF(SUMIFS('Locations Data'!$C:$C,'Locations Data'!$G:$G,$B18,'Locations Data'!$B:$B,IG$5)&gt;0,1,0)</f>
        <v>1</v>
      </c>
      <c r="IH18" s="6">
        <f>IF(SUMIFS('Locations Data'!$C:$C,'Locations Data'!$G:$G,$B18,'Locations Data'!$B:$B,IH$5)&gt;0,1,0)</f>
        <v>1</v>
      </c>
      <c r="II18" s="6">
        <f>IF(SUMIFS('Locations Data'!$C:$C,'Locations Data'!$G:$G,$B18,'Locations Data'!$B:$B,II$5)&gt;0,1,0)</f>
        <v>1</v>
      </c>
      <c r="IJ18" s="6">
        <f>IF(SUMIFS('Locations Data'!$C:$C,'Locations Data'!$G:$G,$B18,'Locations Data'!$B:$B,IJ$5)&gt;0,1,0)</f>
        <v>0</v>
      </c>
      <c r="IK18" s="6">
        <f>IF(SUMIFS('Locations Data'!$C:$C,'Locations Data'!$G:$G,$B18,'Locations Data'!$B:$B,IK$5)&gt;0,1,0)</f>
        <v>0</v>
      </c>
      <c r="IL18" s="6">
        <f>IF(SUMIFS('Locations Data'!$C:$C,'Locations Data'!$G:$G,$B18,'Locations Data'!$B:$B,IL$5)&gt;0,1,0)</f>
        <v>1</v>
      </c>
      <c r="IM18" s="6">
        <f>IF(SUMIFS('Locations Data'!$C:$C,'Locations Data'!$G:$G,$B18,'Locations Data'!$B:$B,IM$5)&gt;0,1,0)</f>
        <v>1</v>
      </c>
      <c r="IN18" s="6">
        <f>IF(SUMIFS('Locations Data'!$C:$C,'Locations Data'!$G:$G,$B18,'Locations Data'!$B:$B,IN$5)&gt;0,1,0)</f>
        <v>1</v>
      </c>
      <c r="IO18" s="6">
        <f>IF(SUMIFS('Locations Data'!$C:$C,'Locations Data'!$G:$G,$B18,'Locations Data'!$B:$B,IO$5)&gt;0,1,0)</f>
        <v>1</v>
      </c>
      <c r="IP18" s="6">
        <f>IF(SUMIFS('Locations Data'!$C:$C,'Locations Data'!$G:$G,$B18,'Locations Data'!$B:$B,IP$5)&gt;0,1,0)</f>
        <v>1</v>
      </c>
      <c r="IQ18" s="6">
        <f>IF(SUMIFS('Locations Data'!$C:$C,'Locations Data'!$G:$G,$B18,'Locations Data'!$B:$B,IQ$5)&gt;0,1,0)</f>
        <v>0</v>
      </c>
      <c r="IR18" s="6">
        <f>IF(SUMIFS('Locations Data'!$C:$C,'Locations Data'!$G:$G,$B18,'Locations Data'!$B:$B,IR$5)&gt;0,1,0)</f>
        <v>0</v>
      </c>
      <c r="IS18" s="6">
        <f>IF(SUMIFS('Locations Data'!$C:$C,'Locations Data'!$G:$G,$B18,'Locations Data'!$B:$B,IS$5)&gt;0,1,0)</f>
        <v>1</v>
      </c>
      <c r="IT18" s="6">
        <f>IF(SUMIFS('Locations Data'!$C:$C,'Locations Data'!$G:$G,$B18,'Locations Data'!$B:$B,IT$5)&gt;0,1,0)</f>
        <v>1</v>
      </c>
      <c r="IU18" s="6">
        <f>IF(SUMIFS('Locations Data'!$C:$C,'Locations Data'!$G:$G,$B18,'Locations Data'!$B:$B,IU$5)&gt;0,1,0)</f>
        <v>1</v>
      </c>
      <c r="IV18" s="6">
        <f>IF(SUMIFS('Locations Data'!$C:$C,'Locations Data'!$G:$G,$B18,'Locations Data'!$B:$B,IV$5)&gt;0,1,0)</f>
        <v>1</v>
      </c>
      <c r="IW18" s="6">
        <f>IF(SUMIFS('Locations Data'!$C:$C,'Locations Data'!$G:$G,$B18,'Locations Data'!$B:$B,IW$5)&gt;0,1,0)</f>
        <v>1</v>
      </c>
      <c r="IX18" s="6">
        <f>IF(SUMIFS('Locations Data'!$C:$C,'Locations Data'!$G:$G,$B18,'Locations Data'!$B:$B,IX$5)&gt;0,1,0)</f>
        <v>0</v>
      </c>
      <c r="IY18" s="6">
        <f>IF(SUMIFS('Locations Data'!$C:$C,'Locations Data'!$G:$G,$B18,'Locations Data'!$B:$B,IY$5)&gt;0,1,0)</f>
        <v>0</v>
      </c>
      <c r="IZ18" s="6">
        <f>IF(SUMIFS('Locations Data'!$C:$C,'Locations Data'!$G:$G,$B18,'Locations Data'!$B:$B,IZ$5)&gt;0,1,0)</f>
        <v>1</v>
      </c>
      <c r="JA18" s="6">
        <f>IF(SUMIFS('Locations Data'!$C:$C,'Locations Data'!$G:$G,$B18,'Locations Data'!$B:$B,JA$5)&gt;0,1,0)</f>
        <v>1</v>
      </c>
      <c r="JB18" s="6">
        <f>IF(SUMIFS('Locations Data'!$C:$C,'Locations Data'!$G:$G,$B18,'Locations Data'!$B:$B,JB$5)&gt;0,1,0)</f>
        <v>1</v>
      </c>
      <c r="JC18" s="6">
        <f>IF(SUMIFS('Locations Data'!$C:$C,'Locations Data'!$G:$G,$B18,'Locations Data'!$B:$B,JC$5)&gt;0,1,0)</f>
        <v>1</v>
      </c>
      <c r="JD18" s="6">
        <f>IF(SUMIFS('Locations Data'!$C:$C,'Locations Data'!$G:$G,$B18,'Locations Data'!$B:$B,JD$5)&gt;0,1,0)</f>
        <v>1</v>
      </c>
      <c r="JE18" s="6">
        <f>IF(SUMIFS('Locations Data'!$C:$C,'Locations Data'!$G:$G,$B18,'Locations Data'!$B:$B,JE$5)&gt;0,1,0)</f>
        <v>0</v>
      </c>
      <c r="JF18" s="6">
        <f>IF(SUMIFS('Locations Data'!$C:$C,'Locations Data'!$G:$G,$B18,'Locations Data'!$B:$B,JF$5)&gt;0,1,0)</f>
        <v>0</v>
      </c>
      <c r="JG18" s="6">
        <f>IF(SUMIFS('Locations Data'!$C:$C,'Locations Data'!$G:$G,$B18,'Locations Data'!$B:$B,JG$5)&gt;0,1,0)</f>
        <v>1</v>
      </c>
      <c r="JH18" s="6">
        <f>IF(SUMIFS('Locations Data'!$C:$C,'Locations Data'!$G:$G,$B18,'Locations Data'!$B:$B,JH$5)&gt;0,1,0)</f>
        <v>1</v>
      </c>
      <c r="JI18" s="6">
        <f>IF(SUMIFS('Locations Data'!$C:$C,'Locations Data'!$G:$G,$B18,'Locations Data'!$B:$B,JI$5)&gt;0,1,0)</f>
        <v>1</v>
      </c>
      <c r="JJ18" s="6">
        <f>IF(SUMIFS('Locations Data'!$C:$C,'Locations Data'!$G:$G,$B18,'Locations Data'!$B:$B,JJ$5)&gt;0,1,0)</f>
        <v>1</v>
      </c>
      <c r="JK18" s="6">
        <f>IF(SUMIFS('Locations Data'!$C:$C,'Locations Data'!$G:$G,$B18,'Locations Data'!$B:$B,JK$5)&gt;0,1,0)</f>
        <v>1</v>
      </c>
      <c r="JL18" s="6">
        <f>IF(SUMIFS('Locations Data'!$C:$C,'Locations Data'!$G:$G,$B18,'Locations Data'!$B:$B,JL$5)&gt;0,1,0)</f>
        <v>0</v>
      </c>
      <c r="JM18" s="6">
        <f>IF(SUMIFS('Locations Data'!$C:$C,'Locations Data'!$G:$G,$B18,'Locations Data'!$B:$B,JM$5)&gt;0,1,0)</f>
        <v>0</v>
      </c>
      <c r="JN18" s="6">
        <f>IF(SUMIFS('Locations Data'!$C:$C,'Locations Data'!$G:$G,$B18,'Locations Data'!$B:$B,JN$5)&gt;0,1,0)</f>
        <v>1</v>
      </c>
      <c r="JO18" s="6">
        <f>IF(SUMIFS('Locations Data'!$C:$C,'Locations Data'!$G:$G,$B18,'Locations Data'!$B:$B,JO$5)&gt;0,1,0)</f>
        <v>1</v>
      </c>
      <c r="JP18" s="6">
        <f>IF(SUMIFS('Locations Data'!$C:$C,'Locations Data'!$G:$G,$B18,'Locations Data'!$B:$B,JP$5)&gt;0,1,0)</f>
        <v>1</v>
      </c>
      <c r="JQ18" s="6">
        <f>IF(SUMIFS('Locations Data'!$C:$C,'Locations Data'!$G:$G,$B18,'Locations Data'!$B:$B,JQ$5)&gt;0,1,0)</f>
        <v>1</v>
      </c>
      <c r="JR18" s="6">
        <f>IF(SUMIFS('Locations Data'!$C:$C,'Locations Data'!$G:$G,$B18,'Locations Data'!$B:$B,JR$5)&gt;0,1,0)</f>
        <v>1</v>
      </c>
      <c r="JS18" s="6">
        <f>IF(SUMIFS('Locations Data'!$C:$C,'Locations Data'!$G:$G,$B18,'Locations Data'!$B:$B,JS$5)&gt;0,1,0)</f>
        <v>0</v>
      </c>
      <c r="JT18" s="6">
        <f>IF(SUMIFS('Locations Data'!$C:$C,'Locations Data'!$G:$G,$B18,'Locations Data'!$B:$B,JT$5)&gt;0,1,0)</f>
        <v>0</v>
      </c>
      <c r="JU18" s="6">
        <f>IF(SUMIFS('Locations Data'!$C:$C,'Locations Data'!$G:$G,$B18,'Locations Data'!$B:$B,JU$5)&gt;0,1,0)</f>
        <v>1</v>
      </c>
      <c r="JV18" s="6">
        <f>IF(SUMIFS('Locations Data'!$C:$C,'Locations Data'!$G:$G,$B18,'Locations Data'!$B:$B,JV$5)&gt;0,1,0)</f>
        <v>1</v>
      </c>
      <c r="JW18" s="6">
        <f>IF(SUMIFS('Locations Data'!$C:$C,'Locations Data'!$G:$G,$B18,'Locations Data'!$B:$B,JW$5)&gt;0,1,0)</f>
        <v>1</v>
      </c>
      <c r="JX18" s="6">
        <f>IF(SUMIFS('Locations Data'!$C:$C,'Locations Data'!$G:$G,$B18,'Locations Data'!$B:$B,JX$5)&gt;0,1,0)</f>
        <v>1</v>
      </c>
      <c r="JY18" s="6">
        <f>IF(SUMIFS('Locations Data'!$C:$C,'Locations Data'!$G:$G,$B18,'Locations Data'!$B:$B,JY$5)&gt;0,1,0)</f>
        <v>1</v>
      </c>
      <c r="JZ18" s="6">
        <f>IF(SUMIFS('Locations Data'!$C:$C,'Locations Data'!$G:$G,$B18,'Locations Data'!$B:$B,JZ$5)&gt;0,1,0)</f>
        <v>0</v>
      </c>
      <c r="KA18" s="6">
        <f>IF(SUMIFS('Locations Data'!$C:$C,'Locations Data'!$G:$G,$B18,'Locations Data'!$B:$B,KA$5)&gt;0,1,0)</f>
        <v>0</v>
      </c>
      <c r="KB18" s="6">
        <f>IF(SUMIFS('Locations Data'!$C:$C,'Locations Data'!$G:$G,$B18,'Locations Data'!$B:$B,KB$5)&gt;0,1,0)</f>
        <v>1</v>
      </c>
      <c r="KC18" s="6">
        <f>IF(SUMIFS('Locations Data'!$C:$C,'Locations Data'!$G:$G,$B18,'Locations Data'!$B:$B,KC$5)&gt;0,1,0)</f>
        <v>1</v>
      </c>
      <c r="KD18" s="6">
        <f>IF(SUMIFS('Locations Data'!$C:$C,'Locations Data'!$G:$G,$B18,'Locations Data'!$B:$B,KD$5)&gt;0,1,0)</f>
        <v>1</v>
      </c>
      <c r="KE18" s="6">
        <f>IF(SUMIFS('Locations Data'!$C:$C,'Locations Data'!$G:$G,$B18,'Locations Data'!$B:$B,KE$5)&gt;0,1,0)</f>
        <v>1</v>
      </c>
      <c r="KF18" s="6">
        <f>IF(SUMIFS('Locations Data'!$C:$C,'Locations Data'!$G:$G,$B18,'Locations Data'!$B:$B,KF$5)&gt;0,1,0)</f>
        <v>1</v>
      </c>
      <c r="KG18" s="6">
        <f>IF(SUMIFS('Locations Data'!$C:$C,'Locations Data'!$G:$G,$B18,'Locations Data'!$B:$B,KG$5)&gt;0,1,0)</f>
        <v>0</v>
      </c>
      <c r="KH18" s="6">
        <f>IF(SUMIFS('Locations Data'!$C:$C,'Locations Data'!$G:$G,$B18,'Locations Data'!$B:$B,KH$5)&gt;0,1,0)</f>
        <v>0</v>
      </c>
      <c r="KI18" s="6">
        <f>IF(SUMIFS('Locations Data'!$C:$C,'Locations Data'!$G:$G,$B18,'Locations Data'!$B:$B,KI$5)&gt;0,1,0)</f>
        <v>1</v>
      </c>
      <c r="KJ18" s="6">
        <f>IF(SUMIFS('Locations Data'!$C:$C,'Locations Data'!$G:$G,$B18,'Locations Data'!$B:$B,KJ$5)&gt;0,1,0)</f>
        <v>1</v>
      </c>
      <c r="KK18" s="6">
        <f>IF(SUMIFS('Locations Data'!$C:$C,'Locations Data'!$G:$G,$B18,'Locations Data'!$B:$B,KK$5)&gt;0,1,0)</f>
        <v>1</v>
      </c>
      <c r="KL18" s="6">
        <f>IF(SUMIFS('Locations Data'!$C:$C,'Locations Data'!$G:$G,$B18,'Locations Data'!$B:$B,KL$5)&gt;0,1,0)</f>
        <v>1</v>
      </c>
      <c r="KM18" s="6">
        <f>IF(SUMIFS('Locations Data'!$C:$C,'Locations Data'!$G:$G,$B18,'Locations Data'!$B:$B,KM$5)&gt;0,1,0)</f>
        <v>1</v>
      </c>
      <c r="KN18" s="6">
        <f>IF(SUMIFS('Locations Data'!$C:$C,'Locations Data'!$G:$G,$B18,'Locations Data'!$B:$B,KN$5)&gt;0,1,0)</f>
        <v>0</v>
      </c>
      <c r="KO18" s="6">
        <f>IF(SUMIFS('Locations Data'!$C:$C,'Locations Data'!$G:$G,$B18,'Locations Data'!$B:$B,KO$5)&gt;0,1,0)</f>
        <v>0</v>
      </c>
      <c r="KP18" s="6">
        <f>IF(SUMIFS('Locations Data'!$C:$C,'Locations Data'!$G:$G,$B18,'Locations Data'!$B:$B,KP$5)&gt;0,1,0)</f>
        <v>1</v>
      </c>
      <c r="KQ18" s="6">
        <f>IF(SUMIFS('Locations Data'!$C:$C,'Locations Data'!$G:$G,$B18,'Locations Data'!$B:$B,KQ$5)&gt;0,1,0)</f>
        <v>1</v>
      </c>
      <c r="KR18" s="6">
        <f>IF(SUMIFS('Locations Data'!$C:$C,'Locations Data'!$G:$G,$B18,'Locations Data'!$B:$B,KR$5)&gt;0,1,0)</f>
        <v>1</v>
      </c>
      <c r="KS18" s="6">
        <f>IF(SUMIFS('Locations Data'!$C:$C,'Locations Data'!$G:$G,$B18,'Locations Data'!$B:$B,KS$5)&gt;0,1,0)</f>
        <v>1</v>
      </c>
      <c r="KT18" s="6">
        <f>IF(SUMIFS('Locations Data'!$C:$C,'Locations Data'!$G:$G,$B18,'Locations Data'!$B:$B,KT$5)&gt;0,1,0)</f>
        <v>1</v>
      </c>
      <c r="KU18" s="6">
        <f>IF(SUMIFS('Locations Data'!$C:$C,'Locations Data'!$G:$G,$B18,'Locations Data'!$B:$B,KU$5)&gt;0,1,0)</f>
        <v>0</v>
      </c>
      <c r="KV18" s="6">
        <f>IF(SUMIFS('Locations Data'!$C:$C,'Locations Data'!$G:$G,$B18,'Locations Data'!$B:$B,KV$5)&gt;0,1,0)</f>
        <v>0</v>
      </c>
      <c r="KW18" s="6">
        <f>IF(SUMIFS('Locations Data'!$C:$C,'Locations Data'!$G:$G,$B18,'Locations Data'!$B:$B,KW$5)&gt;0,1,0)</f>
        <v>1</v>
      </c>
      <c r="KX18" s="6">
        <f>IF(SUMIFS('Locations Data'!$C:$C,'Locations Data'!$G:$G,$B18,'Locations Data'!$B:$B,KX$5)&gt;0,1,0)</f>
        <v>1</v>
      </c>
      <c r="KY18" s="6">
        <f>IF(SUMIFS('Locations Data'!$C:$C,'Locations Data'!$G:$G,$B18,'Locations Data'!$B:$B,KY$5)&gt;0,1,0)</f>
        <v>1</v>
      </c>
      <c r="KZ18" s="6">
        <f>IF(SUMIFS('Locations Data'!$C:$C,'Locations Data'!$G:$G,$B18,'Locations Data'!$B:$B,KZ$5)&gt;0,1,0)</f>
        <v>1</v>
      </c>
      <c r="LA18" s="6">
        <f>IF(SUMIFS('Locations Data'!$C:$C,'Locations Data'!$G:$G,$B18,'Locations Data'!$B:$B,LA$5)&gt;0,1,0)</f>
        <v>1</v>
      </c>
      <c r="LB18" s="6">
        <f>IF(SUMIFS('Locations Data'!$C:$C,'Locations Data'!$G:$G,$B18,'Locations Data'!$B:$B,LB$5)&gt;0,1,0)</f>
        <v>0</v>
      </c>
      <c r="LC18" s="6">
        <f>IF(SUMIFS('Locations Data'!$C:$C,'Locations Data'!$G:$G,$B18,'Locations Data'!$B:$B,LC$5)&gt;0,1,0)</f>
        <v>0</v>
      </c>
      <c r="LD18" s="6">
        <f>IF(SUMIFS('Locations Data'!$C:$C,'Locations Data'!$G:$G,$B18,'Locations Data'!$B:$B,LD$5)&gt;0,1,0)</f>
        <v>1</v>
      </c>
      <c r="LE18" s="6">
        <f>IF(SUMIFS('Locations Data'!$C:$C,'Locations Data'!$G:$G,$B18,'Locations Data'!$B:$B,LE$5)&gt;0,1,0)</f>
        <v>1</v>
      </c>
      <c r="LF18" s="6">
        <f>IF(SUMIFS('Locations Data'!$C:$C,'Locations Data'!$G:$G,$B18,'Locations Data'!$B:$B,LF$5)&gt;0,1,0)</f>
        <v>1</v>
      </c>
      <c r="LG18" s="6">
        <f>IF(SUMIFS('Locations Data'!$C:$C,'Locations Data'!$G:$G,$B18,'Locations Data'!$B:$B,LG$5)&gt;0,1,0)</f>
        <v>1</v>
      </c>
      <c r="LH18" s="6">
        <f>IF(SUMIFS('Locations Data'!$C:$C,'Locations Data'!$G:$G,$B18,'Locations Data'!$B:$B,LH$5)&gt;0,1,0)</f>
        <v>1</v>
      </c>
      <c r="LI18" s="6">
        <f>IF(SUMIFS('Locations Data'!$C:$C,'Locations Data'!$G:$G,$B18,'Locations Data'!$B:$B,LI$5)&gt;0,1,0)</f>
        <v>0</v>
      </c>
      <c r="LJ18" s="6">
        <f>IF(SUMIFS('Locations Data'!$C:$C,'Locations Data'!$G:$G,$B18,'Locations Data'!$B:$B,LJ$5)&gt;0,1,0)</f>
        <v>0</v>
      </c>
      <c r="LK18" s="6">
        <f>IF(SUMIFS('Locations Data'!$C:$C,'Locations Data'!$G:$G,$B18,'Locations Data'!$B:$B,LK$5)&gt;0,1,0)</f>
        <v>1</v>
      </c>
      <c r="LL18" s="6">
        <f>IF(SUMIFS('Locations Data'!$C:$C,'Locations Data'!$G:$G,$B18,'Locations Data'!$B:$B,LL$5)&gt;0,1,0)</f>
        <v>1</v>
      </c>
      <c r="LM18" s="6">
        <f>IF(SUMIFS('Locations Data'!$C:$C,'Locations Data'!$G:$G,$B18,'Locations Data'!$B:$B,LM$5)&gt;0,1,0)</f>
        <v>1</v>
      </c>
      <c r="LN18" s="6">
        <f>IF(SUMIFS('Locations Data'!$C:$C,'Locations Data'!$G:$G,$B18,'Locations Data'!$B:$B,LN$5)&gt;0,1,0)</f>
        <v>1</v>
      </c>
      <c r="LO18" s="6">
        <f>IF(SUMIFS('Locations Data'!$C:$C,'Locations Data'!$G:$G,$B18,'Locations Data'!$B:$B,LO$5)&gt;0,1,0)</f>
        <v>1</v>
      </c>
      <c r="LP18" s="6">
        <f>IF(SUMIFS('Locations Data'!$C:$C,'Locations Data'!$G:$G,$B18,'Locations Data'!$B:$B,LP$5)&gt;0,1,0)</f>
        <v>0</v>
      </c>
      <c r="LQ18" s="6">
        <f>IF(SUMIFS('Locations Data'!$C:$C,'Locations Data'!$G:$G,$B18,'Locations Data'!$B:$B,LQ$5)&gt;0,1,0)</f>
        <v>0</v>
      </c>
      <c r="LR18" s="6">
        <f>IF(SUMIFS('Locations Data'!$C:$C,'Locations Data'!$G:$G,$B18,'Locations Data'!$B:$B,LR$5)&gt;0,1,0)</f>
        <v>1</v>
      </c>
      <c r="LS18" s="6">
        <f>IF(SUMIFS('Locations Data'!$C:$C,'Locations Data'!$G:$G,$B18,'Locations Data'!$B:$B,LS$5)&gt;0,1,0)</f>
        <v>1</v>
      </c>
      <c r="LT18" s="6">
        <f>IF(SUMIFS('Locations Data'!$C:$C,'Locations Data'!$G:$G,$B18,'Locations Data'!$B:$B,LT$5)&gt;0,1,0)</f>
        <v>1</v>
      </c>
      <c r="LU18" s="6">
        <f>IF(SUMIFS('Locations Data'!$C:$C,'Locations Data'!$G:$G,$B18,'Locations Data'!$B:$B,LU$5)&gt;0,1,0)</f>
        <v>1</v>
      </c>
      <c r="LV18" s="6">
        <f>IF(SUMIFS('Locations Data'!$C:$C,'Locations Data'!$G:$G,$B18,'Locations Data'!$B:$B,LV$5)&gt;0,1,0)</f>
        <v>1</v>
      </c>
      <c r="LW18" s="6">
        <f>IF(SUMIFS('Locations Data'!$C:$C,'Locations Data'!$G:$G,$B18,'Locations Data'!$B:$B,LW$5)&gt;0,1,0)</f>
        <v>0</v>
      </c>
      <c r="LX18" s="6">
        <f>IF(SUMIFS('Locations Data'!$C:$C,'Locations Data'!$G:$G,$B18,'Locations Data'!$B:$B,LX$5)&gt;0,1,0)</f>
        <v>0</v>
      </c>
      <c r="LY18" s="6">
        <f>IF(SUMIFS('Locations Data'!$C:$C,'Locations Data'!$G:$G,$B18,'Locations Data'!$B:$B,LY$5)&gt;0,1,0)</f>
        <v>1</v>
      </c>
      <c r="LZ18" s="6">
        <f>IF(SUMIFS('Locations Data'!$C:$C,'Locations Data'!$G:$G,$B18,'Locations Data'!$B:$B,LZ$5)&gt;0,1,0)</f>
        <v>1</v>
      </c>
      <c r="MA18" s="6">
        <f>IF(SUMIFS('Locations Data'!$C:$C,'Locations Data'!$G:$G,$B18,'Locations Data'!$B:$B,MA$5)&gt;0,1,0)</f>
        <v>1</v>
      </c>
      <c r="MB18" s="6">
        <f>IF(SUMIFS('Locations Data'!$C:$C,'Locations Data'!$G:$G,$B18,'Locations Data'!$B:$B,MB$5)&gt;0,1,0)</f>
        <v>1</v>
      </c>
      <c r="MC18" s="6">
        <f>IF(SUMIFS('Locations Data'!$C:$C,'Locations Data'!$G:$G,$B18,'Locations Data'!$B:$B,MC$5)&gt;0,1,0)</f>
        <v>1</v>
      </c>
      <c r="MD18" s="6">
        <f>IF(SUMIFS('Locations Data'!$C:$C,'Locations Data'!$G:$G,$B18,'Locations Data'!$B:$B,MD$5)&gt;0,1,0)</f>
        <v>0</v>
      </c>
      <c r="ME18" s="6">
        <f>IF(SUMIFS('Locations Data'!$C:$C,'Locations Data'!$G:$G,$B18,'Locations Data'!$B:$B,ME$5)&gt;0,1,0)</f>
        <v>0</v>
      </c>
      <c r="MF18" s="6">
        <f>IF(SUMIFS('Locations Data'!$C:$C,'Locations Data'!$G:$G,$B18,'Locations Data'!$B:$B,MF$5)&gt;0,1,0)</f>
        <v>1</v>
      </c>
      <c r="MG18" s="6">
        <f>IF(SUMIFS('Locations Data'!$C:$C,'Locations Data'!$G:$G,$B18,'Locations Data'!$B:$B,MG$5)&gt;0,1,0)</f>
        <v>1</v>
      </c>
      <c r="MH18" s="6">
        <f>IF(SUMIFS('Locations Data'!$C:$C,'Locations Data'!$G:$G,$B18,'Locations Data'!$B:$B,MH$5)&gt;0,1,0)</f>
        <v>1</v>
      </c>
      <c r="MI18" s="6">
        <f>IF(SUMIFS('Locations Data'!$C:$C,'Locations Data'!$G:$G,$B18,'Locations Data'!$B:$B,MI$5)&gt;0,1,0)</f>
        <v>1</v>
      </c>
      <c r="MJ18" s="6">
        <f>IF(SUMIFS('Locations Data'!$C:$C,'Locations Data'!$G:$G,$B18,'Locations Data'!$B:$B,MJ$5)&gt;0,1,0)</f>
        <v>1</v>
      </c>
      <c r="MK18" s="6">
        <f>IF(SUMIFS('Locations Data'!$C:$C,'Locations Data'!$G:$G,$B18,'Locations Data'!$B:$B,MK$5)&gt;0,1,0)</f>
        <v>0</v>
      </c>
      <c r="ML18" s="6">
        <f>IF(SUMIFS('Locations Data'!$C:$C,'Locations Data'!$G:$G,$B18,'Locations Data'!$B:$B,ML$5)&gt;0,1,0)</f>
        <v>0</v>
      </c>
      <c r="MM18" s="6">
        <f>IF(SUMIFS('Locations Data'!$C:$C,'Locations Data'!$G:$G,$B18,'Locations Data'!$B:$B,MM$5)&gt;0,1,0)</f>
        <v>1</v>
      </c>
      <c r="MN18" s="6">
        <f>IF(SUMIFS('Locations Data'!$C:$C,'Locations Data'!$G:$G,$B18,'Locations Data'!$B:$B,MN$5)&gt;0,1,0)</f>
        <v>1</v>
      </c>
      <c r="MO18" s="6">
        <f>IF(SUMIFS('Locations Data'!$C:$C,'Locations Data'!$G:$G,$B18,'Locations Data'!$B:$B,MO$5)&gt;0,1,0)</f>
        <v>1</v>
      </c>
      <c r="MP18" s="6">
        <f>IF(SUMIFS('Locations Data'!$C:$C,'Locations Data'!$G:$G,$B18,'Locations Data'!$B:$B,MP$5)&gt;0,1,0)</f>
        <v>1</v>
      </c>
      <c r="MQ18" s="6">
        <f>IF(SUMIFS('Locations Data'!$C:$C,'Locations Data'!$G:$G,$B18,'Locations Data'!$B:$B,MQ$5)&gt;0,1,0)</f>
        <v>1</v>
      </c>
      <c r="MR18" s="6">
        <f>IF(SUMIFS('Locations Data'!$C:$C,'Locations Data'!$G:$G,$B18,'Locations Data'!$B:$B,MR$5)&gt;0,1,0)</f>
        <v>0</v>
      </c>
      <c r="MS18" s="6">
        <f>IF(SUMIFS('Locations Data'!$C:$C,'Locations Data'!$G:$G,$B18,'Locations Data'!$B:$B,MS$5)&gt;0,1,0)</f>
        <v>0</v>
      </c>
      <c r="MT18" s="6">
        <f>IF(SUMIFS('Locations Data'!$C:$C,'Locations Data'!$G:$G,$B18,'Locations Data'!$B:$B,MT$5)&gt;0,1,0)</f>
        <v>1</v>
      </c>
      <c r="MU18" s="6">
        <f>IF(SUMIFS('Locations Data'!$C:$C,'Locations Data'!$G:$G,$B18,'Locations Data'!$B:$B,MU$5)&gt;0,1,0)</f>
        <v>1</v>
      </c>
      <c r="MV18" s="6">
        <f>IF(SUMIFS('Locations Data'!$C:$C,'Locations Data'!$G:$G,$B18,'Locations Data'!$B:$B,MV$5)&gt;0,1,0)</f>
        <v>1</v>
      </c>
      <c r="MW18" s="26">
        <v>0</v>
      </c>
      <c r="MX18" s="6">
        <f>IF(SUMIFS('Locations Data'!$C:$C,'Locations Data'!$G:$G,$B18,'Locations Data'!$B:$B,MX$5)&gt;0,1,0)</f>
        <v>1</v>
      </c>
      <c r="MY18" s="6">
        <f>IF(SUMIFS('Locations Data'!$C:$C,'Locations Data'!$G:$G,$B18,'Locations Data'!$B:$B,MY$5)&gt;0,1,0)</f>
        <v>0</v>
      </c>
      <c r="MZ18" s="6">
        <f>IF(SUMIFS('Locations Data'!$C:$C,'Locations Data'!$G:$G,$B18,'Locations Data'!$B:$B,MZ$5)&gt;0,1,0)</f>
        <v>0</v>
      </c>
      <c r="NA18" s="6">
        <f>IF(SUMIFS('Locations Data'!$C:$C,'Locations Data'!$G:$G,$B18,'Locations Data'!$B:$B,NA$5)&gt;0,1,0)</f>
        <v>1</v>
      </c>
      <c r="NB18" s="6">
        <f>IF(SUMIFS('Locations Data'!$C:$C,'Locations Data'!$G:$G,$B18,'Locations Data'!$B:$B,NB$5)&gt;0,1,0)</f>
        <v>1</v>
      </c>
      <c r="NC18" s="6">
        <f>IF(SUMIFS('Locations Data'!$C:$C,'Locations Data'!$G:$G,$B18,'Locations Data'!$B:$B,NC$5)&gt;0,1,0)</f>
        <v>1</v>
      </c>
    </row>
    <row r="19" spans="2:367">
      <c r="B19" s="20" t="s">
        <v>313</v>
      </c>
      <c r="C19" s="6">
        <v>0</v>
      </c>
      <c r="D19" s="6">
        <f>IF(SUMIFS('Locations Data'!$C:$C,'Locations Data'!$G:$G,$B19,'Locations Data'!$B:$B,D$5)&gt;0,1,0)</f>
        <v>1</v>
      </c>
      <c r="E19" s="6">
        <f>IF(SUMIFS('Locations Data'!$C:$C,'Locations Data'!$G:$G,$B19,'Locations Data'!$B:$B,E$5)&gt;0,1,0)</f>
        <v>1</v>
      </c>
      <c r="F19" s="6">
        <f>IF(SUMIFS('Locations Data'!$C:$C,'Locations Data'!$G:$G,$B19,'Locations Data'!$B:$B,F$5)&gt;0,1,0)</f>
        <v>0</v>
      </c>
      <c r="G19" s="6">
        <f>IF(SUMIFS('Locations Data'!$C:$C,'Locations Data'!$G:$G,$B19,'Locations Data'!$B:$B,G$5)&gt;0,1,0)</f>
        <v>0</v>
      </c>
      <c r="H19" s="6">
        <f>IF(SUMIFS('Locations Data'!$C:$C,'Locations Data'!$G:$G,$B19,'Locations Data'!$B:$B,H$5)&gt;0,1,0)</f>
        <v>1</v>
      </c>
      <c r="I19" s="6">
        <f>IF(SUMIFS('Locations Data'!$C:$C,'Locations Data'!$G:$G,$B19,'Locations Data'!$B:$B,I$5)&gt;0,1,0)</f>
        <v>1</v>
      </c>
      <c r="J19" s="6">
        <f>IF(SUMIFS('Locations Data'!$C:$C,'Locations Data'!$G:$G,$B19,'Locations Data'!$B:$B,J$5)&gt;0,1,0)</f>
        <v>1</v>
      </c>
      <c r="K19" s="6">
        <f>IF(SUMIFS('Locations Data'!$C:$C,'Locations Data'!$G:$G,$B19,'Locations Data'!$B:$B,K$5)&gt;0,1,0)</f>
        <v>1</v>
      </c>
      <c r="L19" s="6">
        <f>IF(SUMIFS('Locations Data'!$C:$C,'Locations Data'!$G:$G,$B19,'Locations Data'!$B:$B,L$5)&gt;0,1,0)</f>
        <v>1</v>
      </c>
      <c r="M19" s="6">
        <f>IF(SUMIFS('Locations Data'!$C:$C,'Locations Data'!$G:$G,$B19,'Locations Data'!$B:$B,M$5)&gt;0,1,0)</f>
        <v>0</v>
      </c>
      <c r="N19" s="6">
        <f>IF(SUMIFS('Locations Data'!$C:$C,'Locations Data'!$G:$G,$B19,'Locations Data'!$B:$B,N$5)&gt;0,1,0)</f>
        <v>0</v>
      </c>
      <c r="O19" s="6">
        <f>IF(SUMIFS('Locations Data'!$C:$C,'Locations Data'!$G:$G,$B19,'Locations Data'!$B:$B,O$5)&gt;0,1,0)</f>
        <v>1</v>
      </c>
      <c r="P19" s="6">
        <f>IF(SUMIFS('Locations Data'!$C:$C,'Locations Data'!$G:$G,$B19,'Locations Data'!$B:$B,P$5)&gt;0,1,0)</f>
        <v>1</v>
      </c>
      <c r="Q19" s="6">
        <f>IF(SUMIFS('Locations Data'!$C:$C,'Locations Data'!$G:$G,$B19,'Locations Data'!$B:$B,Q$5)&gt;0,1,0)</f>
        <v>1</v>
      </c>
      <c r="R19" s="6">
        <f>IF(SUMIFS('Locations Data'!$C:$C,'Locations Data'!$G:$G,$B19,'Locations Data'!$B:$B,R$5)&gt;0,1,0)</f>
        <v>1</v>
      </c>
      <c r="S19" s="6">
        <f>IF(SUMIFS('Locations Data'!$C:$C,'Locations Data'!$G:$G,$B19,'Locations Data'!$B:$B,S$5)&gt;0,1,0)</f>
        <v>1</v>
      </c>
      <c r="T19" s="6">
        <f>IF(SUMIFS('Locations Data'!$C:$C,'Locations Data'!$G:$G,$B19,'Locations Data'!$B:$B,T$5)&gt;0,1,0)</f>
        <v>0</v>
      </c>
      <c r="U19" s="6">
        <f>IF(SUMIFS('Locations Data'!$C:$C,'Locations Data'!$G:$G,$B19,'Locations Data'!$B:$B,U$5)&gt;0,1,0)</f>
        <v>0</v>
      </c>
      <c r="V19" s="6">
        <f>IF(SUMIFS('Locations Data'!$C:$C,'Locations Data'!$G:$G,$B19,'Locations Data'!$B:$B,V$5)&gt;0,1,0)</f>
        <v>1</v>
      </c>
      <c r="W19" s="6">
        <f>IF(SUMIFS('Locations Data'!$C:$C,'Locations Data'!$G:$G,$B19,'Locations Data'!$B:$B,W$5)&gt;0,1,0)</f>
        <v>1</v>
      </c>
      <c r="X19" s="6">
        <f>IF(SUMIFS('Locations Data'!$C:$C,'Locations Data'!$G:$G,$B19,'Locations Data'!$B:$B,X$5)&gt;0,1,0)</f>
        <v>1</v>
      </c>
      <c r="Y19" s="6">
        <f>IF(SUMIFS('Locations Data'!$C:$C,'Locations Data'!$G:$G,$B19,'Locations Data'!$B:$B,Y$5)&gt;0,1,0)</f>
        <v>1</v>
      </c>
      <c r="Z19" s="6">
        <f>IF(SUMIFS('Locations Data'!$C:$C,'Locations Data'!$G:$G,$B19,'Locations Data'!$B:$B,Z$5)&gt;0,1,0)</f>
        <v>1</v>
      </c>
      <c r="AA19" s="6">
        <f>IF(SUMIFS('Locations Data'!$C:$C,'Locations Data'!$G:$G,$B19,'Locations Data'!$B:$B,AA$5)&gt;0,1,0)</f>
        <v>0</v>
      </c>
      <c r="AB19" s="6">
        <f>IF(SUMIFS('Locations Data'!$C:$C,'Locations Data'!$G:$G,$B19,'Locations Data'!$B:$B,AB$5)&gt;0,1,0)</f>
        <v>0</v>
      </c>
      <c r="AC19" s="6">
        <f>IF(SUMIFS('Locations Data'!$C:$C,'Locations Data'!$G:$G,$B19,'Locations Data'!$B:$B,AC$5)&gt;0,1,0)</f>
        <v>1</v>
      </c>
      <c r="AD19" s="6">
        <f>IF(SUMIFS('Locations Data'!$C:$C,'Locations Data'!$G:$G,$B19,'Locations Data'!$B:$B,AD$5)&gt;0,1,0)</f>
        <v>1</v>
      </c>
      <c r="AE19" s="6">
        <f>IF(SUMIFS('Locations Data'!$C:$C,'Locations Data'!$G:$G,$B19,'Locations Data'!$B:$B,AE$5)&gt;0,1,0)</f>
        <v>1</v>
      </c>
      <c r="AF19" s="6">
        <f>IF(SUMIFS('Locations Data'!$C:$C,'Locations Data'!$G:$G,$B19,'Locations Data'!$B:$B,AF$5)&gt;0,1,0)</f>
        <v>1</v>
      </c>
      <c r="AG19" s="6">
        <f>IF(SUMIFS('Locations Data'!$C:$C,'Locations Data'!$G:$G,$B19,'Locations Data'!$B:$B,AG$5)&gt;0,1,0)</f>
        <v>1</v>
      </c>
      <c r="AH19" s="6">
        <f>IF(SUMIFS('Locations Data'!$C:$C,'Locations Data'!$G:$G,$B19,'Locations Data'!$B:$B,AH$5)&gt;0,1,0)</f>
        <v>0</v>
      </c>
      <c r="AI19" s="6">
        <f>IF(SUMIFS('Locations Data'!$C:$C,'Locations Data'!$G:$G,$B19,'Locations Data'!$B:$B,AI$5)&gt;0,1,0)</f>
        <v>0</v>
      </c>
      <c r="AJ19" s="6">
        <f>IF(SUMIFS('Locations Data'!$C:$C,'Locations Data'!$G:$G,$B19,'Locations Data'!$B:$B,AJ$5)&gt;0,1,0)</f>
        <v>1</v>
      </c>
      <c r="AK19" s="6">
        <f>IF(SUMIFS('Locations Data'!$C:$C,'Locations Data'!$G:$G,$B19,'Locations Data'!$B:$B,AK$5)&gt;0,1,0)</f>
        <v>1</v>
      </c>
      <c r="AL19" s="6">
        <f>IF(SUMIFS('Locations Data'!$C:$C,'Locations Data'!$G:$G,$B19,'Locations Data'!$B:$B,AL$5)&gt;0,1,0)</f>
        <v>1</v>
      </c>
      <c r="AM19" s="6">
        <f>IF(SUMIFS('Locations Data'!$C:$C,'Locations Data'!$G:$G,$B19,'Locations Data'!$B:$B,AM$5)&gt;0,1,0)</f>
        <v>1</v>
      </c>
      <c r="AN19" s="6">
        <f>IF(SUMIFS('Locations Data'!$C:$C,'Locations Data'!$G:$G,$B19,'Locations Data'!$B:$B,AN$5)&gt;0,1,0)</f>
        <v>1</v>
      </c>
      <c r="AO19" s="6">
        <f>IF(SUMIFS('Locations Data'!$C:$C,'Locations Data'!$G:$G,$B19,'Locations Data'!$B:$B,AO$5)&gt;0,1,0)</f>
        <v>0</v>
      </c>
      <c r="AP19" s="6">
        <f>IF(SUMIFS('Locations Data'!$C:$C,'Locations Data'!$G:$G,$B19,'Locations Data'!$B:$B,AP$5)&gt;0,1,0)</f>
        <v>0</v>
      </c>
      <c r="AQ19" s="6">
        <f>IF(SUMIFS('Locations Data'!$C:$C,'Locations Data'!$G:$G,$B19,'Locations Data'!$B:$B,AQ$5)&gt;0,1,0)</f>
        <v>1</v>
      </c>
      <c r="AR19" s="6">
        <f>IF(SUMIFS('Locations Data'!$C:$C,'Locations Data'!$G:$G,$B19,'Locations Data'!$B:$B,AR$5)&gt;0,1,0)</f>
        <v>1</v>
      </c>
      <c r="AS19" s="6">
        <f>IF(SUMIFS('Locations Data'!$C:$C,'Locations Data'!$G:$G,$B19,'Locations Data'!$B:$B,AS$5)&gt;0,1,0)</f>
        <v>1</v>
      </c>
      <c r="AT19" s="6">
        <f>IF(SUMIFS('Locations Data'!$C:$C,'Locations Data'!$G:$G,$B19,'Locations Data'!$B:$B,AT$5)&gt;0,1,0)</f>
        <v>1</v>
      </c>
      <c r="AU19" s="6">
        <f>IF(SUMIFS('Locations Data'!$C:$C,'Locations Data'!$G:$G,$B19,'Locations Data'!$B:$B,AU$5)&gt;0,1,0)</f>
        <v>1</v>
      </c>
      <c r="AV19" s="6">
        <f>IF(SUMIFS('Locations Data'!$C:$C,'Locations Data'!$G:$G,$B19,'Locations Data'!$B:$B,AV$5)&gt;0,1,0)</f>
        <v>0</v>
      </c>
      <c r="AW19" s="6">
        <f>IF(SUMIFS('Locations Data'!$C:$C,'Locations Data'!$G:$G,$B19,'Locations Data'!$B:$B,AW$5)&gt;0,1,0)</f>
        <v>0</v>
      </c>
      <c r="AX19" s="6">
        <f>IF(SUMIFS('Locations Data'!$C:$C,'Locations Data'!$G:$G,$B19,'Locations Data'!$B:$B,AX$5)&gt;0,1,0)</f>
        <v>1</v>
      </c>
      <c r="AY19" s="6">
        <f>IF(SUMIFS('Locations Data'!$C:$C,'Locations Data'!$G:$G,$B19,'Locations Data'!$B:$B,AY$5)&gt;0,1,0)</f>
        <v>1</v>
      </c>
      <c r="AZ19" s="6">
        <f>IF(SUMIFS('Locations Data'!$C:$C,'Locations Data'!$G:$G,$B19,'Locations Data'!$B:$B,AZ$5)&gt;0,1,0)</f>
        <v>1</v>
      </c>
      <c r="BA19" s="6">
        <f>IF(SUMIFS('Locations Data'!$C:$C,'Locations Data'!$G:$G,$B19,'Locations Data'!$B:$B,BA$5)&gt;0,1,0)</f>
        <v>1</v>
      </c>
      <c r="BB19" s="6">
        <f>IF(SUMIFS('Locations Data'!$C:$C,'Locations Data'!$G:$G,$B19,'Locations Data'!$B:$B,BB$5)&gt;0,1,0)</f>
        <v>1</v>
      </c>
      <c r="BC19" s="6">
        <f>IF(SUMIFS('Locations Data'!$C:$C,'Locations Data'!$G:$G,$B19,'Locations Data'!$B:$B,BC$5)&gt;0,1,0)</f>
        <v>0</v>
      </c>
      <c r="BD19" s="6">
        <f>IF(SUMIFS('Locations Data'!$C:$C,'Locations Data'!$G:$G,$B19,'Locations Data'!$B:$B,BD$5)&gt;0,1,0)</f>
        <v>0</v>
      </c>
      <c r="BE19" s="6">
        <f>IF(SUMIFS('Locations Data'!$C:$C,'Locations Data'!$G:$G,$B19,'Locations Data'!$B:$B,BE$5)&gt;0,1,0)</f>
        <v>1</v>
      </c>
      <c r="BF19" s="6">
        <f>IF(SUMIFS('Locations Data'!$C:$C,'Locations Data'!$G:$G,$B19,'Locations Data'!$B:$B,BF$5)&gt;0,1,0)</f>
        <v>1</v>
      </c>
      <c r="BG19" s="6">
        <f>IF(SUMIFS('Locations Data'!$C:$C,'Locations Data'!$G:$G,$B19,'Locations Data'!$B:$B,BG$5)&gt;0,1,0)</f>
        <v>1</v>
      </c>
      <c r="BH19" s="6">
        <f>IF(SUMIFS('Locations Data'!$C:$C,'Locations Data'!$G:$G,$B19,'Locations Data'!$B:$B,BH$5)&gt;0,1,0)</f>
        <v>1</v>
      </c>
      <c r="BI19" s="6">
        <f>IF(SUMIFS('Locations Data'!$C:$C,'Locations Data'!$G:$G,$B19,'Locations Data'!$B:$B,BI$5)&gt;0,1,0)</f>
        <v>1</v>
      </c>
      <c r="BJ19" s="6">
        <f>IF(SUMIFS('Locations Data'!$C:$C,'Locations Data'!$G:$G,$B19,'Locations Data'!$B:$B,BJ$5)&gt;0,1,0)</f>
        <v>0</v>
      </c>
      <c r="BK19" s="6">
        <f>IF(SUMIFS('Locations Data'!$C:$C,'Locations Data'!$G:$G,$B19,'Locations Data'!$B:$B,BK$5)&gt;0,1,0)</f>
        <v>0</v>
      </c>
      <c r="BL19" s="6">
        <f>IF(SUMIFS('Locations Data'!$C:$C,'Locations Data'!$G:$G,$B19,'Locations Data'!$B:$B,BL$5)&gt;0,1,0)</f>
        <v>1</v>
      </c>
      <c r="BM19" s="6">
        <f>IF(SUMIFS('Locations Data'!$C:$C,'Locations Data'!$G:$G,$B19,'Locations Data'!$B:$B,BM$5)&gt;0,1,0)</f>
        <v>1</v>
      </c>
      <c r="BN19" s="6">
        <f>IF(SUMIFS('Locations Data'!$C:$C,'Locations Data'!$G:$G,$B19,'Locations Data'!$B:$B,BN$5)&gt;0,1,0)</f>
        <v>1</v>
      </c>
      <c r="BO19" s="6">
        <f>IF(SUMIFS('Locations Data'!$C:$C,'Locations Data'!$G:$G,$B19,'Locations Data'!$B:$B,BO$5)&gt;0,1,0)</f>
        <v>1</v>
      </c>
      <c r="BP19" s="6">
        <f>IF(SUMIFS('Locations Data'!$C:$C,'Locations Data'!$G:$G,$B19,'Locations Data'!$B:$B,BP$5)&gt;0,1,0)</f>
        <v>1</v>
      </c>
      <c r="BQ19" s="6">
        <f>IF(SUMIFS('Locations Data'!$C:$C,'Locations Data'!$G:$G,$B19,'Locations Data'!$B:$B,BQ$5)&gt;0,1,0)</f>
        <v>0</v>
      </c>
      <c r="BR19" s="6">
        <f>IF(SUMIFS('Locations Data'!$C:$C,'Locations Data'!$G:$G,$B19,'Locations Data'!$B:$B,BR$5)&gt;0,1,0)</f>
        <v>0</v>
      </c>
      <c r="BS19" s="6">
        <f>IF(SUMIFS('Locations Data'!$C:$C,'Locations Data'!$G:$G,$B19,'Locations Data'!$B:$B,BS$5)&gt;0,1,0)</f>
        <v>1</v>
      </c>
      <c r="BT19" s="6">
        <f>IF(SUMIFS('Locations Data'!$C:$C,'Locations Data'!$G:$G,$B19,'Locations Data'!$B:$B,BT$5)&gt;0,1,0)</f>
        <v>1</v>
      </c>
      <c r="BU19" s="6">
        <f>IF(SUMIFS('Locations Data'!$C:$C,'Locations Data'!$G:$G,$B19,'Locations Data'!$B:$B,BU$5)&gt;0,1,0)</f>
        <v>1</v>
      </c>
      <c r="BV19" s="6">
        <f>IF(SUMIFS('Locations Data'!$C:$C,'Locations Data'!$G:$G,$B19,'Locations Data'!$B:$B,BV$5)&gt;0,1,0)</f>
        <v>1</v>
      </c>
      <c r="BW19" s="6">
        <f>IF(SUMIFS('Locations Data'!$C:$C,'Locations Data'!$G:$G,$B19,'Locations Data'!$B:$B,BW$5)&gt;0,1,0)</f>
        <v>1</v>
      </c>
      <c r="BX19" s="6">
        <f>IF(SUMIFS('Locations Data'!$C:$C,'Locations Data'!$G:$G,$B19,'Locations Data'!$B:$B,BX$5)&gt;0,1,0)</f>
        <v>0</v>
      </c>
      <c r="BY19" s="6">
        <f>IF(SUMIFS('Locations Data'!$C:$C,'Locations Data'!$G:$G,$B19,'Locations Data'!$B:$B,BY$5)&gt;0,1,0)</f>
        <v>0</v>
      </c>
      <c r="BZ19" s="6">
        <f>IF(SUMIFS('Locations Data'!$C:$C,'Locations Data'!$G:$G,$B19,'Locations Data'!$B:$B,BZ$5)&gt;0,1,0)</f>
        <v>1</v>
      </c>
      <c r="CA19" s="6">
        <f>IF(SUMIFS('Locations Data'!$C:$C,'Locations Data'!$G:$G,$B19,'Locations Data'!$B:$B,CA$5)&gt;0,1,0)</f>
        <v>1</v>
      </c>
      <c r="CB19" s="6">
        <f>IF(SUMIFS('Locations Data'!$C:$C,'Locations Data'!$G:$G,$B19,'Locations Data'!$B:$B,CB$5)&gt;0,1,0)</f>
        <v>1</v>
      </c>
      <c r="CC19" s="6">
        <f>IF(SUMIFS('Locations Data'!$C:$C,'Locations Data'!$G:$G,$B19,'Locations Data'!$B:$B,CC$5)&gt;0,1,0)</f>
        <v>1</v>
      </c>
      <c r="CD19" s="6">
        <f>IF(SUMIFS('Locations Data'!$C:$C,'Locations Data'!$G:$G,$B19,'Locations Data'!$B:$B,CD$5)&gt;0,1,0)</f>
        <v>1</v>
      </c>
      <c r="CE19" s="6">
        <f>IF(SUMIFS('Locations Data'!$C:$C,'Locations Data'!$G:$G,$B19,'Locations Data'!$B:$B,CE$5)&gt;0,1,0)</f>
        <v>0</v>
      </c>
      <c r="CF19" s="6">
        <f>IF(SUMIFS('Locations Data'!$C:$C,'Locations Data'!$G:$G,$B19,'Locations Data'!$B:$B,CF$5)&gt;0,1,0)</f>
        <v>0</v>
      </c>
      <c r="CG19" s="6">
        <f>IF(SUMIFS('Locations Data'!$C:$C,'Locations Data'!$G:$G,$B19,'Locations Data'!$B:$B,CG$5)&gt;0,1,0)</f>
        <v>1</v>
      </c>
      <c r="CH19" s="6">
        <f>IF(SUMIFS('Locations Data'!$C:$C,'Locations Data'!$G:$G,$B19,'Locations Data'!$B:$B,CH$5)&gt;0,1,0)</f>
        <v>1</v>
      </c>
      <c r="CI19" s="6">
        <f>IF(SUMIFS('Locations Data'!$C:$C,'Locations Data'!$G:$G,$B19,'Locations Data'!$B:$B,CI$5)&gt;0,1,0)</f>
        <v>1</v>
      </c>
      <c r="CJ19" s="6">
        <f>IF(SUMIFS('Locations Data'!$C:$C,'Locations Data'!$G:$G,$B19,'Locations Data'!$B:$B,CJ$5)&gt;0,1,0)</f>
        <v>1</v>
      </c>
      <c r="CK19" s="6">
        <f>IF(SUMIFS('Locations Data'!$C:$C,'Locations Data'!$G:$G,$B19,'Locations Data'!$B:$B,CK$5)&gt;0,1,0)</f>
        <v>1</v>
      </c>
      <c r="CL19" s="6">
        <f>IF(SUMIFS('Locations Data'!$C:$C,'Locations Data'!$G:$G,$B19,'Locations Data'!$B:$B,CL$5)&gt;0,1,0)</f>
        <v>0</v>
      </c>
      <c r="CM19" s="6">
        <f>IF(SUMIFS('Locations Data'!$C:$C,'Locations Data'!$G:$G,$B19,'Locations Data'!$B:$B,CM$5)&gt;0,1,0)</f>
        <v>0</v>
      </c>
      <c r="CN19" s="6">
        <f>IF(SUMIFS('Locations Data'!$C:$C,'Locations Data'!$G:$G,$B19,'Locations Data'!$B:$B,CN$5)&gt;0,1,0)</f>
        <v>1</v>
      </c>
      <c r="CO19" s="6">
        <f>IF(SUMIFS('Locations Data'!$C:$C,'Locations Data'!$G:$G,$B19,'Locations Data'!$B:$B,CO$5)&gt;0,1,0)</f>
        <v>1</v>
      </c>
      <c r="CP19" s="6">
        <f>IF(SUMIFS('Locations Data'!$C:$C,'Locations Data'!$G:$G,$B19,'Locations Data'!$B:$B,CP$5)&gt;0,1,0)</f>
        <v>1</v>
      </c>
      <c r="CQ19" s="6">
        <f>IF(SUMIFS('Locations Data'!$C:$C,'Locations Data'!$G:$G,$B19,'Locations Data'!$B:$B,CQ$5)&gt;0,1,0)</f>
        <v>1</v>
      </c>
      <c r="CR19" s="6">
        <f>IF(SUMIFS('Locations Data'!$C:$C,'Locations Data'!$G:$G,$B19,'Locations Data'!$B:$B,CR$5)&gt;0,1,0)</f>
        <v>1</v>
      </c>
      <c r="CS19" s="6">
        <f>IF(SUMIFS('Locations Data'!$C:$C,'Locations Data'!$G:$G,$B19,'Locations Data'!$B:$B,CS$5)&gt;0,1,0)</f>
        <v>0</v>
      </c>
      <c r="CT19" s="6">
        <f>IF(SUMIFS('Locations Data'!$C:$C,'Locations Data'!$G:$G,$B19,'Locations Data'!$B:$B,CT$5)&gt;0,1,0)</f>
        <v>0</v>
      </c>
      <c r="CU19" s="6">
        <f>IF(SUMIFS('Locations Data'!$C:$C,'Locations Data'!$G:$G,$B19,'Locations Data'!$B:$B,CU$5)&gt;0,1,0)</f>
        <v>1</v>
      </c>
      <c r="CV19" s="6">
        <f>IF(SUMIFS('Locations Data'!$C:$C,'Locations Data'!$G:$G,$B19,'Locations Data'!$B:$B,CV$5)&gt;0,1,0)</f>
        <v>1</v>
      </c>
      <c r="CW19" s="6">
        <f>IF(SUMIFS('Locations Data'!$C:$C,'Locations Data'!$G:$G,$B19,'Locations Data'!$B:$B,CW$5)&gt;0,1,0)</f>
        <v>1</v>
      </c>
      <c r="CX19" s="6">
        <f>IF(SUMIFS('Locations Data'!$C:$C,'Locations Data'!$G:$G,$B19,'Locations Data'!$B:$B,CX$5)&gt;0,1,0)</f>
        <v>1</v>
      </c>
      <c r="CY19" s="6">
        <f>IF(SUMIFS('Locations Data'!$C:$C,'Locations Data'!$G:$G,$B19,'Locations Data'!$B:$B,CY$5)&gt;0,1,0)</f>
        <v>1</v>
      </c>
      <c r="CZ19" s="6">
        <f>IF(SUMIFS('Locations Data'!$C:$C,'Locations Data'!$G:$G,$B19,'Locations Data'!$B:$B,CZ$5)&gt;0,1,0)</f>
        <v>0</v>
      </c>
      <c r="DA19" s="6">
        <f>IF(SUMIFS('Locations Data'!$C:$C,'Locations Data'!$G:$G,$B19,'Locations Data'!$B:$B,DA$5)&gt;0,1,0)</f>
        <v>0</v>
      </c>
      <c r="DB19" s="6">
        <f>IF(SUMIFS('Locations Data'!$C:$C,'Locations Data'!$G:$G,$B19,'Locations Data'!$B:$B,DB$5)&gt;0,1,0)</f>
        <v>1</v>
      </c>
      <c r="DC19" s="6">
        <f>IF(SUMIFS('Locations Data'!$C:$C,'Locations Data'!$G:$G,$B19,'Locations Data'!$B:$B,DC$5)&gt;0,1,0)</f>
        <v>1</v>
      </c>
      <c r="DD19" s="6">
        <f>IF(SUMIFS('Locations Data'!$C:$C,'Locations Data'!$G:$G,$B19,'Locations Data'!$B:$B,DD$5)&gt;0,1,0)</f>
        <v>1</v>
      </c>
      <c r="DE19" s="6">
        <f>IF(SUMIFS('Locations Data'!$C:$C,'Locations Data'!$G:$G,$B19,'Locations Data'!$B:$B,DE$5)&gt;0,1,0)</f>
        <v>1</v>
      </c>
      <c r="DF19" s="6">
        <f>IF(SUMIFS('Locations Data'!$C:$C,'Locations Data'!$G:$G,$B19,'Locations Data'!$B:$B,DF$5)&gt;0,1,0)</f>
        <v>1</v>
      </c>
      <c r="DG19" s="6">
        <f>IF(SUMIFS('Locations Data'!$C:$C,'Locations Data'!$G:$G,$B19,'Locations Data'!$B:$B,DG$5)&gt;0,1,0)</f>
        <v>0</v>
      </c>
      <c r="DH19" s="6">
        <f>IF(SUMIFS('Locations Data'!$C:$C,'Locations Data'!$G:$G,$B19,'Locations Data'!$B:$B,DH$5)&gt;0,1,0)</f>
        <v>0</v>
      </c>
      <c r="DI19" s="6">
        <f>IF(SUMIFS('Locations Data'!$C:$C,'Locations Data'!$G:$G,$B19,'Locations Data'!$B:$B,DI$5)&gt;0,1,0)</f>
        <v>1</v>
      </c>
      <c r="DJ19" s="6">
        <f>IF(SUMIFS('Locations Data'!$C:$C,'Locations Data'!$G:$G,$B19,'Locations Data'!$B:$B,DJ$5)&gt;0,1,0)</f>
        <v>1</v>
      </c>
      <c r="DK19" s="6">
        <f>IF(SUMIFS('Locations Data'!$C:$C,'Locations Data'!$G:$G,$B19,'Locations Data'!$B:$B,DK$5)&gt;0,1,0)</f>
        <v>1</v>
      </c>
      <c r="DL19" s="6">
        <f>IF(SUMIFS('Locations Data'!$C:$C,'Locations Data'!$G:$G,$B19,'Locations Data'!$B:$B,DL$5)&gt;0,1,0)</f>
        <v>1</v>
      </c>
      <c r="DM19" s="6">
        <f>IF(SUMIFS('Locations Data'!$C:$C,'Locations Data'!$G:$G,$B19,'Locations Data'!$B:$B,DM$5)&gt;0,1,0)</f>
        <v>1</v>
      </c>
      <c r="DN19" s="6">
        <f>IF(SUMIFS('Locations Data'!$C:$C,'Locations Data'!$G:$G,$B19,'Locations Data'!$B:$B,DN$5)&gt;0,1,0)</f>
        <v>0</v>
      </c>
      <c r="DO19" s="6">
        <f>IF(SUMIFS('Locations Data'!$C:$C,'Locations Data'!$G:$G,$B19,'Locations Data'!$B:$B,DO$5)&gt;0,1,0)</f>
        <v>0</v>
      </c>
      <c r="DP19" s="6">
        <f>IF(SUMIFS('Locations Data'!$C:$C,'Locations Data'!$G:$G,$B19,'Locations Data'!$B:$B,DP$5)&gt;0,1,0)</f>
        <v>1</v>
      </c>
      <c r="DQ19" s="6">
        <f>IF(SUMIFS('Locations Data'!$C:$C,'Locations Data'!$G:$G,$B19,'Locations Data'!$B:$B,DQ$5)&gt;0,1,0)</f>
        <v>1</v>
      </c>
      <c r="DR19" s="6">
        <f>IF(SUMIFS('Locations Data'!$C:$C,'Locations Data'!$G:$G,$B19,'Locations Data'!$B:$B,DR$5)&gt;0,1,0)</f>
        <v>1</v>
      </c>
      <c r="DS19" s="6">
        <f>IF(SUMIFS('Locations Data'!$C:$C,'Locations Data'!$G:$G,$B19,'Locations Data'!$B:$B,DS$5)&gt;0,1,0)</f>
        <v>1</v>
      </c>
      <c r="DT19" s="6">
        <f>IF(SUMIFS('Locations Data'!$C:$C,'Locations Data'!$G:$G,$B19,'Locations Data'!$B:$B,DT$5)&gt;0,1,0)</f>
        <v>1</v>
      </c>
      <c r="DU19" s="6">
        <f>IF(SUMIFS('Locations Data'!$C:$C,'Locations Data'!$G:$G,$B19,'Locations Data'!$B:$B,DU$5)&gt;0,1,0)</f>
        <v>0</v>
      </c>
      <c r="DV19" s="6">
        <f>IF(SUMIFS('Locations Data'!$C:$C,'Locations Data'!$G:$G,$B19,'Locations Data'!$B:$B,DV$5)&gt;0,1,0)</f>
        <v>0</v>
      </c>
      <c r="DW19" s="6">
        <f>IF(SUMIFS('Locations Data'!$C:$C,'Locations Data'!$G:$G,$B19,'Locations Data'!$B:$B,DW$5)&gt;0,1,0)</f>
        <v>1</v>
      </c>
      <c r="DX19" s="6">
        <f>IF(SUMIFS('Locations Data'!$C:$C,'Locations Data'!$G:$G,$B19,'Locations Data'!$B:$B,DX$5)&gt;0,1,0)</f>
        <v>1</v>
      </c>
      <c r="DY19" s="6">
        <f>IF(SUMIFS('Locations Data'!$C:$C,'Locations Data'!$G:$G,$B19,'Locations Data'!$B:$B,DY$5)&gt;0,1,0)</f>
        <v>1</v>
      </c>
      <c r="DZ19" s="6">
        <f>IF(SUMIFS('Locations Data'!$C:$C,'Locations Data'!$G:$G,$B19,'Locations Data'!$B:$B,DZ$5)&gt;0,1,0)</f>
        <v>1</v>
      </c>
      <c r="EA19" s="6">
        <f>IF(SUMIFS('Locations Data'!$C:$C,'Locations Data'!$G:$G,$B19,'Locations Data'!$B:$B,EA$5)&gt;0,1,0)</f>
        <v>1</v>
      </c>
      <c r="EB19" s="6">
        <f>IF(SUMIFS('Locations Data'!$C:$C,'Locations Data'!$G:$G,$B19,'Locations Data'!$B:$B,EB$5)&gt;0,1,0)</f>
        <v>0</v>
      </c>
      <c r="EC19" s="6">
        <f>IF(SUMIFS('Locations Data'!$C:$C,'Locations Data'!$G:$G,$B19,'Locations Data'!$B:$B,EC$5)&gt;0,1,0)</f>
        <v>0</v>
      </c>
      <c r="ED19" s="6">
        <f>IF(SUMIFS('Locations Data'!$C:$C,'Locations Data'!$G:$G,$B19,'Locations Data'!$B:$B,ED$5)&gt;0,1,0)</f>
        <v>1</v>
      </c>
      <c r="EE19" s="6">
        <f>IF(SUMIFS('Locations Data'!$C:$C,'Locations Data'!$G:$G,$B19,'Locations Data'!$B:$B,EE$5)&gt;0,1,0)</f>
        <v>1</v>
      </c>
      <c r="EF19" s="6">
        <f>IF(SUMIFS('Locations Data'!$C:$C,'Locations Data'!$G:$G,$B19,'Locations Data'!$B:$B,EF$5)&gt;0,1,0)</f>
        <v>1</v>
      </c>
      <c r="EG19" s="6">
        <f>IF(SUMIFS('Locations Data'!$C:$C,'Locations Data'!$G:$G,$B19,'Locations Data'!$B:$B,EG$5)&gt;0,1,0)</f>
        <v>1</v>
      </c>
      <c r="EH19" s="6">
        <f>IF(SUMIFS('Locations Data'!$C:$C,'Locations Data'!$G:$G,$B19,'Locations Data'!$B:$B,EH$5)&gt;0,1,0)</f>
        <v>1</v>
      </c>
      <c r="EI19" s="6">
        <f>IF(SUMIFS('Locations Data'!$C:$C,'Locations Data'!$G:$G,$B19,'Locations Data'!$B:$B,EI$5)&gt;0,1,0)</f>
        <v>0</v>
      </c>
      <c r="EJ19" s="6">
        <f>IF(SUMIFS('Locations Data'!$C:$C,'Locations Data'!$G:$G,$B19,'Locations Data'!$B:$B,EJ$5)&gt;0,1,0)</f>
        <v>0</v>
      </c>
      <c r="EK19" s="6">
        <f>IF(SUMIFS('Locations Data'!$C:$C,'Locations Data'!$G:$G,$B19,'Locations Data'!$B:$B,EK$5)&gt;0,1,0)</f>
        <v>1</v>
      </c>
      <c r="EL19" s="6">
        <f>IF(SUMIFS('Locations Data'!$C:$C,'Locations Data'!$G:$G,$B19,'Locations Data'!$B:$B,EL$5)&gt;0,1,0)</f>
        <v>1</v>
      </c>
      <c r="EM19" s="6">
        <f>IF(SUMIFS('Locations Data'!$C:$C,'Locations Data'!$G:$G,$B19,'Locations Data'!$B:$B,EM$5)&gt;0,1,0)</f>
        <v>1</v>
      </c>
      <c r="EN19" s="6">
        <f>IF(SUMIFS('Locations Data'!$C:$C,'Locations Data'!$G:$G,$B19,'Locations Data'!$B:$B,EN$5)&gt;0,1,0)</f>
        <v>1</v>
      </c>
      <c r="EO19" s="6">
        <f>IF(SUMIFS('Locations Data'!$C:$C,'Locations Data'!$G:$G,$B19,'Locations Data'!$B:$B,EO$5)&gt;0,1,0)</f>
        <v>1</v>
      </c>
      <c r="EP19" s="6">
        <f>IF(SUMIFS('Locations Data'!$C:$C,'Locations Data'!$G:$G,$B19,'Locations Data'!$B:$B,EP$5)&gt;0,1,0)</f>
        <v>0</v>
      </c>
      <c r="EQ19" s="6">
        <f>IF(SUMIFS('Locations Data'!$C:$C,'Locations Data'!$G:$G,$B19,'Locations Data'!$B:$B,EQ$5)&gt;0,1,0)</f>
        <v>0</v>
      </c>
      <c r="ER19" s="6">
        <f>IF(SUMIFS('Locations Data'!$C:$C,'Locations Data'!$G:$G,$B19,'Locations Data'!$B:$B,ER$5)&gt;0,1,0)</f>
        <v>1</v>
      </c>
      <c r="ES19" s="6">
        <f>IF(SUMIFS('Locations Data'!$C:$C,'Locations Data'!$G:$G,$B19,'Locations Data'!$B:$B,ES$5)&gt;0,1,0)</f>
        <v>1</v>
      </c>
      <c r="ET19" s="6">
        <f>IF(SUMIFS('Locations Data'!$C:$C,'Locations Data'!$G:$G,$B19,'Locations Data'!$B:$B,ET$5)&gt;0,1,0)</f>
        <v>1</v>
      </c>
      <c r="EU19" s="6">
        <f>IF(SUMIFS('Locations Data'!$C:$C,'Locations Data'!$G:$G,$B19,'Locations Data'!$B:$B,EU$5)&gt;0,1,0)</f>
        <v>1</v>
      </c>
      <c r="EV19" s="6">
        <f>IF(SUMIFS('Locations Data'!$C:$C,'Locations Data'!$G:$G,$B19,'Locations Data'!$B:$B,EV$5)&gt;0,1,0)</f>
        <v>1</v>
      </c>
      <c r="EW19" s="6">
        <f>IF(SUMIFS('Locations Data'!$C:$C,'Locations Data'!$G:$G,$B19,'Locations Data'!$B:$B,EW$5)&gt;0,1,0)</f>
        <v>0</v>
      </c>
      <c r="EX19" s="6">
        <f>IF(SUMIFS('Locations Data'!$C:$C,'Locations Data'!$G:$G,$B19,'Locations Data'!$B:$B,EX$5)&gt;0,1,0)</f>
        <v>0</v>
      </c>
      <c r="EY19" s="6">
        <f>IF(SUMIFS('Locations Data'!$C:$C,'Locations Data'!$G:$G,$B19,'Locations Data'!$B:$B,EY$5)&gt;0,1,0)</f>
        <v>1</v>
      </c>
      <c r="EZ19" s="6">
        <f>IF(SUMIFS('Locations Data'!$C:$C,'Locations Data'!$G:$G,$B19,'Locations Data'!$B:$B,EZ$5)&gt;0,1,0)</f>
        <v>1</v>
      </c>
      <c r="FA19" s="6">
        <f>IF(SUMIFS('Locations Data'!$C:$C,'Locations Data'!$G:$G,$B19,'Locations Data'!$B:$B,FA$5)&gt;0,1,0)</f>
        <v>1</v>
      </c>
      <c r="FB19" s="6">
        <f>IF(SUMIFS('Locations Data'!$C:$C,'Locations Data'!$G:$G,$B19,'Locations Data'!$B:$B,FB$5)&gt;0,1,0)</f>
        <v>1</v>
      </c>
      <c r="FC19" s="6">
        <f>IF(SUMIFS('Locations Data'!$C:$C,'Locations Data'!$G:$G,$B19,'Locations Data'!$B:$B,FC$5)&gt;0,1,0)</f>
        <v>1</v>
      </c>
      <c r="FD19" s="6">
        <f>IF(SUMIFS('Locations Data'!$C:$C,'Locations Data'!$G:$G,$B19,'Locations Data'!$B:$B,FD$5)&gt;0,1,0)</f>
        <v>0</v>
      </c>
      <c r="FE19" s="6">
        <f>IF(SUMIFS('Locations Data'!$C:$C,'Locations Data'!$G:$G,$B19,'Locations Data'!$B:$B,FE$5)&gt;0,1,0)</f>
        <v>0</v>
      </c>
      <c r="FF19" s="6">
        <f>IF(SUMIFS('Locations Data'!$C:$C,'Locations Data'!$G:$G,$B19,'Locations Data'!$B:$B,FF$5)&gt;0,1,0)</f>
        <v>1</v>
      </c>
      <c r="FG19" s="6">
        <f>IF(SUMIFS('Locations Data'!$C:$C,'Locations Data'!$G:$G,$B19,'Locations Data'!$B:$B,FG$5)&gt;0,1,0)</f>
        <v>1</v>
      </c>
      <c r="FH19" s="6">
        <f>IF(SUMIFS('Locations Data'!$C:$C,'Locations Data'!$G:$G,$B19,'Locations Data'!$B:$B,FH$5)&gt;0,1,0)</f>
        <v>1</v>
      </c>
      <c r="FI19" s="6">
        <f>IF(SUMIFS('Locations Data'!$C:$C,'Locations Data'!$G:$G,$B19,'Locations Data'!$B:$B,FI$5)&gt;0,1,0)</f>
        <v>1</v>
      </c>
      <c r="FJ19" s="6">
        <f>IF(SUMIFS('Locations Data'!$C:$C,'Locations Data'!$G:$G,$B19,'Locations Data'!$B:$B,FJ$5)&gt;0,1,0)</f>
        <v>1</v>
      </c>
      <c r="FK19" s="6">
        <f>IF(SUMIFS('Locations Data'!$C:$C,'Locations Data'!$G:$G,$B19,'Locations Data'!$B:$B,FK$5)&gt;0,1,0)</f>
        <v>0</v>
      </c>
      <c r="FL19" s="6">
        <f>IF(SUMIFS('Locations Data'!$C:$C,'Locations Data'!$G:$G,$B19,'Locations Data'!$B:$B,FL$5)&gt;0,1,0)</f>
        <v>0</v>
      </c>
      <c r="FM19" s="6">
        <f>IF(SUMIFS('Locations Data'!$C:$C,'Locations Data'!$G:$G,$B19,'Locations Data'!$B:$B,FM$5)&gt;0,1,0)</f>
        <v>1</v>
      </c>
      <c r="FN19" s="6">
        <f>IF(SUMIFS('Locations Data'!$C:$C,'Locations Data'!$G:$G,$B19,'Locations Data'!$B:$B,FN$5)&gt;0,1,0)</f>
        <v>1</v>
      </c>
      <c r="FO19" s="6">
        <f>IF(SUMIFS('Locations Data'!$C:$C,'Locations Data'!$G:$G,$B19,'Locations Data'!$B:$B,FO$5)&gt;0,1,0)</f>
        <v>1</v>
      </c>
      <c r="FP19" s="6">
        <f>IF(SUMIFS('Locations Data'!$C:$C,'Locations Data'!$G:$G,$B19,'Locations Data'!$B:$B,FP$5)&gt;0,1,0)</f>
        <v>1</v>
      </c>
      <c r="FQ19" s="6">
        <f>IF(SUMIFS('Locations Data'!$C:$C,'Locations Data'!$G:$G,$B19,'Locations Data'!$B:$B,FQ$5)&gt;0,1,0)</f>
        <v>1</v>
      </c>
      <c r="FR19" s="6">
        <f>IF(SUMIFS('Locations Data'!$C:$C,'Locations Data'!$G:$G,$B19,'Locations Data'!$B:$B,FR$5)&gt;0,1,0)</f>
        <v>0</v>
      </c>
      <c r="FS19" s="6">
        <f>IF(SUMIFS('Locations Data'!$C:$C,'Locations Data'!$G:$G,$B19,'Locations Data'!$B:$B,FS$5)&gt;0,1,0)</f>
        <v>0</v>
      </c>
      <c r="FT19" s="6">
        <f>IF(SUMIFS('Locations Data'!$C:$C,'Locations Data'!$G:$G,$B19,'Locations Data'!$B:$B,FT$5)&gt;0,1,0)</f>
        <v>1</v>
      </c>
      <c r="FU19" s="6">
        <f>IF(SUMIFS('Locations Data'!$C:$C,'Locations Data'!$G:$G,$B19,'Locations Data'!$B:$B,FU$5)&gt;0,1,0)</f>
        <v>1</v>
      </c>
      <c r="FV19" s="6">
        <f>IF(SUMIFS('Locations Data'!$C:$C,'Locations Data'!$G:$G,$B19,'Locations Data'!$B:$B,FV$5)&gt;0,1,0)</f>
        <v>1</v>
      </c>
      <c r="FW19" s="6">
        <f>IF(SUMIFS('Locations Data'!$C:$C,'Locations Data'!$G:$G,$B19,'Locations Data'!$B:$B,FW$5)&gt;0,1,0)</f>
        <v>1</v>
      </c>
      <c r="FX19" s="6">
        <f>IF(SUMIFS('Locations Data'!$C:$C,'Locations Data'!$G:$G,$B19,'Locations Data'!$B:$B,FX$5)&gt;0,1,0)</f>
        <v>1</v>
      </c>
      <c r="FY19" s="6">
        <f>IF(SUMIFS('Locations Data'!$C:$C,'Locations Data'!$G:$G,$B19,'Locations Data'!$B:$B,FY$5)&gt;0,1,0)</f>
        <v>0</v>
      </c>
      <c r="FZ19" s="6">
        <f>IF(SUMIFS('Locations Data'!$C:$C,'Locations Data'!$G:$G,$B19,'Locations Data'!$B:$B,FZ$5)&gt;0,1,0)</f>
        <v>0</v>
      </c>
      <c r="GA19" s="6">
        <f>IF(SUMIFS('Locations Data'!$C:$C,'Locations Data'!$G:$G,$B19,'Locations Data'!$B:$B,GA$5)&gt;0,1,0)</f>
        <v>1</v>
      </c>
      <c r="GB19" s="6">
        <f>IF(SUMIFS('Locations Data'!$C:$C,'Locations Data'!$G:$G,$B19,'Locations Data'!$B:$B,GB$5)&gt;0,1,0)</f>
        <v>1</v>
      </c>
      <c r="GC19" s="6">
        <f>IF(SUMIFS('Locations Data'!$C:$C,'Locations Data'!$G:$G,$B19,'Locations Data'!$B:$B,GC$5)&gt;0,1,0)</f>
        <v>1</v>
      </c>
      <c r="GD19" s="6">
        <f>IF(SUMIFS('Locations Data'!$C:$C,'Locations Data'!$G:$G,$B19,'Locations Data'!$B:$B,GD$5)&gt;0,1,0)</f>
        <v>1</v>
      </c>
      <c r="GE19" s="6">
        <f>IF(SUMIFS('Locations Data'!$C:$C,'Locations Data'!$G:$G,$B19,'Locations Data'!$B:$B,GE$5)&gt;0,1,0)</f>
        <v>1</v>
      </c>
      <c r="GF19" s="6">
        <f>IF(SUMIFS('Locations Data'!$C:$C,'Locations Data'!$G:$G,$B19,'Locations Data'!$B:$B,GF$5)&gt;0,1,0)</f>
        <v>0</v>
      </c>
      <c r="GG19" s="6">
        <f>IF(SUMIFS('Locations Data'!$C:$C,'Locations Data'!$G:$G,$B19,'Locations Data'!$B:$B,GG$5)&gt;0,1,0)</f>
        <v>0</v>
      </c>
      <c r="GH19" s="6">
        <f>IF(SUMIFS('Locations Data'!$C:$C,'Locations Data'!$G:$G,$B19,'Locations Data'!$B:$B,GH$5)&gt;0,1,0)</f>
        <v>1</v>
      </c>
      <c r="GI19" s="6">
        <f>IF(SUMIFS('Locations Data'!$C:$C,'Locations Data'!$G:$G,$B19,'Locations Data'!$B:$B,GI$5)&gt;0,1,0)</f>
        <v>1</v>
      </c>
      <c r="GJ19" s="6">
        <f>IF(SUMIFS('Locations Data'!$C:$C,'Locations Data'!$G:$G,$B19,'Locations Data'!$B:$B,GJ$5)&gt;0,1,0)</f>
        <v>1</v>
      </c>
      <c r="GK19" s="6">
        <f>IF(SUMIFS('Locations Data'!$C:$C,'Locations Data'!$G:$G,$B19,'Locations Data'!$B:$B,GK$5)&gt;0,1,0)</f>
        <v>1</v>
      </c>
      <c r="GL19" s="6">
        <f>IF(SUMIFS('Locations Data'!$C:$C,'Locations Data'!$G:$G,$B19,'Locations Data'!$B:$B,GL$5)&gt;0,1,0)</f>
        <v>1</v>
      </c>
      <c r="GM19" s="6">
        <f>IF(SUMIFS('Locations Data'!$C:$C,'Locations Data'!$G:$G,$B19,'Locations Data'!$B:$B,GM$5)&gt;0,1,0)</f>
        <v>0</v>
      </c>
      <c r="GN19" s="6">
        <f>IF(SUMIFS('Locations Data'!$C:$C,'Locations Data'!$G:$G,$B19,'Locations Data'!$B:$B,GN$5)&gt;0,1,0)</f>
        <v>0</v>
      </c>
      <c r="GO19" s="6">
        <f>IF(SUMIFS('Locations Data'!$C:$C,'Locations Data'!$G:$G,$B19,'Locations Data'!$B:$B,GO$5)&gt;0,1,0)</f>
        <v>1</v>
      </c>
      <c r="GP19" s="6">
        <f>IF(SUMIFS('Locations Data'!$C:$C,'Locations Data'!$G:$G,$B19,'Locations Data'!$B:$B,GP$5)&gt;0,1,0)</f>
        <v>1</v>
      </c>
      <c r="GQ19" s="6">
        <f>IF(SUMIFS('Locations Data'!$C:$C,'Locations Data'!$G:$G,$B19,'Locations Data'!$B:$B,GQ$5)&gt;0,1,0)</f>
        <v>1</v>
      </c>
      <c r="GR19" s="6">
        <f>IF(SUMIFS('Locations Data'!$C:$C,'Locations Data'!$G:$G,$B19,'Locations Data'!$B:$B,GR$5)&gt;0,1,0)</f>
        <v>1</v>
      </c>
      <c r="GS19" s="6">
        <f>IF(SUMIFS('Locations Data'!$C:$C,'Locations Data'!$G:$G,$B19,'Locations Data'!$B:$B,GS$5)&gt;0,1,0)</f>
        <v>1</v>
      </c>
      <c r="GT19" s="6">
        <f>IF(SUMIFS('Locations Data'!$C:$C,'Locations Data'!$G:$G,$B19,'Locations Data'!$B:$B,GT$5)&gt;0,1,0)</f>
        <v>0</v>
      </c>
      <c r="GU19" s="6">
        <f>IF(SUMIFS('Locations Data'!$C:$C,'Locations Data'!$G:$G,$B19,'Locations Data'!$B:$B,GU$5)&gt;0,1,0)</f>
        <v>0</v>
      </c>
      <c r="GV19" s="6">
        <f>IF(SUMIFS('Locations Data'!$C:$C,'Locations Data'!$G:$G,$B19,'Locations Data'!$B:$B,GV$5)&gt;0,1,0)</f>
        <v>1</v>
      </c>
      <c r="GW19" s="6">
        <f>IF(SUMIFS('Locations Data'!$C:$C,'Locations Data'!$G:$G,$B19,'Locations Data'!$B:$B,GW$5)&gt;0,1,0)</f>
        <v>1</v>
      </c>
      <c r="GX19" s="6">
        <f>IF(SUMIFS('Locations Data'!$C:$C,'Locations Data'!$G:$G,$B19,'Locations Data'!$B:$B,GX$5)&gt;0,1,0)</f>
        <v>1</v>
      </c>
      <c r="GY19" s="6">
        <f>IF(SUMIFS('Locations Data'!$C:$C,'Locations Data'!$G:$G,$B19,'Locations Data'!$B:$B,GY$5)&gt;0,1,0)</f>
        <v>1</v>
      </c>
      <c r="GZ19" s="6">
        <f>IF(SUMIFS('Locations Data'!$C:$C,'Locations Data'!$G:$G,$B19,'Locations Data'!$B:$B,GZ$5)&gt;0,1,0)</f>
        <v>1</v>
      </c>
      <c r="HA19" s="6">
        <f>IF(SUMIFS('Locations Data'!$C:$C,'Locations Data'!$G:$G,$B19,'Locations Data'!$B:$B,HA$5)&gt;0,1,0)</f>
        <v>0</v>
      </c>
      <c r="HB19" s="6">
        <f>IF(SUMIFS('Locations Data'!$C:$C,'Locations Data'!$G:$G,$B19,'Locations Data'!$B:$B,HB$5)&gt;0,1,0)</f>
        <v>0</v>
      </c>
      <c r="HC19" s="6">
        <f>IF(SUMIFS('Locations Data'!$C:$C,'Locations Data'!$G:$G,$B19,'Locations Data'!$B:$B,HC$5)&gt;0,1,0)</f>
        <v>1</v>
      </c>
      <c r="HD19" s="6">
        <f>IF(SUMIFS('Locations Data'!$C:$C,'Locations Data'!$G:$G,$B19,'Locations Data'!$B:$B,HD$5)&gt;0,1,0)</f>
        <v>1</v>
      </c>
      <c r="HE19" s="6">
        <f>IF(SUMIFS('Locations Data'!$C:$C,'Locations Data'!$G:$G,$B19,'Locations Data'!$B:$B,HE$5)&gt;0,1,0)</f>
        <v>1</v>
      </c>
      <c r="HF19" s="6">
        <f>IF(SUMIFS('Locations Data'!$C:$C,'Locations Data'!$G:$G,$B19,'Locations Data'!$B:$B,HF$5)&gt;0,1,0)</f>
        <v>1</v>
      </c>
      <c r="HG19" s="6">
        <f>IF(SUMIFS('Locations Data'!$C:$C,'Locations Data'!$G:$G,$B19,'Locations Data'!$B:$B,HG$5)&gt;0,1,0)</f>
        <v>1</v>
      </c>
      <c r="HH19" s="6">
        <f>IF(SUMIFS('Locations Data'!$C:$C,'Locations Data'!$G:$G,$B19,'Locations Data'!$B:$B,HH$5)&gt;0,1,0)</f>
        <v>0</v>
      </c>
      <c r="HI19" s="6">
        <f>IF(SUMIFS('Locations Data'!$C:$C,'Locations Data'!$G:$G,$B19,'Locations Data'!$B:$B,HI$5)&gt;0,1,0)</f>
        <v>0</v>
      </c>
      <c r="HJ19" s="6">
        <f>IF(SUMIFS('Locations Data'!$C:$C,'Locations Data'!$G:$G,$B19,'Locations Data'!$B:$B,HJ$5)&gt;0,1,0)</f>
        <v>1</v>
      </c>
      <c r="HK19" s="6">
        <f>IF(SUMIFS('Locations Data'!$C:$C,'Locations Data'!$G:$G,$B19,'Locations Data'!$B:$B,HK$5)&gt;0,1,0)</f>
        <v>1</v>
      </c>
      <c r="HL19" s="6">
        <f>IF(SUMIFS('Locations Data'!$C:$C,'Locations Data'!$G:$G,$B19,'Locations Data'!$B:$B,HL$5)&gt;0,1,0)</f>
        <v>1</v>
      </c>
      <c r="HM19" s="6">
        <f>IF(SUMIFS('Locations Data'!$C:$C,'Locations Data'!$G:$G,$B19,'Locations Data'!$B:$B,HM$5)&gt;0,1,0)</f>
        <v>1</v>
      </c>
      <c r="HN19" s="6">
        <f>IF(SUMIFS('Locations Data'!$C:$C,'Locations Data'!$G:$G,$B19,'Locations Data'!$B:$B,HN$5)&gt;0,1,0)</f>
        <v>1</v>
      </c>
      <c r="HO19" s="6">
        <f>IF(SUMIFS('Locations Data'!$C:$C,'Locations Data'!$G:$G,$B19,'Locations Data'!$B:$B,HO$5)&gt;0,1,0)</f>
        <v>0</v>
      </c>
      <c r="HP19" s="6">
        <f>IF(SUMIFS('Locations Data'!$C:$C,'Locations Data'!$G:$G,$B19,'Locations Data'!$B:$B,HP$5)&gt;0,1,0)</f>
        <v>0</v>
      </c>
      <c r="HQ19" s="6">
        <f>IF(SUMIFS('Locations Data'!$C:$C,'Locations Data'!$G:$G,$B19,'Locations Data'!$B:$B,HQ$5)&gt;0,1,0)</f>
        <v>1</v>
      </c>
      <c r="HR19" s="6">
        <f>IF(SUMIFS('Locations Data'!$C:$C,'Locations Data'!$G:$G,$B19,'Locations Data'!$B:$B,HR$5)&gt;0,1,0)</f>
        <v>1</v>
      </c>
      <c r="HS19" s="6">
        <f>IF(SUMIFS('Locations Data'!$C:$C,'Locations Data'!$G:$G,$B19,'Locations Data'!$B:$B,HS$5)&gt;0,1,0)</f>
        <v>1</v>
      </c>
      <c r="HT19" s="6">
        <f>IF(SUMIFS('Locations Data'!$C:$C,'Locations Data'!$G:$G,$B19,'Locations Data'!$B:$B,HT$5)&gt;0,1,0)</f>
        <v>1</v>
      </c>
      <c r="HU19" s="6">
        <f>IF(SUMIFS('Locations Data'!$C:$C,'Locations Data'!$G:$G,$B19,'Locations Data'!$B:$B,HU$5)&gt;0,1,0)</f>
        <v>1</v>
      </c>
      <c r="HV19" s="6">
        <f>IF(SUMIFS('Locations Data'!$C:$C,'Locations Data'!$G:$G,$B19,'Locations Data'!$B:$B,HV$5)&gt;0,1,0)</f>
        <v>0</v>
      </c>
      <c r="HW19" s="6">
        <f>IF(SUMIFS('Locations Data'!$C:$C,'Locations Data'!$G:$G,$B19,'Locations Data'!$B:$B,HW$5)&gt;0,1,0)</f>
        <v>0</v>
      </c>
      <c r="HX19" s="6">
        <f>IF(SUMIFS('Locations Data'!$C:$C,'Locations Data'!$G:$G,$B19,'Locations Data'!$B:$B,HX$5)&gt;0,1,0)</f>
        <v>1</v>
      </c>
      <c r="HY19" s="6">
        <f>IF(SUMIFS('Locations Data'!$C:$C,'Locations Data'!$G:$G,$B19,'Locations Data'!$B:$B,HY$5)&gt;0,1,0)</f>
        <v>1</v>
      </c>
      <c r="HZ19" s="6">
        <f>IF(SUMIFS('Locations Data'!$C:$C,'Locations Data'!$G:$G,$B19,'Locations Data'!$B:$B,HZ$5)&gt;0,1,0)</f>
        <v>1</v>
      </c>
      <c r="IA19" s="6">
        <f>IF(SUMIFS('Locations Data'!$C:$C,'Locations Data'!$G:$G,$B19,'Locations Data'!$B:$B,IA$5)&gt;0,1,0)</f>
        <v>1</v>
      </c>
      <c r="IB19" s="6">
        <f>IF(SUMIFS('Locations Data'!$C:$C,'Locations Data'!$G:$G,$B19,'Locations Data'!$B:$B,IB$5)&gt;0,1,0)</f>
        <v>1</v>
      </c>
      <c r="IC19" s="6">
        <f>IF(SUMIFS('Locations Data'!$C:$C,'Locations Data'!$G:$G,$B19,'Locations Data'!$B:$B,IC$5)&gt;0,1,0)</f>
        <v>0</v>
      </c>
      <c r="ID19" s="6">
        <f>IF(SUMIFS('Locations Data'!$C:$C,'Locations Data'!$G:$G,$B19,'Locations Data'!$B:$B,ID$5)&gt;0,1,0)</f>
        <v>0</v>
      </c>
      <c r="IE19" s="6">
        <f>IF(SUMIFS('Locations Data'!$C:$C,'Locations Data'!$G:$G,$B19,'Locations Data'!$B:$B,IE$5)&gt;0,1,0)</f>
        <v>1</v>
      </c>
      <c r="IF19" s="6">
        <f>IF(SUMIFS('Locations Data'!$C:$C,'Locations Data'!$G:$G,$B19,'Locations Data'!$B:$B,IF$5)&gt;0,1,0)</f>
        <v>1</v>
      </c>
      <c r="IG19" s="6">
        <f>IF(SUMIFS('Locations Data'!$C:$C,'Locations Data'!$G:$G,$B19,'Locations Data'!$B:$B,IG$5)&gt;0,1,0)</f>
        <v>1</v>
      </c>
      <c r="IH19" s="6">
        <f>IF(SUMIFS('Locations Data'!$C:$C,'Locations Data'!$G:$G,$B19,'Locations Data'!$B:$B,IH$5)&gt;0,1,0)</f>
        <v>1</v>
      </c>
      <c r="II19" s="6">
        <f>IF(SUMIFS('Locations Data'!$C:$C,'Locations Data'!$G:$G,$B19,'Locations Data'!$B:$B,II$5)&gt;0,1,0)</f>
        <v>1</v>
      </c>
      <c r="IJ19" s="6">
        <f>IF(SUMIFS('Locations Data'!$C:$C,'Locations Data'!$G:$G,$B19,'Locations Data'!$B:$B,IJ$5)&gt;0,1,0)</f>
        <v>0</v>
      </c>
      <c r="IK19" s="6">
        <f>IF(SUMIFS('Locations Data'!$C:$C,'Locations Data'!$G:$G,$B19,'Locations Data'!$B:$B,IK$5)&gt;0,1,0)</f>
        <v>0</v>
      </c>
      <c r="IL19" s="6">
        <f>IF(SUMIFS('Locations Data'!$C:$C,'Locations Data'!$G:$G,$B19,'Locations Data'!$B:$B,IL$5)&gt;0,1,0)</f>
        <v>1</v>
      </c>
      <c r="IM19" s="6">
        <f>IF(SUMIFS('Locations Data'!$C:$C,'Locations Data'!$G:$G,$B19,'Locations Data'!$B:$B,IM$5)&gt;0,1,0)</f>
        <v>1</v>
      </c>
      <c r="IN19" s="6">
        <f>IF(SUMIFS('Locations Data'!$C:$C,'Locations Data'!$G:$G,$B19,'Locations Data'!$B:$B,IN$5)&gt;0,1,0)</f>
        <v>1</v>
      </c>
      <c r="IO19" s="6">
        <f>IF(SUMIFS('Locations Data'!$C:$C,'Locations Data'!$G:$G,$B19,'Locations Data'!$B:$B,IO$5)&gt;0,1,0)</f>
        <v>1</v>
      </c>
      <c r="IP19" s="6">
        <f>IF(SUMIFS('Locations Data'!$C:$C,'Locations Data'!$G:$G,$B19,'Locations Data'!$B:$B,IP$5)&gt;0,1,0)</f>
        <v>1</v>
      </c>
      <c r="IQ19" s="6">
        <f>IF(SUMIFS('Locations Data'!$C:$C,'Locations Data'!$G:$G,$B19,'Locations Data'!$B:$B,IQ$5)&gt;0,1,0)</f>
        <v>0</v>
      </c>
      <c r="IR19" s="6">
        <f>IF(SUMIFS('Locations Data'!$C:$C,'Locations Data'!$G:$G,$B19,'Locations Data'!$B:$B,IR$5)&gt;0,1,0)</f>
        <v>0</v>
      </c>
      <c r="IS19" s="6">
        <f>IF(SUMIFS('Locations Data'!$C:$C,'Locations Data'!$G:$G,$B19,'Locations Data'!$B:$B,IS$5)&gt;0,1,0)</f>
        <v>1</v>
      </c>
      <c r="IT19" s="6">
        <f>IF(SUMIFS('Locations Data'!$C:$C,'Locations Data'!$G:$G,$B19,'Locations Data'!$B:$B,IT$5)&gt;0,1,0)</f>
        <v>1</v>
      </c>
      <c r="IU19" s="6">
        <f>IF(SUMIFS('Locations Data'!$C:$C,'Locations Data'!$G:$G,$B19,'Locations Data'!$B:$B,IU$5)&gt;0,1,0)</f>
        <v>1</v>
      </c>
      <c r="IV19" s="6">
        <f>IF(SUMIFS('Locations Data'!$C:$C,'Locations Data'!$G:$G,$B19,'Locations Data'!$B:$B,IV$5)&gt;0,1,0)</f>
        <v>1</v>
      </c>
      <c r="IW19" s="6">
        <f>IF(SUMIFS('Locations Data'!$C:$C,'Locations Data'!$G:$G,$B19,'Locations Data'!$B:$B,IW$5)&gt;0,1,0)</f>
        <v>1</v>
      </c>
      <c r="IX19" s="6">
        <f>IF(SUMIFS('Locations Data'!$C:$C,'Locations Data'!$G:$G,$B19,'Locations Data'!$B:$B,IX$5)&gt;0,1,0)</f>
        <v>0</v>
      </c>
      <c r="IY19" s="6">
        <f>IF(SUMIFS('Locations Data'!$C:$C,'Locations Data'!$G:$G,$B19,'Locations Data'!$B:$B,IY$5)&gt;0,1,0)</f>
        <v>0</v>
      </c>
      <c r="IZ19" s="6">
        <f>IF(SUMIFS('Locations Data'!$C:$C,'Locations Data'!$G:$G,$B19,'Locations Data'!$B:$B,IZ$5)&gt;0,1,0)</f>
        <v>1</v>
      </c>
      <c r="JA19" s="6">
        <f>IF(SUMIFS('Locations Data'!$C:$C,'Locations Data'!$G:$G,$B19,'Locations Data'!$B:$B,JA$5)&gt;0,1,0)</f>
        <v>1</v>
      </c>
      <c r="JB19" s="6">
        <f>IF(SUMIFS('Locations Data'!$C:$C,'Locations Data'!$G:$G,$B19,'Locations Data'!$B:$B,JB$5)&gt;0,1,0)</f>
        <v>1</v>
      </c>
      <c r="JC19" s="6">
        <f>IF(SUMIFS('Locations Data'!$C:$C,'Locations Data'!$G:$G,$B19,'Locations Data'!$B:$B,JC$5)&gt;0,1,0)</f>
        <v>1</v>
      </c>
      <c r="JD19" s="6">
        <f>IF(SUMIFS('Locations Data'!$C:$C,'Locations Data'!$G:$G,$B19,'Locations Data'!$B:$B,JD$5)&gt;0,1,0)</f>
        <v>1</v>
      </c>
      <c r="JE19" s="6">
        <f>IF(SUMIFS('Locations Data'!$C:$C,'Locations Data'!$G:$G,$B19,'Locations Data'!$B:$B,JE$5)&gt;0,1,0)</f>
        <v>0</v>
      </c>
      <c r="JF19" s="6">
        <f>IF(SUMIFS('Locations Data'!$C:$C,'Locations Data'!$G:$G,$B19,'Locations Data'!$B:$B,JF$5)&gt;0,1,0)</f>
        <v>0</v>
      </c>
      <c r="JG19" s="6">
        <f>IF(SUMIFS('Locations Data'!$C:$C,'Locations Data'!$G:$G,$B19,'Locations Data'!$B:$B,JG$5)&gt;0,1,0)</f>
        <v>1</v>
      </c>
      <c r="JH19" s="6">
        <f>IF(SUMIFS('Locations Data'!$C:$C,'Locations Data'!$G:$G,$B19,'Locations Data'!$B:$B,JH$5)&gt;0,1,0)</f>
        <v>1</v>
      </c>
      <c r="JI19" s="6">
        <f>IF(SUMIFS('Locations Data'!$C:$C,'Locations Data'!$G:$G,$B19,'Locations Data'!$B:$B,JI$5)&gt;0,1,0)</f>
        <v>1</v>
      </c>
      <c r="JJ19" s="6">
        <f>IF(SUMIFS('Locations Data'!$C:$C,'Locations Data'!$G:$G,$B19,'Locations Data'!$B:$B,JJ$5)&gt;0,1,0)</f>
        <v>1</v>
      </c>
      <c r="JK19" s="6">
        <f>IF(SUMIFS('Locations Data'!$C:$C,'Locations Data'!$G:$G,$B19,'Locations Data'!$B:$B,JK$5)&gt;0,1,0)</f>
        <v>1</v>
      </c>
      <c r="JL19" s="6">
        <f>IF(SUMIFS('Locations Data'!$C:$C,'Locations Data'!$G:$G,$B19,'Locations Data'!$B:$B,JL$5)&gt;0,1,0)</f>
        <v>0</v>
      </c>
      <c r="JM19" s="6">
        <f>IF(SUMIFS('Locations Data'!$C:$C,'Locations Data'!$G:$G,$B19,'Locations Data'!$B:$B,JM$5)&gt;0,1,0)</f>
        <v>0</v>
      </c>
      <c r="JN19" s="6">
        <f>IF(SUMIFS('Locations Data'!$C:$C,'Locations Data'!$G:$G,$B19,'Locations Data'!$B:$B,JN$5)&gt;0,1,0)</f>
        <v>1</v>
      </c>
      <c r="JO19" s="6">
        <f>IF(SUMIFS('Locations Data'!$C:$C,'Locations Data'!$G:$G,$B19,'Locations Data'!$B:$B,JO$5)&gt;0,1,0)</f>
        <v>1</v>
      </c>
      <c r="JP19" s="6">
        <f>IF(SUMIFS('Locations Data'!$C:$C,'Locations Data'!$G:$G,$B19,'Locations Data'!$B:$B,JP$5)&gt;0,1,0)</f>
        <v>1</v>
      </c>
      <c r="JQ19" s="6">
        <f>IF(SUMIFS('Locations Data'!$C:$C,'Locations Data'!$G:$G,$B19,'Locations Data'!$B:$B,JQ$5)&gt;0,1,0)</f>
        <v>1</v>
      </c>
      <c r="JR19" s="6">
        <f>IF(SUMIFS('Locations Data'!$C:$C,'Locations Data'!$G:$G,$B19,'Locations Data'!$B:$B,JR$5)&gt;0,1,0)</f>
        <v>1</v>
      </c>
      <c r="JS19" s="6">
        <f>IF(SUMIFS('Locations Data'!$C:$C,'Locations Data'!$G:$G,$B19,'Locations Data'!$B:$B,JS$5)&gt;0,1,0)</f>
        <v>0</v>
      </c>
      <c r="JT19" s="6">
        <f>IF(SUMIFS('Locations Data'!$C:$C,'Locations Data'!$G:$G,$B19,'Locations Data'!$B:$B,JT$5)&gt;0,1,0)</f>
        <v>0</v>
      </c>
      <c r="JU19" s="6">
        <f>IF(SUMIFS('Locations Data'!$C:$C,'Locations Data'!$G:$G,$B19,'Locations Data'!$B:$B,JU$5)&gt;0,1,0)</f>
        <v>1</v>
      </c>
      <c r="JV19" s="6">
        <f>IF(SUMIFS('Locations Data'!$C:$C,'Locations Data'!$G:$G,$B19,'Locations Data'!$B:$B,JV$5)&gt;0,1,0)</f>
        <v>1</v>
      </c>
      <c r="JW19" s="6">
        <f>IF(SUMIFS('Locations Data'!$C:$C,'Locations Data'!$G:$G,$B19,'Locations Data'!$B:$B,JW$5)&gt;0,1,0)</f>
        <v>1</v>
      </c>
      <c r="JX19" s="6">
        <f>IF(SUMIFS('Locations Data'!$C:$C,'Locations Data'!$G:$G,$B19,'Locations Data'!$B:$B,JX$5)&gt;0,1,0)</f>
        <v>1</v>
      </c>
      <c r="JY19" s="6">
        <f>IF(SUMIFS('Locations Data'!$C:$C,'Locations Data'!$G:$G,$B19,'Locations Data'!$B:$B,JY$5)&gt;0,1,0)</f>
        <v>1</v>
      </c>
      <c r="JZ19" s="6">
        <f>IF(SUMIFS('Locations Data'!$C:$C,'Locations Data'!$G:$G,$B19,'Locations Data'!$B:$B,JZ$5)&gt;0,1,0)</f>
        <v>0</v>
      </c>
      <c r="KA19" s="6">
        <f>IF(SUMIFS('Locations Data'!$C:$C,'Locations Data'!$G:$G,$B19,'Locations Data'!$B:$B,KA$5)&gt;0,1,0)</f>
        <v>0</v>
      </c>
      <c r="KB19" s="6">
        <f>IF(SUMIFS('Locations Data'!$C:$C,'Locations Data'!$G:$G,$B19,'Locations Data'!$B:$B,KB$5)&gt;0,1,0)</f>
        <v>1</v>
      </c>
      <c r="KC19" s="6">
        <f>IF(SUMIFS('Locations Data'!$C:$C,'Locations Data'!$G:$G,$B19,'Locations Data'!$B:$B,KC$5)&gt;0,1,0)</f>
        <v>1</v>
      </c>
      <c r="KD19" s="6">
        <f>IF(SUMIFS('Locations Data'!$C:$C,'Locations Data'!$G:$G,$B19,'Locations Data'!$B:$B,KD$5)&gt;0,1,0)</f>
        <v>1</v>
      </c>
      <c r="KE19" s="6">
        <f>IF(SUMIFS('Locations Data'!$C:$C,'Locations Data'!$G:$G,$B19,'Locations Data'!$B:$B,KE$5)&gt;0,1,0)</f>
        <v>1</v>
      </c>
      <c r="KF19" s="6">
        <f>IF(SUMIFS('Locations Data'!$C:$C,'Locations Data'!$G:$G,$B19,'Locations Data'!$B:$B,KF$5)&gt;0,1,0)</f>
        <v>1</v>
      </c>
      <c r="KG19" s="6">
        <f>IF(SUMIFS('Locations Data'!$C:$C,'Locations Data'!$G:$G,$B19,'Locations Data'!$B:$B,KG$5)&gt;0,1,0)</f>
        <v>0</v>
      </c>
      <c r="KH19" s="6">
        <f>IF(SUMIFS('Locations Data'!$C:$C,'Locations Data'!$G:$G,$B19,'Locations Data'!$B:$B,KH$5)&gt;0,1,0)</f>
        <v>0</v>
      </c>
      <c r="KI19" s="6">
        <f>IF(SUMIFS('Locations Data'!$C:$C,'Locations Data'!$G:$G,$B19,'Locations Data'!$B:$B,KI$5)&gt;0,1,0)</f>
        <v>1</v>
      </c>
      <c r="KJ19" s="6">
        <f>IF(SUMIFS('Locations Data'!$C:$C,'Locations Data'!$G:$G,$B19,'Locations Data'!$B:$B,KJ$5)&gt;0,1,0)</f>
        <v>1</v>
      </c>
      <c r="KK19" s="6">
        <f>IF(SUMIFS('Locations Data'!$C:$C,'Locations Data'!$G:$G,$B19,'Locations Data'!$B:$B,KK$5)&gt;0,1,0)</f>
        <v>1</v>
      </c>
      <c r="KL19" s="6">
        <f>IF(SUMIFS('Locations Data'!$C:$C,'Locations Data'!$G:$G,$B19,'Locations Data'!$B:$B,KL$5)&gt;0,1,0)</f>
        <v>1</v>
      </c>
      <c r="KM19" s="6">
        <f>IF(SUMIFS('Locations Data'!$C:$C,'Locations Data'!$G:$G,$B19,'Locations Data'!$B:$B,KM$5)&gt;0,1,0)</f>
        <v>1</v>
      </c>
      <c r="KN19" s="6">
        <f>IF(SUMIFS('Locations Data'!$C:$C,'Locations Data'!$G:$G,$B19,'Locations Data'!$B:$B,KN$5)&gt;0,1,0)</f>
        <v>0</v>
      </c>
      <c r="KO19" s="6">
        <f>IF(SUMIFS('Locations Data'!$C:$C,'Locations Data'!$G:$G,$B19,'Locations Data'!$B:$B,KO$5)&gt;0,1,0)</f>
        <v>0</v>
      </c>
      <c r="KP19" s="6">
        <f>IF(SUMIFS('Locations Data'!$C:$C,'Locations Data'!$G:$G,$B19,'Locations Data'!$B:$B,KP$5)&gt;0,1,0)</f>
        <v>1</v>
      </c>
      <c r="KQ19" s="6">
        <f>IF(SUMIFS('Locations Data'!$C:$C,'Locations Data'!$G:$G,$B19,'Locations Data'!$B:$B,KQ$5)&gt;0,1,0)</f>
        <v>1</v>
      </c>
      <c r="KR19" s="6">
        <f>IF(SUMIFS('Locations Data'!$C:$C,'Locations Data'!$G:$G,$B19,'Locations Data'!$B:$B,KR$5)&gt;0,1,0)</f>
        <v>1</v>
      </c>
      <c r="KS19" s="6">
        <f>IF(SUMIFS('Locations Data'!$C:$C,'Locations Data'!$G:$G,$B19,'Locations Data'!$B:$B,KS$5)&gt;0,1,0)</f>
        <v>1</v>
      </c>
      <c r="KT19" s="6">
        <f>IF(SUMIFS('Locations Data'!$C:$C,'Locations Data'!$G:$G,$B19,'Locations Data'!$B:$B,KT$5)&gt;0,1,0)</f>
        <v>1</v>
      </c>
      <c r="KU19" s="6">
        <f>IF(SUMIFS('Locations Data'!$C:$C,'Locations Data'!$G:$G,$B19,'Locations Data'!$B:$B,KU$5)&gt;0,1,0)</f>
        <v>0</v>
      </c>
      <c r="KV19" s="6">
        <f>IF(SUMIFS('Locations Data'!$C:$C,'Locations Data'!$G:$G,$B19,'Locations Data'!$B:$B,KV$5)&gt;0,1,0)</f>
        <v>0</v>
      </c>
      <c r="KW19" s="6">
        <f>IF(SUMIFS('Locations Data'!$C:$C,'Locations Data'!$G:$G,$B19,'Locations Data'!$B:$B,KW$5)&gt;0,1,0)</f>
        <v>1</v>
      </c>
      <c r="KX19" s="6">
        <f>IF(SUMIFS('Locations Data'!$C:$C,'Locations Data'!$G:$G,$B19,'Locations Data'!$B:$B,KX$5)&gt;0,1,0)</f>
        <v>1</v>
      </c>
      <c r="KY19" s="6">
        <f>IF(SUMIFS('Locations Data'!$C:$C,'Locations Data'!$G:$G,$B19,'Locations Data'!$B:$B,KY$5)&gt;0,1,0)</f>
        <v>1</v>
      </c>
      <c r="KZ19" s="6">
        <f>IF(SUMIFS('Locations Data'!$C:$C,'Locations Data'!$G:$G,$B19,'Locations Data'!$B:$B,KZ$5)&gt;0,1,0)</f>
        <v>1</v>
      </c>
      <c r="LA19" s="6">
        <f>IF(SUMIFS('Locations Data'!$C:$C,'Locations Data'!$G:$G,$B19,'Locations Data'!$B:$B,LA$5)&gt;0,1,0)</f>
        <v>1</v>
      </c>
      <c r="LB19" s="6">
        <f>IF(SUMIFS('Locations Data'!$C:$C,'Locations Data'!$G:$G,$B19,'Locations Data'!$B:$B,LB$5)&gt;0,1,0)</f>
        <v>0</v>
      </c>
      <c r="LC19" s="6">
        <f>IF(SUMIFS('Locations Data'!$C:$C,'Locations Data'!$G:$G,$B19,'Locations Data'!$B:$B,LC$5)&gt;0,1,0)</f>
        <v>0</v>
      </c>
      <c r="LD19" s="6">
        <f>IF(SUMIFS('Locations Data'!$C:$C,'Locations Data'!$G:$G,$B19,'Locations Data'!$B:$B,LD$5)&gt;0,1,0)</f>
        <v>1</v>
      </c>
      <c r="LE19" s="6">
        <f>IF(SUMIFS('Locations Data'!$C:$C,'Locations Data'!$G:$G,$B19,'Locations Data'!$B:$B,LE$5)&gt;0,1,0)</f>
        <v>1</v>
      </c>
      <c r="LF19" s="6">
        <f>IF(SUMIFS('Locations Data'!$C:$C,'Locations Data'!$G:$G,$B19,'Locations Data'!$B:$B,LF$5)&gt;0,1,0)</f>
        <v>1</v>
      </c>
      <c r="LG19" s="6">
        <f>IF(SUMIFS('Locations Data'!$C:$C,'Locations Data'!$G:$G,$B19,'Locations Data'!$B:$B,LG$5)&gt;0,1,0)</f>
        <v>1</v>
      </c>
      <c r="LH19" s="6">
        <f>IF(SUMIFS('Locations Data'!$C:$C,'Locations Data'!$G:$G,$B19,'Locations Data'!$B:$B,LH$5)&gt;0,1,0)</f>
        <v>1</v>
      </c>
      <c r="LI19" s="6">
        <f>IF(SUMIFS('Locations Data'!$C:$C,'Locations Data'!$G:$G,$B19,'Locations Data'!$B:$B,LI$5)&gt;0,1,0)</f>
        <v>0</v>
      </c>
      <c r="LJ19" s="6">
        <f>IF(SUMIFS('Locations Data'!$C:$C,'Locations Data'!$G:$G,$B19,'Locations Data'!$B:$B,LJ$5)&gt;0,1,0)</f>
        <v>0</v>
      </c>
      <c r="LK19" s="6">
        <f>IF(SUMIFS('Locations Data'!$C:$C,'Locations Data'!$G:$G,$B19,'Locations Data'!$B:$B,LK$5)&gt;0,1,0)</f>
        <v>1</v>
      </c>
      <c r="LL19" s="6">
        <f>IF(SUMIFS('Locations Data'!$C:$C,'Locations Data'!$G:$G,$B19,'Locations Data'!$B:$B,LL$5)&gt;0,1,0)</f>
        <v>1</v>
      </c>
      <c r="LM19" s="6">
        <f>IF(SUMIFS('Locations Data'!$C:$C,'Locations Data'!$G:$G,$B19,'Locations Data'!$B:$B,LM$5)&gt;0,1,0)</f>
        <v>1</v>
      </c>
      <c r="LN19" s="6">
        <f>IF(SUMIFS('Locations Data'!$C:$C,'Locations Data'!$G:$G,$B19,'Locations Data'!$B:$B,LN$5)&gt;0,1,0)</f>
        <v>1</v>
      </c>
      <c r="LO19" s="6">
        <f>IF(SUMIFS('Locations Data'!$C:$C,'Locations Data'!$G:$G,$B19,'Locations Data'!$B:$B,LO$5)&gt;0,1,0)</f>
        <v>1</v>
      </c>
      <c r="LP19" s="6">
        <f>IF(SUMIFS('Locations Data'!$C:$C,'Locations Data'!$G:$G,$B19,'Locations Data'!$B:$B,LP$5)&gt;0,1,0)</f>
        <v>0</v>
      </c>
      <c r="LQ19" s="6">
        <f>IF(SUMIFS('Locations Data'!$C:$C,'Locations Data'!$G:$G,$B19,'Locations Data'!$B:$B,LQ$5)&gt;0,1,0)</f>
        <v>0</v>
      </c>
      <c r="LR19" s="6">
        <f>IF(SUMIFS('Locations Data'!$C:$C,'Locations Data'!$G:$G,$B19,'Locations Data'!$B:$B,LR$5)&gt;0,1,0)</f>
        <v>1</v>
      </c>
      <c r="LS19" s="6">
        <f>IF(SUMIFS('Locations Data'!$C:$C,'Locations Data'!$G:$G,$B19,'Locations Data'!$B:$B,LS$5)&gt;0,1,0)</f>
        <v>1</v>
      </c>
      <c r="LT19" s="6">
        <f>IF(SUMIFS('Locations Data'!$C:$C,'Locations Data'!$G:$G,$B19,'Locations Data'!$B:$B,LT$5)&gt;0,1,0)</f>
        <v>1</v>
      </c>
      <c r="LU19" s="6">
        <f>IF(SUMIFS('Locations Data'!$C:$C,'Locations Data'!$G:$G,$B19,'Locations Data'!$B:$B,LU$5)&gt;0,1,0)</f>
        <v>1</v>
      </c>
      <c r="LV19" s="6">
        <f>IF(SUMIFS('Locations Data'!$C:$C,'Locations Data'!$G:$G,$B19,'Locations Data'!$B:$B,LV$5)&gt;0,1,0)</f>
        <v>1</v>
      </c>
      <c r="LW19" s="6">
        <f>IF(SUMIFS('Locations Data'!$C:$C,'Locations Data'!$G:$G,$B19,'Locations Data'!$B:$B,LW$5)&gt;0,1,0)</f>
        <v>0</v>
      </c>
      <c r="LX19" s="6">
        <f>IF(SUMIFS('Locations Data'!$C:$C,'Locations Data'!$G:$G,$B19,'Locations Data'!$B:$B,LX$5)&gt;0,1,0)</f>
        <v>0</v>
      </c>
      <c r="LY19" s="6">
        <f>IF(SUMIFS('Locations Data'!$C:$C,'Locations Data'!$G:$G,$B19,'Locations Data'!$B:$B,LY$5)&gt;0,1,0)</f>
        <v>1</v>
      </c>
      <c r="LZ19" s="6">
        <f>IF(SUMIFS('Locations Data'!$C:$C,'Locations Data'!$G:$G,$B19,'Locations Data'!$B:$B,LZ$5)&gt;0,1,0)</f>
        <v>1</v>
      </c>
      <c r="MA19" s="6">
        <f>IF(SUMIFS('Locations Data'!$C:$C,'Locations Data'!$G:$G,$B19,'Locations Data'!$B:$B,MA$5)&gt;0,1,0)</f>
        <v>1</v>
      </c>
      <c r="MB19" s="6">
        <f>IF(SUMIFS('Locations Data'!$C:$C,'Locations Data'!$G:$G,$B19,'Locations Data'!$B:$B,MB$5)&gt;0,1,0)</f>
        <v>1</v>
      </c>
      <c r="MC19" s="6">
        <f>IF(SUMIFS('Locations Data'!$C:$C,'Locations Data'!$G:$G,$B19,'Locations Data'!$B:$B,MC$5)&gt;0,1,0)</f>
        <v>1</v>
      </c>
      <c r="MD19" s="6">
        <f>IF(SUMIFS('Locations Data'!$C:$C,'Locations Data'!$G:$G,$B19,'Locations Data'!$B:$B,MD$5)&gt;0,1,0)</f>
        <v>0</v>
      </c>
      <c r="ME19" s="6">
        <f>IF(SUMIFS('Locations Data'!$C:$C,'Locations Data'!$G:$G,$B19,'Locations Data'!$B:$B,ME$5)&gt;0,1,0)</f>
        <v>0</v>
      </c>
      <c r="MF19" s="6">
        <f>IF(SUMIFS('Locations Data'!$C:$C,'Locations Data'!$G:$G,$B19,'Locations Data'!$B:$B,MF$5)&gt;0,1,0)</f>
        <v>1</v>
      </c>
      <c r="MG19" s="6">
        <f>IF(SUMIFS('Locations Data'!$C:$C,'Locations Data'!$G:$G,$B19,'Locations Data'!$B:$B,MG$5)&gt;0,1,0)</f>
        <v>1</v>
      </c>
      <c r="MH19" s="6">
        <f>IF(SUMIFS('Locations Data'!$C:$C,'Locations Data'!$G:$G,$B19,'Locations Data'!$B:$B,MH$5)&gt;0,1,0)</f>
        <v>1</v>
      </c>
      <c r="MI19" s="6">
        <f>IF(SUMIFS('Locations Data'!$C:$C,'Locations Data'!$G:$G,$B19,'Locations Data'!$B:$B,MI$5)&gt;0,1,0)</f>
        <v>1</v>
      </c>
      <c r="MJ19" s="6">
        <f>IF(SUMIFS('Locations Data'!$C:$C,'Locations Data'!$G:$G,$B19,'Locations Data'!$B:$B,MJ$5)&gt;0,1,0)</f>
        <v>1</v>
      </c>
      <c r="MK19" s="6">
        <f>IF(SUMIFS('Locations Data'!$C:$C,'Locations Data'!$G:$G,$B19,'Locations Data'!$B:$B,MK$5)&gt;0,1,0)</f>
        <v>0</v>
      </c>
      <c r="ML19" s="6">
        <f>IF(SUMIFS('Locations Data'!$C:$C,'Locations Data'!$G:$G,$B19,'Locations Data'!$B:$B,ML$5)&gt;0,1,0)</f>
        <v>0</v>
      </c>
      <c r="MM19" s="6">
        <f>IF(SUMIFS('Locations Data'!$C:$C,'Locations Data'!$G:$G,$B19,'Locations Data'!$B:$B,MM$5)&gt;0,1,0)</f>
        <v>1</v>
      </c>
      <c r="MN19" s="6">
        <f>IF(SUMIFS('Locations Data'!$C:$C,'Locations Data'!$G:$G,$B19,'Locations Data'!$B:$B,MN$5)&gt;0,1,0)</f>
        <v>1</v>
      </c>
      <c r="MO19" s="6">
        <f>IF(SUMIFS('Locations Data'!$C:$C,'Locations Data'!$G:$G,$B19,'Locations Data'!$B:$B,MO$5)&gt;0,1,0)</f>
        <v>1</v>
      </c>
      <c r="MP19" s="6">
        <f>IF(SUMIFS('Locations Data'!$C:$C,'Locations Data'!$G:$G,$B19,'Locations Data'!$B:$B,MP$5)&gt;0,1,0)</f>
        <v>1</v>
      </c>
      <c r="MQ19" s="6">
        <f>IF(SUMIFS('Locations Data'!$C:$C,'Locations Data'!$G:$G,$B19,'Locations Data'!$B:$B,MQ$5)&gt;0,1,0)</f>
        <v>1</v>
      </c>
      <c r="MR19" s="6">
        <f>IF(SUMIFS('Locations Data'!$C:$C,'Locations Data'!$G:$G,$B19,'Locations Data'!$B:$B,MR$5)&gt;0,1,0)</f>
        <v>0</v>
      </c>
      <c r="MS19" s="6">
        <f>IF(SUMIFS('Locations Data'!$C:$C,'Locations Data'!$G:$G,$B19,'Locations Data'!$B:$B,MS$5)&gt;0,1,0)</f>
        <v>0</v>
      </c>
      <c r="MT19" s="6">
        <f>IF(SUMIFS('Locations Data'!$C:$C,'Locations Data'!$G:$G,$B19,'Locations Data'!$B:$B,MT$5)&gt;0,1,0)</f>
        <v>1</v>
      </c>
      <c r="MU19" s="6">
        <f>IF(SUMIFS('Locations Data'!$C:$C,'Locations Data'!$G:$G,$B19,'Locations Data'!$B:$B,MU$5)&gt;0,1,0)</f>
        <v>1</v>
      </c>
      <c r="MV19" s="6">
        <f>IF(SUMIFS('Locations Data'!$C:$C,'Locations Data'!$G:$G,$B19,'Locations Data'!$B:$B,MV$5)&gt;0,1,0)</f>
        <v>1</v>
      </c>
      <c r="MW19" s="26">
        <v>0</v>
      </c>
      <c r="MX19" s="6">
        <f>IF(SUMIFS('Locations Data'!$C:$C,'Locations Data'!$G:$G,$B19,'Locations Data'!$B:$B,MX$5)&gt;0,1,0)</f>
        <v>1</v>
      </c>
      <c r="MY19" s="6">
        <f>IF(SUMIFS('Locations Data'!$C:$C,'Locations Data'!$G:$G,$B19,'Locations Data'!$B:$B,MY$5)&gt;0,1,0)</f>
        <v>0</v>
      </c>
      <c r="MZ19" s="6">
        <f>IF(SUMIFS('Locations Data'!$C:$C,'Locations Data'!$G:$G,$B19,'Locations Data'!$B:$B,MZ$5)&gt;0,1,0)</f>
        <v>0</v>
      </c>
      <c r="NA19" s="6">
        <f>IF(SUMIFS('Locations Data'!$C:$C,'Locations Data'!$G:$G,$B19,'Locations Data'!$B:$B,NA$5)&gt;0,1,0)</f>
        <v>1</v>
      </c>
      <c r="NB19" s="6">
        <f>IF(SUMIFS('Locations Data'!$C:$C,'Locations Data'!$G:$G,$B19,'Locations Data'!$B:$B,NB$5)&gt;0,1,0)</f>
        <v>1</v>
      </c>
      <c r="NC19" s="6">
        <f>IF(SUMIFS('Locations Data'!$C:$C,'Locations Data'!$G:$G,$B19,'Locations Data'!$B:$B,NC$5)&gt;0,1,0)</f>
        <v>1</v>
      </c>
    </row>
    <row r="20" spans="2:367">
      <c r="B20" s="20">
        <v>0</v>
      </c>
      <c r="C20" s="6">
        <v>0</v>
      </c>
      <c r="D20" s="6">
        <f>IF(SUMIFS('Locations Data'!$C:$C,'Locations Data'!$G:$G,$B20,'Locations Data'!$B:$B,D$5)&gt;0,1,0)</f>
        <v>0</v>
      </c>
      <c r="E20" s="6">
        <f>IF(SUMIFS('Locations Data'!$C:$C,'Locations Data'!$G:$G,$B20,'Locations Data'!$B:$B,E$5)&gt;0,1,0)</f>
        <v>0</v>
      </c>
      <c r="F20" s="6">
        <f>IF(SUMIFS('Locations Data'!$C:$C,'Locations Data'!$G:$G,$B20,'Locations Data'!$B:$B,F$5)&gt;0,1,0)</f>
        <v>0</v>
      </c>
      <c r="G20" s="6">
        <f>IF(SUMIFS('Locations Data'!$C:$C,'Locations Data'!$G:$G,$B20,'Locations Data'!$B:$B,G$5)&gt;0,1,0)</f>
        <v>0</v>
      </c>
      <c r="H20" s="6">
        <f>IF(SUMIFS('Locations Data'!$C:$C,'Locations Data'!$G:$G,$B20,'Locations Data'!$B:$B,H$5)&gt;0,1,0)</f>
        <v>0</v>
      </c>
      <c r="I20" s="6">
        <f>IF(SUMIFS('Locations Data'!$C:$C,'Locations Data'!$G:$G,$B20,'Locations Data'!$B:$B,I$5)&gt;0,1,0)</f>
        <v>0</v>
      </c>
      <c r="J20" s="6">
        <f>IF(SUMIFS('Locations Data'!$C:$C,'Locations Data'!$G:$G,$B20,'Locations Data'!$B:$B,J$5)&gt;0,1,0)</f>
        <v>0</v>
      </c>
      <c r="K20" s="6">
        <f>IF(SUMIFS('Locations Data'!$C:$C,'Locations Data'!$G:$G,$B20,'Locations Data'!$B:$B,K$5)&gt;0,1,0)</f>
        <v>0</v>
      </c>
      <c r="L20" s="6">
        <f>IF(SUMIFS('Locations Data'!$C:$C,'Locations Data'!$G:$G,$B20,'Locations Data'!$B:$B,L$5)&gt;0,1,0)</f>
        <v>0</v>
      </c>
      <c r="M20" s="6">
        <f>IF(SUMIFS('Locations Data'!$C:$C,'Locations Data'!$G:$G,$B20,'Locations Data'!$B:$B,M$5)&gt;0,1,0)</f>
        <v>0</v>
      </c>
      <c r="N20" s="6">
        <f>IF(SUMIFS('Locations Data'!$C:$C,'Locations Data'!$G:$G,$B20,'Locations Data'!$B:$B,N$5)&gt;0,1,0)</f>
        <v>0</v>
      </c>
      <c r="O20" s="6">
        <f>IF(SUMIFS('Locations Data'!$C:$C,'Locations Data'!$G:$G,$B20,'Locations Data'!$B:$B,O$5)&gt;0,1,0)</f>
        <v>0</v>
      </c>
      <c r="P20" s="6">
        <f>IF(SUMIFS('Locations Data'!$C:$C,'Locations Data'!$G:$G,$B20,'Locations Data'!$B:$B,P$5)&gt;0,1,0)</f>
        <v>0</v>
      </c>
      <c r="Q20" s="6">
        <f>IF(SUMIFS('Locations Data'!$C:$C,'Locations Data'!$G:$G,$B20,'Locations Data'!$B:$B,Q$5)&gt;0,1,0)</f>
        <v>0</v>
      </c>
      <c r="R20" s="6">
        <f>IF(SUMIFS('Locations Data'!$C:$C,'Locations Data'!$G:$G,$B20,'Locations Data'!$B:$B,R$5)&gt;0,1,0)</f>
        <v>0</v>
      </c>
      <c r="S20" s="6">
        <f>IF(SUMIFS('Locations Data'!$C:$C,'Locations Data'!$G:$G,$B20,'Locations Data'!$B:$B,S$5)&gt;0,1,0)</f>
        <v>0</v>
      </c>
      <c r="T20" s="6">
        <f>IF(SUMIFS('Locations Data'!$C:$C,'Locations Data'!$G:$G,$B20,'Locations Data'!$B:$B,T$5)&gt;0,1,0)</f>
        <v>0</v>
      </c>
      <c r="U20" s="6">
        <f>IF(SUMIFS('Locations Data'!$C:$C,'Locations Data'!$G:$G,$B20,'Locations Data'!$B:$B,U$5)&gt;0,1,0)</f>
        <v>0</v>
      </c>
      <c r="V20" s="6">
        <f>IF(SUMIFS('Locations Data'!$C:$C,'Locations Data'!$G:$G,$B20,'Locations Data'!$B:$B,V$5)&gt;0,1,0)</f>
        <v>0</v>
      </c>
      <c r="W20" s="6">
        <f>IF(SUMIFS('Locations Data'!$C:$C,'Locations Data'!$G:$G,$B20,'Locations Data'!$B:$B,W$5)&gt;0,1,0)</f>
        <v>0</v>
      </c>
      <c r="X20" s="6">
        <f>IF(SUMIFS('Locations Data'!$C:$C,'Locations Data'!$G:$G,$B20,'Locations Data'!$B:$B,X$5)&gt;0,1,0)</f>
        <v>0</v>
      </c>
      <c r="Y20" s="6">
        <f>IF(SUMIFS('Locations Data'!$C:$C,'Locations Data'!$G:$G,$B20,'Locations Data'!$B:$B,Y$5)&gt;0,1,0)</f>
        <v>0</v>
      </c>
      <c r="Z20" s="6">
        <f>IF(SUMIFS('Locations Data'!$C:$C,'Locations Data'!$G:$G,$B20,'Locations Data'!$B:$B,Z$5)&gt;0,1,0)</f>
        <v>0</v>
      </c>
      <c r="AA20" s="6">
        <f>IF(SUMIFS('Locations Data'!$C:$C,'Locations Data'!$G:$G,$B20,'Locations Data'!$B:$B,AA$5)&gt;0,1,0)</f>
        <v>0</v>
      </c>
      <c r="AB20" s="6">
        <f>IF(SUMIFS('Locations Data'!$C:$C,'Locations Data'!$G:$G,$B20,'Locations Data'!$B:$B,AB$5)&gt;0,1,0)</f>
        <v>0</v>
      </c>
      <c r="AC20" s="6">
        <f>IF(SUMIFS('Locations Data'!$C:$C,'Locations Data'!$G:$G,$B20,'Locations Data'!$B:$B,AC$5)&gt;0,1,0)</f>
        <v>0</v>
      </c>
      <c r="AD20" s="6">
        <f>IF(SUMIFS('Locations Data'!$C:$C,'Locations Data'!$G:$G,$B20,'Locations Data'!$B:$B,AD$5)&gt;0,1,0)</f>
        <v>0</v>
      </c>
      <c r="AE20" s="6">
        <f>IF(SUMIFS('Locations Data'!$C:$C,'Locations Data'!$G:$G,$B20,'Locations Data'!$B:$B,AE$5)&gt;0,1,0)</f>
        <v>0</v>
      </c>
      <c r="AF20" s="6">
        <f>IF(SUMIFS('Locations Data'!$C:$C,'Locations Data'!$G:$G,$B20,'Locations Data'!$B:$B,AF$5)&gt;0,1,0)</f>
        <v>0</v>
      </c>
      <c r="AG20" s="6">
        <f>IF(SUMIFS('Locations Data'!$C:$C,'Locations Data'!$G:$G,$B20,'Locations Data'!$B:$B,AG$5)&gt;0,1,0)</f>
        <v>0</v>
      </c>
      <c r="AH20" s="6">
        <f>IF(SUMIFS('Locations Data'!$C:$C,'Locations Data'!$G:$G,$B20,'Locations Data'!$B:$B,AH$5)&gt;0,1,0)</f>
        <v>0</v>
      </c>
      <c r="AI20" s="6">
        <f>IF(SUMIFS('Locations Data'!$C:$C,'Locations Data'!$G:$G,$B20,'Locations Data'!$B:$B,AI$5)&gt;0,1,0)</f>
        <v>0</v>
      </c>
      <c r="AJ20" s="6">
        <f>IF(SUMIFS('Locations Data'!$C:$C,'Locations Data'!$G:$G,$B20,'Locations Data'!$B:$B,AJ$5)&gt;0,1,0)</f>
        <v>0</v>
      </c>
      <c r="AK20" s="6">
        <f>IF(SUMIFS('Locations Data'!$C:$C,'Locations Data'!$G:$G,$B20,'Locations Data'!$B:$B,AK$5)&gt;0,1,0)</f>
        <v>0</v>
      </c>
      <c r="AL20" s="6">
        <f>IF(SUMIFS('Locations Data'!$C:$C,'Locations Data'!$G:$G,$B20,'Locations Data'!$B:$B,AL$5)&gt;0,1,0)</f>
        <v>0</v>
      </c>
      <c r="AM20" s="6">
        <f>IF(SUMIFS('Locations Data'!$C:$C,'Locations Data'!$G:$G,$B20,'Locations Data'!$B:$B,AM$5)&gt;0,1,0)</f>
        <v>0</v>
      </c>
      <c r="AN20" s="6">
        <f>IF(SUMIFS('Locations Data'!$C:$C,'Locations Data'!$G:$G,$B20,'Locations Data'!$B:$B,AN$5)&gt;0,1,0)</f>
        <v>0</v>
      </c>
      <c r="AO20" s="6">
        <f>IF(SUMIFS('Locations Data'!$C:$C,'Locations Data'!$G:$G,$B20,'Locations Data'!$B:$B,AO$5)&gt;0,1,0)</f>
        <v>0</v>
      </c>
      <c r="AP20" s="6">
        <f>IF(SUMIFS('Locations Data'!$C:$C,'Locations Data'!$G:$G,$B20,'Locations Data'!$B:$B,AP$5)&gt;0,1,0)</f>
        <v>0</v>
      </c>
      <c r="AQ20" s="6">
        <f>IF(SUMIFS('Locations Data'!$C:$C,'Locations Data'!$G:$G,$B20,'Locations Data'!$B:$B,AQ$5)&gt;0,1,0)</f>
        <v>0</v>
      </c>
      <c r="AR20" s="6">
        <f>IF(SUMIFS('Locations Data'!$C:$C,'Locations Data'!$G:$G,$B20,'Locations Data'!$B:$B,AR$5)&gt;0,1,0)</f>
        <v>0</v>
      </c>
      <c r="AS20" s="6">
        <f>IF(SUMIFS('Locations Data'!$C:$C,'Locations Data'!$G:$G,$B20,'Locations Data'!$B:$B,AS$5)&gt;0,1,0)</f>
        <v>0</v>
      </c>
      <c r="AT20" s="6">
        <f>IF(SUMIFS('Locations Data'!$C:$C,'Locations Data'!$G:$G,$B20,'Locations Data'!$B:$B,AT$5)&gt;0,1,0)</f>
        <v>0</v>
      </c>
      <c r="AU20" s="6">
        <f>IF(SUMIFS('Locations Data'!$C:$C,'Locations Data'!$G:$G,$B20,'Locations Data'!$B:$B,AU$5)&gt;0,1,0)</f>
        <v>0</v>
      </c>
      <c r="AV20" s="6">
        <f>IF(SUMIFS('Locations Data'!$C:$C,'Locations Data'!$G:$G,$B20,'Locations Data'!$B:$B,AV$5)&gt;0,1,0)</f>
        <v>0</v>
      </c>
      <c r="AW20" s="6">
        <f>IF(SUMIFS('Locations Data'!$C:$C,'Locations Data'!$G:$G,$B20,'Locations Data'!$B:$B,AW$5)&gt;0,1,0)</f>
        <v>0</v>
      </c>
      <c r="AX20" s="6">
        <f>IF(SUMIFS('Locations Data'!$C:$C,'Locations Data'!$G:$G,$B20,'Locations Data'!$B:$B,AX$5)&gt;0,1,0)</f>
        <v>0</v>
      </c>
      <c r="AY20" s="6">
        <f>IF(SUMIFS('Locations Data'!$C:$C,'Locations Data'!$G:$G,$B20,'Locations Data'!$B:$B,AY$5)&gt;0,1,0)</f>
        <v>0</v>
      </c>
      <c r="AZ20" s="6">
        <f>IF(SUMIFS('Locations Data'!$C:$C,'Locations Data'!$G:$G,$B20,'Locations Data'!$B:$B,AZ$5)&gt;0,1,0)</f>
        <v>0</v>
      </c>
      <c r="BA20" s="6">
        <f>IF(SUMIFS('Locations Data'!$C:$C,'Locations Data'!$G:$G,$B20,'Locations Data'!$B:$B,BA$5)&gt;0,1,0)</f>
        <v>0</v>
      </c>
      <c r="BB20" s="6">
        <f>IF(SUMIFS('Locations Data'!$C:$C,'Locations Data'!$G:$G,$B20,'Locations Data'!$B:$B,BB$5)&gt;0,1,0)</f>
        <v>0</v>
      </c>
      <c r="BC20" s="6">
        <f>IF(SUMIFS('Locations Data'!$C:$C,'Locations Data'!$G:$G,$B20,'Locations Data'!$B:$B,BC$5)&gt;0,1,0)</f>
        <v>0</v>
      </c>
      <c r="BD20" s="6">
        <f>IF(SUMIFS('Locations Data'!$C:$C,'Locations Data'!$G:$G,$B20,'Locations Data'!$B:$B,BD$5)&gt;0,1,0)</f>
        <v>0</v>
      </c>
      <c r="BE20" s="6">
        <f>IF(SUMIFS('Locations Data'!$C:$C,'Locations Data'!$G:$G,$B20,'Locations Data'!$B:$B,BE$5)&gt;0,1,0)</f>
        <v>0</v>
      </c>
      <c r="BF20" s="6">
        <f>IF(SUMIFS('Locations Data'!$C:$C,'Locations Data'!$G:$G,$B20,'Locations Data'!$B:$B,BF$5)&gt;0,1,0)</f>
        <v>0</v>
      </c>
      <c r="BG20" s="6">
        <f>IF(SUMIFS('Locations Data'!$C:$C,'Locations Data'!$G:$G,$B20,'Locations Data'!$B:$B,BG$5)&gt;0,1,0)</f>
        <v>0</v>
      </c>
      <c r="BH20" s="6">
        <f>IF(SUMIFS('Locations Data'!$C:$C,'Locations Data'!$G:$G,$B20,'Locations Data'!$B:$B,BH$5)&gt;0,1,0)</f>
        <v>0</v>
      </c>
      <c r="BI20" s="6">
        <f>IF(SUMIFS('Locations Data'!$C:$C,'Locations Data'!$G:$G,$B20,'Locations Data'!$B:$B,BI$5)&gt;0,1,0)</f>
        <v>0</v>
      </c>
      <c r="BJ20" s="6">
        <f>IF(SUMIFS('Locations Data'!$C:$C,'Locations Data'!$G:$G,$B20,'Locations Data'!$B:$B,BJ$5)&gt;0,1,0)</f>
        <v>0</v>
      </c>
      <c r="BK20" s="6">
        <f>IF(SUMIFS('Locations Data'!$C:$C,'Locations Data'!$G:$G,$B20,'Locations Data'!$B:$B,BK$5)&gt;0,1,0)</f>
        <v>0</v>
      </c>
      <c r="BL20" s="6">
        <f>IF(SUMIFS('Locations Data'!$C:$C,'Locations Data'!$G:$G,$B20,'Locations Data'!$B:$B,BL$5)&gt;0,1,0)</f>
        <v>0</v>
      </c>
      <c r="BM20" s="6">
        <f>IF(SUMIFS('Locations Data'!$C:$C,'Locations Data'!$G:$G,$B20,'Locations Data'!$B:$B,BM$5)&gt;0,1,0)</f>
        <v>0</v>
      </c>
      <c r="BN20" s="6">
        <f>IF(SUMIFS('Locations Data'!$C:$C,'Locations Data'!$G:$G,$B20,'Locations Data'!$B:$B,BN$5)&gt;0,1,0)</f>
        <v>0</v>
      </c>
      <c r="BO20" s="6">
        <f>IF(SUMIFS('Locations Data'!$C:$C,'Locations Data'!$G:$G,$B20,'Locations Data'!$B:$B,BO$5)&gt;0,1,0)</f>
        <v>0</v>
      </c>
      <c r="BP20" s="6">
        <f>IF(SUMIFS('Locations Data'!$C:$C,'Locations Data'!$G:$G,$B20,'Locations Data'!$B:$B,BP$5)&gt;0,1,0)</f>
        <v>0</v>
      </c>
      <c r="BQ20" s="6">
        <f>IF(SUMIFS('Locations Data'!$C:$C,'Locations Data'!$G:$G,$B20,'Locations Data'!$B:$B,BQ$5)&gt;0,1,0)</f>
        <v>0</v>
      </c>
      <c r="BR20" s="6">
        <f>IF(SUMIFS('Locations Data'!$C:$C,'Locations Data'!$G:$G,$B20,'Locations Data'!$B:$B,BR$5)&gt;0,1,0)</f>
        <v>0</v>
      </c>
      <c r="BS20" s="6">
        <f>IF(SUMIFS('Locations Data'!$C:$C,'Locations Data'!$G:$G,$B20,'Locations Data'!$B:$B,BS$5)&gt;0,1,0)</f>
        <v>0</v>
      </c>
      <c r="BT20" s="6">
        <f>IF(SUMIFS('Locations Data'!$C:$C,'Locations Data'!$G:$G,$B20,'Locations Data'!$B:$B,BT$5)&gt;0,1,0)</f>
        <v>0</v>
      </c>
      <c r="BU20" s="6">
        <f>IF(SUMIFS('Locations Data'!$C:$C,'Locations Data'!$G:$G,$B20,'Locations Data'!$B:$B,BU$5)&gt;0,1,0)</f>
        <v>0</v>
      </c>
      <c r="BV20" s="6">
        <f>IF(SUMIFS('Locations Data'!$C:$C,'Locations Data'!$G:$G,$B20,'Locations Data'!$B:$B,BV$5)&gt;0,1,0)</f>
        <v>0</v>
      </c>
      <c r="BW20" s="6">
        <f>IF(SUMIFS('Locations Data'!$C:$C,'Locations Data'!$G:$G,$B20,'Locations Data'!$B:$B,BW$5)&gt;0,1,0)</f>
        <v>0</v>
      </c>
      <c r="BX20" s="6">
        <f>IF(SUMIFS('Locations Data'!$C:$C,'Locations Data'!$G:$G,$B20,'Locations Data'!$B:$B,BX$5)&gt;0,1,0)</f>
        <v>0</v>
      </c>
      <c r="BY20" s="6">
        <f>IF(SUMIFS('Locations Data'!$C:$C,'Locations Data'!$G:$G,$B20,'Locations Data'!$B:$B,BY$5)&gt;0,1,0)</f>
        <v>0</v>
      </c>
      <c r="BZ20" s="6">
        <f>IF(SUMIFS('Locations Data'!$C:$C,'Locations Data'!$G:$G,$B20,'Locations Data'!$B:$B,BZ$5)&gt;0,1,0)</f>
        <v>0</v>
      </c>
      <c r="CA20" s="6">
        <f>IF(SUMIFS('Locations Data'!$C:$C,'Locations Data'!$G:$G,$B20,'Locations Data'!$B:$B,CA$5)&gt;0,1,0)</f>
        <v>0</v>
      </c>
      <c r="CB20" s="6">
        <f>IF(SUMIFS('Locations Data'!$C:$C,'Locations Data'!$G:$G,$B20,'Locations Data'!$B:$B,CB$5)&gt;0,1,0)</f>
        <v>0</v>
      </c>
      <c r="CC20" s="6">
        <f>IF(SUMIFS('Locations Data'!$C:$C,'Locations Data'!$G:$G,$B20,'Locations Data'!$B:$B,CC$5)&gt;0,1,0)</f>
        <v>0</v>
      </c>
      <c r="CD20" s="6">
        <f>IF(SUMIFS('Locations Data'!$C:$C,'Locations Data'!$G:$G,$B20,'Locations Data'!$B:$B,CD$5)&gt;0,1,0)</f>
        <v>0</v>
      </c>
      <c r="CE20" s="6">
        <f>IF(SUMIFS('Locations Data'!$C:$C,'Locations Data'!$G:$G,$B20,'Locations Data'!$B:$B,CE$5)&gt;0,1,0)</f>
        <v>0</v>
      </c>
      <c r="CF20" s="6">
        <f>IF(SUMIFS('Locations Data'!$C:$C,'Locations Data'!$G:$G,$B20,'Locations Data'!$B:$B,CF$5)&gt;0,1,0)</f>
        <v>0</v>
      </c>
      <c r="CG20" s="6">
        <f>IF(SUMIFS('Locations Data'!$C:$C,'Locations Data'!$G:$G,$B20,'Locations Data'!$B:$B,CG$5)&gt;0,1,0)</f>
        <v>0</v>
      </c>
      <c r="CH20" s="6">
        <f>IF(SUMIFS('Locations Data'!$C:$C,'Locations Data'!$G:$G,$B20,'Locations Data'!$B:$B,CH$5)&gt;0,1,0)</f>
        <v>0</v>
      </c>
      <c r="CI20" s="6">
        <f>IF(SUMIFS('Locations Data'!$C:$C,'Locations Data'!$G:$G,$B20,'Locations Data'!$B:$B,CI$5)&gt;0,1,0)</f>
        <v>0</v>
      </c>
      <c r="CJ20" s="6">
        <f>IF(SUMIFS('Locations Data'!$C:$C,'Locations Data'!$G:$G,$B20,'Locations Data'!$B:$B,CJ$5)&gt;0,1,0)</f>
        <v>0</v>
      </c>
      <c r="CK20" s="6">
        <f>IF(SUMIFS('Locations Data'!$C:$C,'Locations Data'!$G:$G,$B20,'Locations Data'!$B:$B,CK$5)&gt;0,1,0)</f>
        <v>0</v>
      </c>
      <c r="CL20" s="6">
        <f>IF(SUMIFS('Locations Data'!$C:$C,'Locations Data'!$G:$G,$B20,'Locations Data'!$B:$B,CL$5)&gt;0,1,0)</f>
        <v>0</v>
      </c>
      <c r="CM20" s="6">
        <f>IF(SUMIFS('Locations Data'!$C:$C,'Locations Data'!$G:$G,$B20,'Locations Data'!$B:$B,CM$5)&gt;0,1,0)</f>
        <v>0</v>
      </c>
      <c r="CN20" s="6">
        <f>IF(SUMIFS('Locations Data'!$C:$C,'Locations Data'!$G:$G,$B20,'Locations Data'!$B:$B,CN$5)&gt;0,1,0)</f>
        <v>0</v>
      </c>
      <c r="CO20" s="6">
        <f>IF(SUMIFS('Locations Data'!$C:$C,'Locations Data'!$G:$G,$B20,'Locations Data'!$B:$B,CO$5)&gt;0,1,0)</f>
        <v>0</v>
      </c>
      <c r="CP20" s="6">
        <f>IF(SUMIFS('Locations Data'!$C:$C,'Locations Data'!$G:$G,$B20,'Locations Data'!$B:$B,CP$5)&gt;0,1,0)</f>
        <v>0</v>
      </c>
      <c r="CQ20" s="6">
        <f>IF(SUMIFS('Locations Data'!$C:$C,'Locations Data'!$G:$G,$B20,'Locations Data'!$B:$B,CQ$5)&gt;0,1,0)</f>
        <v>0</v>
      </c>
      <c r="CR20" s="6">
        <f>IF(SUMIFS('Locations Data'!$C:$C,'Locations Data'!$G:$G,$B20,'Locations Data'!$B:$B,CR$5)&gt;0,1,0)</f>
        <v>0</v>
      </c>
      <c r="CS20" s="6">
        <f>IF(SUMIFS('Locations Data'!$C:$C,'Locations Data'!$G:$G,$B20,'Locations Data'!$B:$B,CS$5)&gt;0,1,0)</f>
        <v>0</v>
      </c>
      <c r="CT20" s="6">
        <f>IF(SUMIFS('Locations Data'!$C:$C,'Locations Data'!$G:$G,$B20,'Locations Data'!$B:$B,CT$5)&gt;0,1,0)</f>
        <v>0</v>
      </c>
      <c r="CU20" s="6">
        <f>IF(SUMIFS('Locations Data'!$C:$C,'Locations Data'!$G:$G,$B20,'Locations Data'!$B:$B,CU$5)&gt;0,1,0)</f>
        <v>0</v>
      </c>
      <c r="CV20" s="6">
        <f>IF(SUMIFS('Locations Data'!$C:$C,'Locations Data'!$G:$G,$B20,'Locations Data'!$B:$B,CV$5)&gt;0,1,0)</f>
        <v>0</v>
      </c>
      <c r="CW20" s="6">
        <f>IF(SUMIFS('Locations Data'!$C:$C,'Locations Data'!$G:$G,$B20,'Locations Data'!$B:$B,CW$5)&gt;0,1,0)</f>
        <v>0</v>
      </c>
      <c r="CX20" s="6">
        <f>IF(SUMIFS('Locations Data'!$C:$C,'Locations Data'!$G:$G,$B20,'Locations Data'!$B:$B,CX$5)&gt;0,1,0)</f>
        <v>0</v>
      </c>
      <c r="CY20" s="6">
        <f>IF(SUMIFS('Locations Data'!$C:$C,'Locations Data'!$G:$G,$B20,'Locations Data'!$B:$B,CY$5)&gt;0,1,0)</f>
        <v>0</v>
      </c>
      <c r="CZ20" s="6">
        <f>IF(SUMIFS('Locations Data'!$C:$C,'Locations Data'!$G:$G,$B20,'Locations Data'!$B:$B,CZ$5)&gt;0,1,0)</f>
        <v>0</v>
      </c>
      <c r="DA20" s="6">
        <f>IF(SUMIFS('Locations Data'!$C:$C,'Locations Data'!$G:$G,$B20,'Locations Data'!$B:$B,DA$5)&gt;0,1,0)</f>
        <v>0</v>
      </c>
      <c r="DB20" s="6">
        <f>IF(SUMIFS('Locations Data'!$C:$C,'Locations Data'!$G:$G,$B20,'Locations Data'!$B:$B,DB$5)&gt;0,1,0)</f>
        <v>0</v>
      </c>
      <c r="DC20" s="6">
        <f>IF(SUMIFS('Locations Data'!$C:$C,'Locations Data'!$G:$G,$B20,'Locations Data'!$B:$B,DC$5)&gt;0,1,0)</f>
        <v>0</v>
      </c>
      <c r="DD20" s="6">
        <f>IF(SUMIFS('Locations Data'!$C:$C,'Locations Data'!$G:$G,$B20,'Locations Data'!$B:$B,DD$5)&gt;0,1,0)</f>
        <v>0</v>
      </c>
      <c r="DE20" s="6">
        <f>IF(SUMIFS('Locations Data'!$C:$C,'Locations Data'!$G:$G,$B20,'Locations Data'!$B:$B,DE$5)&gt;0,1,0)</f>
        <v>0</v>
      </c>
      <c r="DF20" s="6">
        <f>IF(SUMIFS('Locations Data'!$C:$C,'Locations Data'!$G:$G,$B20,'Locations Data'!$B:$B,DF$5)&gt;0,1,0)</f>
        <v>0</v>
      </c>
      <c r="DG20" s="6">
        <f>IF(SUMIFS('Locations Data'!$C:$C,'Locations Data'!$G:$G,$B20,'Locations Data'!$B:$B,DG$5)&gt;0,1,0)</f>
        <v>0</v>
      </c>
      <c r="DH20" s="6">
        <f>IF(SUMIFS('Locations Data'!$C:$C,'Locations Data'!$G:$G,$B20,'Locations Data'!$B:$B,DH$5)&gt;0,1,0)</f>
        <v>0</v>
      </c>
      <c r="DI20" s="6">
        <f>IF(SUMIFS('Locations Data'!$C:$C,'Locations Data'!$G:$G,$B20,'Locations Data'!$B:$B,DI$5)&gt;0,1,0)</f>
        <v>0</v>
      </c>
      <c r="DJ20" s="6">
        <f>IF(SUMIFS('Locations Data'!$C:$C,'Locations Data'!$G:$G,$B20,'Locations Data'!$B:$B,DJ$5)&gt;0,1,0)</f>
        <v>0</v>
      </c>
      <c r="DK20" s="6">
        <f>IF(SUMIFS('Locations Data'!$C:$C,'Locations Data'!$G:$G,$B20,'Locations Data'!$B:$B,DK$5)&gt;0,1,0)</f>
        <v>0</v>
      </c>
      <c r="DL20" s="6">
        <f>IF(SUMIFS('Locations Data'!$C:$C,'Locations Data'!$G:$G,$B20,'Locations Data'!$B:$B,DL$5)&gt;0,1,0)</f>
        <v>0</v>
      </c>
      <c r="DM20" s="6">
        <f>IF(SUMIFS('Locations Data'!$C:$C,'Locations Data'!$G:$G,$B20,'Locations Data'!$B:$B,DM$5)&gt;0,1,0)</f>
        <v>0</v>
      </c>
      <c r="DN20" s="6">
        <f>IF(SUMIFS('Locations Data'!$C:$C,'Locations Data'!$G:$G,$B20,'Locations Data'!$B:$B,DN$5)&gt;0,1,0)</f>
        <v>0</v>
      </c>
      <c r="DO20" s="6">
        <f>IF(SUMIFS('Locations Data'!$C:$C,'Locations Data'!$G:$G,$B20,'Locations Data'!$B:$B,DO$5)&gt;0,1,0)</f>
        <v>0</v>
      </c>
      <c r="DP20" s="6">
        <f>IF(SUMIFS('Locations Data'!$C:$C,'Locations Data'!$G:$G,$B20,'Locations Data'!$B:$B,DP$5)&gt;0,1,0)</f>
        <v>0</v>
      </c>
      <c r="DQ20" s="6">
        <f>IF(SUMIFS('Locations Data'!$C:$C,'Locations Data'!$G:$G,$B20,'Locations Data'!$B:$B,DQ$5)&gt;0,1,0)</f>
        <v>0</v>
      </c>
      <c r="DR20" s="6">
        <f>IF(SUMIFS('Locations Data'!$C:$C,'Locations Data'!$G:$G,$B20,'Locations Data'!$B:$B,DR$5)&gt;0,1,0)</f>
        <v>0</v>
      </c>
      <c r="DS20" s="6">
        <f>IF(SUMIFS('Locations Data'!$C:$C,'Locations Data'!$G:$G,$B20,'Locations Data'!$B:$B,DS$5)&gt;0,1,0)</f>
        <v>0</v>
      </c>
      <c r="DT20" s="6">
        <f>IF(SUMIFS('Locations Data'!$C:$C,'Locations Data'!$G:$G,$B20,'Locations Data'!$B:$B,DT$5)&gt;0,1,0)</f>
        <v>0</v>
      </c>
      <c r="DU20" s="6">
        <f>IF(SUMIFS('Locations Data'!$C:$C,'Locations Data'!$G:$G,$B20,'Locations Data'!$B:$B,DU$5)&gt;0,1,0)</f>
        <v>0</v>
      </c>
      <c r="DV20" s="6">
        <f>IF(SUMIFS('Locations Data'!$C:$C,'Locations Data'!$G:$G,$B20,'Locations Data'!$B:$B,DV$5)&gt;0,1,0)</f>
        <v>0</v>
      </c>
      <c r="DW20" s="6">
        <f>IF(SUMIFS('Locations Data'!$C:$C,'Locations Data'!$G:$G,$B20,'Locations Data'!$B:$B,DW$5)&gt;0,1,0)</f>
        <v>0</v>
      </c>
      <c r="DX20" s="6">
        <f>IF(SUMIFS('Locations Data'!$C:$C,'Locations Data'!$G:$G,$B20,'Locations Data'!$B:$B,DX$5)&gt;0,1,0)</f>
        <v>0</v>
      </c>
      <c r="DY20" s="6">
        <f>IF(SUMIFS('Locations Data'!$C:$C,'Locations Data'!$G:$G,$B20,'Locations Data'!$B:$B,DY$5)&gt;0,1,0)</f>
        <v>0</v>
      </c>
      <c r="DZ20" s="6">
        <f>IF(SUMIFS('Locations Data'!$C:$C,'Locations Data'!$G:$G,$B20,'Locations Data'!$B:$B,DZ$5)&gt;0,1,0)</f>
        <v>0</v>
      </c>
      <c r="EA20" s="6">
        <f>IF(SUMIFS('Locations Data'!$C:$C,'Locations Data'!$G:$G,$B20,'Locations Data'!$B:$B,EA$5)&gt;0,1,0)</f>
        <v>0</v>
      </c>
      <c r="EB20" s="6">
        <f>IF(SUMIFS('Locations Data'!$C:$C,'Locations Data'!$G:$G,$B20,'Locations Data'!$B:$B,EB$5)&gt;0,1,0)</f>
        <v>0</v>
      </c>
      <c r="EC20" s="6">
        <f>IF(SUMIFS('Locations Data'!$C:$C,'Locations Data'!$G:$G,$B20,'Locations Data'!$B:$B,EC$5)&gt;0,1,0)</f>
        <v>0</v>
      </c>
      <c r="ED20" s="6">
        <f>IF(SUMIFS('Locations Data'!$C:$C,'Locations Data'!$G:$G,$B20,'Locations Data'!$B:$B,ED$5)&gt;0,1,0)</f>
        <v>0</v>
      </c>
      <c r="EE20" s="6">
        <f>IF(SUMIFS('Locations Data'!$C:$C,'Locations Data'!$G:$G,$B20,'Locations Data'!$B:$B,EE$5)&gt;0,1,0)</f>
        <v>0</v>
      </c>
      <c r="EF20" s="6">
        <f>IF(SUMIFS('Locations Data'!$C:$C,'Locations Data'!$G:$G,$B20,'Locations Data'!$B:$B,EF$5)&gt;0,1,0)</f>
        <v>0</v>
      </c>
      <c r="EG20" s="6">
        <f>IF(SUMIFS('Locations Data'!$C:$C,'Locations Data'!$G:$G,$B20,'Locations Data'!$B:$B,EG$5)&gt;0,1,0)</f>
        <v>0</v>
      </c>
      <c r="EH20" s="6">
        <f>IF(SUMIFS('Locations Data'!$C:$C,'Locations Data'!$G:$G,$B20,'Locations Data'!$B:$B,EH$5)&gt;0,1,0)</f>
        <v>0</v>
      </c>
      <c r="EI20" s="6">
        <f>IF(SUMIFS('Locations Data'!$C:$C,'Locations Data'!$G:$G,$B20,'Locations Data'!$B:$B,EI$5)&gt;0,1,0)</f>
        <v>0</v>
      </c>
      <c r="EJ20" s="6">
        <f>IF(SUMIFS('Locations Data'!$C:$C,'Locations Data'!$G:$G,$B20,'Locations Data'!$B:$B,EJ$5)&gt;0,1,0)</f>
        <v>0</v>
      </c>
      <c r="EK20" s="6">
        <f>IF(SUMIFS('Locations Data'!$C:$C,'Locations Data'!$G:$G,$B20,'Locations Data'!$B:$B,EK$5)&gt;0,1,0)</f>
        <v>0</v>
      </c>
      <c r="EL20" s="6">
        <f>IF(SUMIFS('Locations Data'!$C:$C,'Locations Data'!$G:$G,$B20,'Locations Data'!$B:$B,EL$5)&gt;0,1,0)</f>
        <v>0</v>
      </c>
      <c r="EM20" s="6">
        <f>IF(SUMIFS('Locations Data'!$C:$C,'Locations Data'!$G:$G,$B20,'Locations Data'!$B:$B,EM$5)&gt;0,1,0)</f>
        <v>0</v>
      </c>
      <c r="EN20" s="6">
        <f>IF(SUMIFS('Locations Data'!$C:$C,'Locations Data'!$G:$G,$B20,'Locations Data'!$B:$B,EN$5)&gt;0,1,0)</f>
        <v>0</v>
      </c>
      <c r="EO20" s="6">
        <f>IF(SUMIFS('Locations Data'!$C:$C,'Locations Data'!$G:$G,$B20,'Locations Data'!$B:$B,EO$5)&gt;0,1,0)</f>
        <v>0</v>
      </c>
      <c r="EP20" s="6">
        <f>IF(SUMIFS('Locations Data'!$C:$C,'Locations Data'!$G:$G,$B20,'Locations Data'!$B:$B,EP$5)&gt;0,1,0)</f>
        <v>0</v>
      </c>
      <c r="EQ20" s="6">
        <f>IF(SUMIFS('Locations Data'!$C:$C,'Locations Data'!$G:$G,$B20,'Locations Data'!$B:$B,EQ$5)&gt;0,1,0)</f>
        <v>0</v>
      </c>
      <c r="ER20" s="6">
        <f>IF(SUMIFS('Locations Data'!$C:$C,'Locations Data'!$G:$G,$B20,'Locations Data'!$B:$B,ER$5)&gt;0,1,0)</f>
        <v>0</v>
      </c>
      <c r="ES20" s="6">
        <f>IF(SUMIFS('Locations Data'!$C:$C,'Locations Data'!$G:$G,$B20,'Locations Data'!$B:$B,ES$5)&gt;0,1,0)</f>
        <v>0</v>
      </c>
      <c r="ET20" s="6">
        <f>IF(SUMIFS('Locations Data'!$C:$C,'Locations Data'!$G:$G,$B20,'Locations Data'!$B:$B,ET$5)&gt;0,1,0)</f>
        <v>0</v>
      </c>
      <c r="EU20" s="6">
        <f>IF(SUMIFS('Locations Data'!$C:$C,'Locations Data'!$G:$G,$B20,'Locations Data'!$B:$B,EU$5)&gt;0,1,0)</f>
        <v>0</v>
      </c>
      <c r="EV20" s="6">
        <f>IF(SUMIFS('Locations Data'!$C:$C,'Locations Data'!$G:$G,$B20,'Locations Data'!$B:$B,EV$5)&gt;0,1,0)</f>
        <v>0</v>
      </c>
      <c r="EW20" s="6">
        <f>IF(SUMIFS('Locations Data'!$C:$C,'Locations Data'!$G:$G,$B20,'Locations Data'!$B:$B,EW$5)&gt;0,1,0)</f>
        <v>0</v>
      </c>
      <c r="EX20" s="6">
        <f>IF(SUMIFS('Locations Data'!$C:$C,'Locations Data'!$G:$G,$B20,'Locations Data'!$B:$B,EX$5)&gt;0,1,0)</f>
        <v>0</v>
      </c>
      <c r="EY20" s="6">
        <f>IF(SUMIFS('Locations Data'!$C:$C,'Locations Data'!$G:$G,$B20,'Locations Data'!$B:$B,EY$5)&gt;0,1,0)</f>
        <v>0</v>
      </c>
      <c r="EZ20" s="6">
        <f>IF(SUMIFS('Locations Data'!$C:$C,'Locations Data'!$G:$G,$B20,'Locations Data'!$B:$B,EZ$5)&gt;0,1,0)</f>
        <v>0</v>
      </c>
      <c r="FA20" s="6">
        <f>IF(SUMIFS('Locations Data'!$C:$C,'Locations Data'!$G:$G,$B20,'Locations Data'!$B:$B,FA$5)&gt;0,1,0)</f>
        <v>0</v>
      </c>
      <c r="FB20" s="6">
        <f>IF(SUMIFS('Locations Data'!$C:$C,'Locations Data'!$G:$G,$B20,'Locations Data'!$B:$B,FB$5)&gt;0,1,0)</f>
        <v>0</v>
      </c>
      <c r="FC20" s="6">
        <f>IF(SUMIFS('Locations Data'!$C:$C,'Locations Data'!$G:$G,$B20,'Locations Data'!$B:$B,FC$5)&gt;0,1,0)</f>
        <v>0</v>
      </c>
      <c r="FD20" s="6">
        <f>IF(SUMIFS('Locations Data'!$C:$C,'Locations Data'!$G:$G,$B20,'Locations Data'!$B:$B,FD$5)&gt;0,1,0)</f>
        <v>0</v>
      </c>
      <c r="FE20" s="6">
        <f>IF(SUMIFS('Locations Data'!$C:$C,'Locations Data'!$G:$G,$B20,'Locations Data'!$B:$B,FE$5)&gt;0,1,0)</f>
        <v>0</v>
      </c>
      <c r="FF20" s="6">
        <f>IF(SUMIFS('Locations Data'!$C:$C,'Locations Data'!$G:$G,$B20,'Locations Data'!$B:$B,FF$5)&gt;0,1,0)</f>
        <v>0</v>
      </c>
      <c r="FG20" s="6">
        <f>IF(SUMIFS('Locations Data'!$C:$C,'Locations Data'!$G:$G,$B20,'Locations Data'!$B:$B,FG$5)&gt;0,1,0)</f>
        <v>0</v>
      </c>
      <c r="FH20" s="6">
        <f>IF(SUMIFS('Locations Data'!$C:$C,'Locations Data'!$G:$G,$B20,'Locations Data'!$B:$B,FH$5)&gt;0,1,0)</f>
        <v>0</v>
      </c>
      <c r="FI20" s="6">
        <f>IF(SUMIFS('Locations Data'!$C:$C,'Locations Data'!$G:$G,$B20,'Locations Data'!$B:$B,FI$5)&gt;0,1,0)</f>
        <v>0</v>
      </c>
      <c r="FJ20" s="6">
        <f>IF(SUMIFS('Locations Data'!$C:$C,'Locations Data'!$G:$G,$B20,'Locations Data'!$B:$B,FJ$5)&gt;0,1,0)</f>
        <v>0</v>
      </c>
      <c r="FK20" s="6">
        <f>IF(SUMIFS('Locations Data'!$C:$C,'Locations Data'!$G:$G,$B20,'Locations Data'!$B:$B,FK$5)&gt;0,1,0)</f>
        <v>0</v>
      </c>
      <c r="FL20" s="6">
        <f>IF(SUMIFS('Locations Data'!$C:$C,'Locations Data'!$G:$G,$B20,'Locations Data'!$B:$B,FL$5)&gt;0,1,0)</f>
        <v>0</v>
      </c>
      <c r="FM20" s="6">
        <f>IF(SUMIFS('Locations Data'!$C:$C,'Locations Data'!$G:$G,$B20,'Locations Data'!$B:$B,FM$5)&gt;0,1,0)</f>
        <v>0</v>
      </c>
      <c r="FN20" s="6">
        <f>IF(SUMIFS('Locations Data'!$C:$C,'Locations Data'!$G:$G,$B20,'Locations Data'!$B:$B,FN$5)&gt;0,1,0)</f>
        <v>0</v>
      </c>
      <c r="FO20" s="6">
        <f>IF(SUMIFS('Locations Data'!$C:$C,'Locations Data'!$G:$G,$B20,'Locations Data'!$B:$B,FO$5)&gt;0,1,0)</f>
        <v>0</v>
      </c>
      <c r="FP20" s="6">
        <f>IF(SUMIFS('Locations Data'!$C:$C,'Locations Data'!$G:$G,$B20,'Locations Data'!$B:$B,FP$5)&gt;0,1,0)</f>
        <v>0</v>
      </c>
      <c r="FQ20" s="6">
        <f>IF(SUMIFS('Locations Data'!$C:$C,'Locations Data'!$G:$G,$B20,'Locations Data'!$B:$B,FQ$5)&gt;0,1,0)</f>
        <v>0</v>
      </c>
      <c r="FR20" s="6">
        <f>IF(SUMIFS('Locations Data'!$C:$C,'Locations Data'!$G:$G,$B20,'Locations Data'!$B:$B,FR$5)&gt;0,1,0)</f>
        <v>0</v>
      </c>
      <c r="FS20" s="6">
        <f>IF(SUMIFS('Locations Data'!$C:$C,'Locations Data'!$G:$G,$B20,'Locations Data'!$B:$B,FS$5)&gt;0,1,0)</f>
        <v>0</v>
      </c>
      <c r="FT20" s="6">
        <f>IF(SUMIFS('Locations Data'!$C:$C,'Locations Data'!$G:$G,$B20,'Locations Data'!$B:$B,FT$5)&gt;0,1,0)</f>
        <v>0</v>
      </c>
      <c r="FU20" s="6">
        <f>IF(SUMIFS('Locations Data'!$C:$C,'Locations Data'!$G:$G,$B20,'Locations Data'!$B:$B,FU$5)&gt;0,1,0)</f>
        <v>0</v>
      </c>
      <c r="FV20" s="6">
        <f>IF(SUMIFS('Locations Data'!$C:$C,'Locations Data'!$G:$G,$B20,'Locations Data'!$B:$B,FV$5)&gt;0,1,0)</f>
        <v>0</v>
      </c>
      <c r="FW20" s="6">
        <f>IF(SUMIFS('Locations Data'!$C:$C,'Locations Data'!$G:$G,$B20,'Locations Data'!$B:$B,FW$5)&gt;0,1,0)</f>
        <v>0</v>
      </c>
      <c r="FX20" s="6">
        <f>IF(SUMIFS('Locations Data'!$C:$C,'Locations Data'!$G:$G,$B20,'Locations Data'!$B:$B,FX$5)&gt;0,1,0)</f>
        <v>0</v>
      </c>
      <c r="FY20" s="6">
        <f>IF(SUMIFS('Locations Data'!$C:$C,'Locations Data'!$G:$G,$B20,'Locations Data'!$B:$B,FY$5)&gt;0,1,0)</f>
        <v>0</v>
      </c>
      <c r="FZ20" s="6">
        <f>IF(SUMIFS('Locations Data'!$C:$C,'Locations Data'!$G:$G,$B20,'Locations Data'!$B:$B,FZ$5)&gt;0,1,0)</f>
        <v>0</v>
      </c>
      <c r="GA20" s="6">
        <f>IF(SUMIFS('Locations Data'!$C:$C,'Locations Data'!$G:$G,$B20,'Locations Data'!$B:$B,GA$5)&gt;0,1,0)</f>
        <v>0</v>
      </c>
      <c r="GB20" s="6">
        <f>IF(SUMIFS('Locations Data'!$C:$C,'Locations Data'!$G:$G,$B20,'Locations Data'!$B:$B,GB$5)&gt;0,1,0)</f>
        <v>0</v>
      </c>
      <c r="GC20" s="6">
        <f>IF(SUMIFS('Locations Data'!$C:$C,'Locations Data'!$G:$G,$B20,'Locations Data'!$B:$B,GC$5)&gt;0,1,0)</f>
        <v>0</v>
      </c>
      <c r="GD20" s="6">
        <f>IF(SUMIFS('Locations Data'!$C:$C,'Locations Data'!$G:$G,$B20,'Locations Data'!$B:$B,GD$5)&gt;0,1,0)</f>
        <v>0</v>
      </c>
      <c r="GE20" s="6">
        <f>IF(SUMIFS('Locations Data'!$C:$C,'Locations Data'!$G:$G,$B20,'Locations Data'!$B:$B,GE$5)&gt;0,1,0)</f>
        <v>0</v>
      </c>
      <c r="GF20" s="6">
        <f>IF(SUMIFS('Locations Data'!$C:$C,'Locations Data'!$G:$G,$B20,'Locations Data'!$B:$B,GF$5)&gt;0,1,0)</f>
        <v>0</v>
      </c>
      <c r="GG20" s="6">
        <f>IF(SUMIFS('Locations Data'!$C:$C,'Locations Data'!$G:$G,$B20,'Locations Data'!$B:$B,GG$5)&gt;0,1,0)</f>
        <v>0</v>
      </c>
      <c r="GH20" s="6">
        <f>IF(SUMIFS('Locations Data'!$C:$C,'Locations Data'!$G:$G,$B20,'Locations Data'!$B:$B,GH$5)&gt;0,1,0)</f>
        <v>0</v>
      </c>
      <c r="GI20" s="6">
        <f>IF(SUMIFS('Locations Data'!$C:$C,'Locations Data'!$G:$G,$B20,'Locations Data'!$B:$B,GI$5)&gt;0,1,0)</f>
        <v>0</v>
      </c>
      <c r="GJ20" s="6">
        <f>IF(SUMIFS('Locations Data'!$C:$C,'Locations Data'!$G:$G,$B20,'Locations Data'!$B:$B,GJ$5)&gt;0,1,0)</f>
        <v>0</v>
      </c>
      <c r="GK20" s="6">
        <f>IF(SUMIFS('Locations Data'!$C:$C,'Locations Data'!$G:$G,$B20,'Locations Data'!$B:$B,GK$5)&gt;0,1,0)</f>
        <v>0</v>
      </c>
      <c r="GL20" s="6">
        <f>IF(SUMIFS('Locations Data'!$C:$C,'Locations Data'!$G:$G,$B20,'Locations Data'!$B:$B,GL$5)&gt;0,1,0)</f>
        <v>0</v>
      </c>
      <c r="GM20" s="6">
        <f>IF(SUMIFS('Locations Data'!$C:$C,'Locations Data'!$G:$G,$B20,'Locations Data'!$B:$B,GM$5)&gt;0,1,0)</f>
        <v>0</v>
      </c>
      <c r="GN20" s="6">
        <f>IF(SUMIFS('Locations Data'!$C:$C,'Locations Data'!$G:$G,$B20,'Locations Data'!$B:$B,GN$5)&gt;0,1,0)</f>
        <v>0</v>
      </c>
      <c r="GO20" s="6">
        <f>IF(SUMIFS('Locations Data'!$C:$C,'Locations Data'!$G:$G,$B20,'Locations Data'!$B:$B,GO$5)&gt;0,1,0)</f>
        <v>0</v>
      </c>
      <c r="GP20" s="6">
        <f>IF(SUMIFS('Locations Data'!$C:$C,'Locations Data'!$G:$G,$B20,'Locations Data'!$B:$B,GP$5)&gt;0,1,0)</f>
        <v>0</v>
      </c>
      <c r="GQ20" s="6">
        <f>IF(SUMIFS('Locations Data'!$C:$C,'Locations Data'!$G:$G,$B20,'Locations Data'!$B:$B,GQ$5)&gt;0,1,0)</f>
        <v>0</v>
      </c>
      <c r="GR20" s="6">
        <f>IF(SUMIFS('Locations Data'!$C:$C,'Locations Data'!$G:$G,$B20,'Locations Data'!$B:$B,GR$5)&gt;0,1,0)</f>
        <v>0</v>
      </c>
      <c r="GS20" s="6">
        <f>IF(SUMIFS('Locations Data'!$C:$C,'Locations Data'!$G:$G,$B20,'Locations Data'!$B:$B,GS$5)&gt;0,1,0)</f>
        <v>0</v>
      </c>
      <c r="GT20" s="6">
        <f>IF(SUMIFS('Locations Data'!$C:$C,'Locations Data'!$G:$G,$B20,'Locations Data'!$B:$B,GT$5)&gt;0,1,0)</f>
        <v>0</v>
      </c>
      <c r="GU20" s="6">
        <f>IF(SUMIFS('Locations Data'!$C:$C,'Locations Data'!$G:$G,$B20,'Locations Data'!$B:$B,GU$5)&gt;0,1,0)</f>
        <v>0</v>
      </c>
      <c r="GV20" s="6">
        <f>IF(SUMIFS('Locations Data'!$C:$C,'Locations Data'!$G:$G,$B20,'Locations Data'!$B:$B,GV$5)&gt;0,1,0)</f>
        <v>0</v>
      </c>
      <c r="GW20" s="6">
        <f>IF(SUMIFS('Locations Data'!$C:$C,'Locations Data'!$G:$G,$B20,'Locations Data'!$B:$B,GW$5)&gt;0,1,0)</f>
        <v>0</v>
      </c>
      <c r="GX20" s="6">
        <f>IF(SUMIFS('Locations Data'!$C:$C,'Locations Data'!$G:$G,$B20,'Locations Data'!$B:$B,GX$5)&gt;0,1,0)</f>
        <v>0</v>
      </c>
      <c r="GY20" s="6">
        <f>IF(SUMIFS('Locations Data'!$C:$C,'Locations Data'!$G:$G,$B20,'Locations Data'!$B:$B,GY$5)&gt;0,1,0)</f>
        <v>0</v>
      </c>
      <c r="GZ20" s="6">
        <f>IF(SUMIFS('Locations Data'!$C:$C,'Locations Data'!$G:$G,$B20,'Locations Data'!$B:$B,GZ$5)&gt;0,1,0)</f>
        <v>0</v>
      </c>
      <c r="HA20" s="6">
        <f>IF(SUMIFS('Locations Data'!$C:$C,'Locations Data'!$G:$G,$B20,'Locations Data'!$B:$B,HA$5)&gt;0,1,0)</f>
        <v>0</v>
      </c>
      <c r="HB20" s="6">
        <f>IF(SUMIFS('Locations Data'!$C:$C,'Locations Data'!$G:$G,$B20,'Locations Data'!$B:$B,HB$5)&gt;0,1,0)</f>
        <v>0</v>
      </c>
      <c r="HC20" s="6">
        <f>IF(SUMIFS('Locations Data'!$C:$C,'Locations Data'!$G:$G,$B20,'Locations Data'!$B:$B,HC$5)&gt;0,1,0)</f>
        <v>0</v>
      </c>
      <c r="HD20" s="6">
        <f>IF(SUMIFS('Locations Data'!$C:$C,'Locations Data'!$G:$G,$B20,'Locations Data'!$B:$B,HD$5)&gt;0,1,0)</f>
        <v>0</v>
      </c>
      <c r="HE20" s="6">
        <f>IF(SUMIFS('Locations Data'!$C:$C,'Locations Data'!$G:$G,$B20,'Locations Data'!$B:$B,HE$5)&gt;0,1,0)</f>
        <v>0</v>
      </c>
      <c r="HF20" s="6">
        <f>IF(SUMIFS('Locations Data'!$C:$C,'Locations Data'!$G:$G,$B20,'Locations Data'!$B:$B,HF$5)&gt;0,1,0)</f>
        <v>0</v>
      </c>
      <c r="HG20" s="6">
        <f>IF(SUMIFS('Locations Data'!$C:$C,'Locations Data'!$G:$G,$B20,'Locations Data'!$B:$B,HG$5)&gt;0,1,0)</f>
        <v>0</v>
      </c>
      <c r="HH20" s="6">
        <f>IF(SUMIFS('Locations Data'!$C:$C,'Locations Data'!$G:$G,$B20,'Locations Data'!$B:$B,HH$5)&gt;0,1,0)</f>
        <v>0</v>
      </c>
      <c r="HI20" s="6">
        <f>IF(SUMIFS('Locations Data'!$C:$C,'Locations Data'!$G:$G,$B20,'Locations Data'!$B:$B,HI$5)&gt;0,1,0)</f>
        <v>0</v>
      </c>
      <c r="HJ20" s="6">
        <f>IF(SUMIFS('Locations Data'!$C:$C,'Locations Data'!$G:$G,$B20,'Locations Data'!$B:$B,HJ$5)&gt;0,1,0)</f>
        <v>0</v>
      </c>
      <c r="HK20" s="6">
        <f>IF(SUMIFS('Locations Data'!$C:$C,'Locations Data'!$G:$G,$B20,'Locations Data'!$B:$B,HK$5)&gt;0,1,0)</f>
        <v>0</v>
      </c>
      <c r="HL20" s="6">
        <f>IF(SUMIFS('Locations Data'!$C:$C,'Locations Data'!$G:$G,$B20,'Locations Data'!$B:$B,HL$5)&gt;0,1,0)</f>
        <v>0</v>
      </c>
      <c r="HM20" s="6">
        <f>IF(SUMIFS('Locations Data'!$C:$C,'Locations Data'!$G:$G,$B20,'Locations Data'!$B:$B,HM$5)&gt;0,1,0)</f>
        <v>0</v>
      </c>
      <c r="HN20" s="6">
        <f>IF(SUMIFS('Locations Data'!$C:$C,'Locations Data'!$G:$G,$B20,'Locations Data'!$B:$B,HN$5)&gt;0,1,0)</f>
        <v>0</v>
      </c>
      <c r="HO20" s="6">
        <f>IF(SUMIFS('Locations Data'!$C:$C,'Locations Data'!$G:$G,$B20,'Locations Data'!$B:$B,HO$5)&gt;0,1,0)</f>
        <v>0</v>
      </c>
      <c r="HP20" s="6">
        <f>IF(SUMIFS('Locations Data'!$C:$C,'Locations Data'!$G:$G,$B20,'Locations Data'!$B:$B,HP$5)&gt;0,1,0)</f>
        <v>0</v>
      </c>
      <c r="HQ20" s="6">
        <f>IF(SUMIFS('Locations Data'!$C:$C,'Locations Data'!$G:$G,$B20,'Locations Data'!$B:$B,HQ$5)&gt;0,1,0)</f>
        <v>0</v>
      </c>
      <c r="HR20" s="6">
        <f>IF(SUMIFS('Locations Data'!$C:$C,'Locations Data'!$G:$G,$B20,'Locations Data'!$B:$B,HR$5)&gt;0,1,0)</f>
        <v>0</v>
      </c>
      <c r="HS20" s="6">
        <f>IF(SUMIFS('Locations Data'!$C:$C,'Locations Data'!$G:$G,$B20,'Locations Data'!$B:$B,HS$5)&gt;0,1,0)</f>
        <v>0</v>
      </c>
      <c r="HT20" s="6">
        <f>IF(SUMIFS('Locations Data'!$C:$C,'Locations Data'!$G:$G,$B20,'Locations Data'!$B:$B,HT$5)&gt;0,1,0)</f>
        <v>0</v>
      </c>
      <c r="HU20" s="6">
        <f>IF(SUMIFS('Locations Data'!$C:$C,'Locations Data'!$G:$G,$B20,'Locations Data'!$B:$B,HU$5)&gt;0,1,0)</f>
        <v>0</v>
      </c>
      <c r="HV20" s="6">
        <f>IF(SUMIFS('Locations Data'!$C:$C,'Locations Data'!$G:$G,$B20,'Locations Data'!$B:$B,HV$5)&gt;0,1,0)</f>
        <v>0</v>
      </c>
      <c r="HW20" s="6">
        <f>IF(SUMIFS('Locations Data'!$C:$C,'Locations Data'!$G:$G,$B20,'Locations Data'!$B:$B,HW$5)&gt;0,1,0)</f>
        <v>0</v>
      </c>
      <c r="HX20" s="6">
        <f>IF(SUMIFS('Locations Data'!$C:$C,'Locations Data'!$G:$G,$B20,'Locations Data'!$B:$B,HX$5)&gt;0,1,0)</f>
        <v>0</v>
      </c>
      <c r="HY20" s="6">
        <f>IF(SUMIFS('Locations Data'!$C:$C,'Locations Data'!$G:$G,$B20,'Locations Data'!$B:$B,HY$5)&gt;0,1,0)</f>
        <v>0</v>
      </c>
      <c r="HZ20" s="6">
        <f>IF(SUMIFS('Locations Data'!$C:$C,'Locations Data'!$G:$G,$B20,'Locations Data'!$B:$B,HZ$5)&gt;0,1,0)</f>
        <v>0</v>
      </c>
      <c r="IA20" s="6">
        <f>IF(SUMIFS('Locations Data'!$C:$C,'Locations Data'!$G:$G,$B20,'Locations Data'!$B:$B,IA$5)&gt;0,1,0)</f>
        <v>0</v>
      </c>
      <c r="IB20" s="6">
        <f>IF(SUMIFS('Locations Data'!$C:$C,'Locations Data'!$G:$G,$B20,'Locations Data'!$B:$B,IB$5)&gt;0,1,0)</f>
        <v>0</v>
      </c>
      <c r="IC20" s="6">
        <f>IF(SUMIFS('Locations Data'!$C:$C,'Locations Data'!$G:$G,$B20,'Locations Data'!$B:$B,IC$5)&gt;0,1,0)</f>
        <v>0</v>
      </c>
      <c r="ID20" s="6">
        <f>IF(SUMIFS('Locations Data'!$C:$C,'Locations Data'!$G:$G,$B20,'Locations Data'!$B:$B,ID$5)&gt;0,1,0)</f>
        <v>0</v>
      </c>
      <c r="IE20" s="6">
        <f>IF(SUMIFS('Locations Data'!$C:$C,'Locations Data'!$G:$G,$B20,'Locations Data'!$B:$B,IE$5)&gt;0,1,0)</f>
        <v>0</v>
      </c>
      <c r="IF20" s="6">
        <f>IF(SUMIFS('Locations Data'!$C:$C,'Locations Data'!$G:$G,$B20,'Locations Data'!$B:$B,IF$5)&gt;0,1,0)</f>
        <v>0</v>
      </c>
      <c r="IG20" s="6">
        <f>IF(SUMIFS('Locations Data'!$C:$C,'Locations Data'!$G:$G,$B20,'Locations Data'!$B:$B,IG$5)&gt;0,1,0)</f>
        <v>0</v>
      </c>
      <c r="IH20" s="6">
        <f>IF(SUMIFS('Locations Data'!$C:$C,'Locations Data'!$G:$G,$B20,'Locations Data'!$B:$B,IH$5)&gt;0,1,0)</f>
        <v>0</v>
      </c>
      <c r="II20" s="6">
        <f>IF(SUMIFS('Locations Data'!$C:$C,'Locations Data'!$G:$G,$B20,'Locations Data'!$B:$B,II$5)&gt;0,1,0)</f>
        <v>0</v>
      </c>
      <c r="IJ20" s="6">
        <f>IF(SUMIFS('Locations Data'!$C:$C,'Locations Data'!$G:$G,$B20,'Locations Data'!$B:$B,IJ$5)&gt;0,1,0)</f>
        <v>0</v>
      </c>
      <c r="IK20" s="6">
        <f>IF(SUMIFS('Locations Data'!$C:$C,'Locations Data'!$G:$G,$B20,'Locations Data'!$B:$B,IK$5)&gt;0,1,0)</f>
        <v>0</v>
      </c>
      <c r="IL20" s="6">
        <f>IF(SUMIFS('Locations Data'!$C:$C,'Locations Data'!$G:$G,$B20,'Locations Data'!$B:$B,IL$5)&gt;0,1,0)</f>
        <v>0</v>
      </c>
      <c r="IM20" s="6">
        <f>IF(SUMIFS('Locations Data'!$C:$C,'Locations Data'!$G:$G,$B20,'Locations Data'!$B:$B,IM$5)&gt;0,1,0)</f>
        <v>0</v>
      </c>
      <c r="IN20" s="6">
        <f>IF(SUMIFS('Locations Data'!$C:$C,'Locations Data'!$G:$G,$B20,'Locations Data'!$B:$B,IN$5)&gt;0,1,0)</f>
        <v>0</v>
      </c>
      <c r="IO20" s="6">
        <f>IF(SUMIFS('Locations Data'!$C:$C,'Locations Data'!$G:$G,$B20,'Locations Data'!$B:$B,IO$5)&gt;0,1,0)</f>
        <v>0</v>
      </c>
      <c r="IP20" s="6">
        <f>IF(SUMIFS('Locations Data'!$C:$C,'Locations Data'!$G:$G,$B20,'Locations Data'!$B:$B,IP$5)&gt;0,1,0)</f>
        <v>0</v>
      </c>
      <c r="IQ20" s="6">
        <f>IF(SUMIFS('Locations Data'!$C:$C,'Locations Data'!$G:$G,$B20,'Locations Data'!$B:$B,IQ$5)&gt;0,1,0)</f>
        <v>0</v>
      </c>
      <c r="IR20" s="6">
        <f>IF(SUMIFS('Locations Data'!$C:$C,'Locations Data'!$G:$G,$B20,'Locations Data'!$B:$B,IR$5)&gt;0,1,0)</f>
        <v>0</v>
      </c>
      <c r="IS20" s="6">
        <f>IF(SUMIFS('Locations Data'!$C:$C,'Locations Data'!$G:$G,$B20,'Locations Data'!$B:$B,IS$5)&gt;0,1,0)</f>
        <v>0</v>
      </c>
      <c r="IT20" s="6">
        <f>IF(SUMIFS('Locations Data'!$C:$C,'Locations Data'!$G:$G,$B20,'Locations Data'!$B:$B,IT$5)&gt;0,1,0)</f>
        <v>0</v>
      </c>
      <c r="IU20" s="6">
        <f>IF(SUMIFS('Locations Data'!$C:$C,'Locations Data'!$G:$G,$B20,'Locations Data'!$B:$B,IU$5)&gt;0,1,0)</f>
        <v>0</v>
      </c>
      <c r="IV20" s="6">
        <f>IF(SUMIFS('Locations Data'!$C:$C,'Locations Data'!$G:$G,$B20,'Locations Data'!$B:$B,IV$5)&gt;0,1,0)</f>
        <v>0</v>
      </c>
      <c r="IW20" s="6">
        <f>IF(SUMIFS('Locations Data'!$C:$C,'Locations Data'!$G:$G,$B20,'Locations Data'!$B:$B,IW$5)&gt;0,1,0)</f>
        <v>0</v>
      </c>
      <c r="IX20" s="6">
        <f>IF(SUMIFS('Locations Data'!$C:$C,'Locations Data'!$G:$G,$B20,'Locations Data'!$B:$B,IX$5)&gt;0,1,0)</f>
        <v>0</v>
      </c>
      <c r="IY20" s="6">
        <f>IF(SUMIFS('Locations Data'!$C:$C,'Locations Data'!$G:$G,$B20,'Locations Data'!$B:$B,IY$5)&gt;0,1,0)</f>
        <v>0</v>
      </c>
      <c r="IZ20" s="6">
        <f>IF(SUMIFS('Locations Data'!$C:$C,'Locations Data'!$G:$G,$B20,'Locations Data'!$B:$B,IZ$5)&gt;0,1,0)</f>
        <v>0</v>
      </c>
      <c r="JA20" s="6">
        <f>IF(SUMIFS('Locations Data'!$C:$C,'Locations Data'!$G:$G,$B20,'Locations Data'!$B:$B,JA$5)&gt;0,1,0)</f>
        <v>0</v>
      </c>
      <c r="JB20" s="6">
        <f>IF(SUMIFS('Locations Data'!$C:$C,'Locations Data'!$G:$G,$B20,'Locations Data'!$B:$B,JB$5)&gt;0,1,0)</f>
        <v>0</v>
      </c>
      <c r="JC20" s="6">
        <f>IF(SUMIFS('Locations Data'!$C:$C,'Locations Data'!$G:$G,$B20,'Locations Data'!$B:$B,JC$5)&gt;0,1,0)</f>
        <v>0</v>
      </c>
      <c r="JD20" s="6">
        <f>IF(SUMIFS('Locations Data'!$C:$C,'Locations Data'!$G:$G,$B20,'Locations Data'!$B:$B,JD$5)&gt;0,1,0)</f>
        <v>0</v>
      </c>
      <c r="JE20" s="6">
        <f>IF(SUMIFS('Locations Data'!$C:$C,'Locations Data'!$G:$G,$B20,'Locations Data'!$B:$B,JE$5)&gt;0,1,0)</f>
        <v>0</v>
      </c>
      <c r="JF20" s="6">
        <f>IF(SUMIFS('Locations Data'!$C:$C,'Locations Data'!$G:$G,$B20,'Locations Data'!$B:$B,JF$5)&gt;0,1,0)</f>
        <v>0</v>
      </c>
      <c r="JG20" s="6">
        <f>IF(SUMIFS('Locations Data'!$C:$C,'Locations Data'!$G:$G,$B20,'Locations Data'!$B:$B,JG$5)&gt;0,1,0)</f>
        <v>0</v>
      </c>
      <c r="JH20" s="6">
        <f>IF(SUMIFS('Locations Data'!$C:$C,'Locations Data'!$G:$G,$B20,'Locations Data'!$B:$B,JH$5)&gt;0,1,0)</f>
        <v>0</v>
      </c>
      <c r="JI20" s="6">
        <f>IF(SUMIFS('Locations Data'!$C:$C,'Locations Data'!$G:$G,$B20,'Locations Data'!$B:$B,JI$5)&gt;0,1,0)</f>
        <v>0</v>
      </c>
      <c r="JJ20" s="6">
        <f>IF(SUMIFS('Locations Data'!$C:$C,'Locations Data'!$G:$G,$B20,'Locations Data'!$B:$B,JJ$5)&gt;0,1,0)</f>
        <v>0</v>
      </c>
      <c r="JK20" s="6">
        <f>IF(SUMIFS('Locations Data'!$C:$C,'Locations Data'!$G:$G,$B20,'Locations Data'!$B:$B,JK$5)&gt;0,1,0)</f>
        <v>0</v>
      </c>
      <c r="JL20" s="6">
        <f>IF(SUMIFS('Locations Data'!$C:$C,'Locations Data'!$G:$G,$B20,'Locations Data'!$B:$B,JL$5)&gt;0,1,0)</f>
        <v>0</v>
      </c>
      <c r="JM20" s="6">
        <f>IF(SUMIFS('Locations Data'!$C:$C,'Locations Data'!$G:$G,$B20,'Locations Data'!$B:$B,JM$5)&gt;0,1,0)</f>
        <v>0</v>
      </c>
      <c r="JN20" s="6">
        <f>IF(SUMIFS('Locations Data'!$C:$C,'Locations Data'!$G:$G,$B20,'Locations Data'!$B:$B,JN$5)&gt;0,1,0)</f>
        <v>0</v>
      </c>
      <c r="JO20" s="6">
        <f>IF(SUMIFS('Locations Data'!$C:$C,'Locations Data'!$G:$G,$B20,'Locations Data'!$B:$B,JO$5)&gt;0,1,0)</f>
        <v>0</v>
      </c>
      <c r="JP20" s="6">
        <f>IF(SUMIFS('Locations Data'!$C:$C,'Locations Data'!$G:$G,$B20,'Locations Data'!$B:$B,JP$5)&gt;0,1,0)</f>
        <v>0</v>
      </c>
      <c r="JQ20" s="6">
        <f>IF(SUMIFS('Locations Data'!$C:$C,'Locations Data'!$G:$G,$B20,'Locations Data'!$B:$B,JQ$5)&gt;0,1,0)</f>
        <v>0</v>
      </c>
      <c r="JR20" s="6">
        <f>IF(SUMIFS('Locations Data'!$C:$C,'Locations Data'!$G:$G,$B20,'Locations Data'!$B:$B,JR$5)&gt;0,1,0)</f>
        <v>0</v>
      </c>
      <c r="JS20" s="6">
        <f>IF(SUMIFS('Locations Data'!$C:$C,'Locations Data'!$G:$G,$B20,'Locations Data'!$B:$B,JS$5)&gt;0,1,0)</f>
        <v>0</v>
      </c>
      <c r="JT20" s="6">
        <f>IF(SUMIFS('Locations Data'!$C:$C,'Locations Data'!$G:$G,$B20,'Locations Data'!$B:$B,JT$5)&gt;0,1,0)</f>
        <v>0</v>
      </c>
      <c r="JU20" s="6">
        <f>IF(SUMIFS('Locations Data'!$C:$C,'Locations Data'!$G:$G,$B20,'Locations Data'!$B:$B,JU$5)&gt;0,1,0)</f>
        <v>0</v>
      </c>
      <c r="JV20" s="6">
        <f>IF(SUMIFS('Locations Data'!$C:$C,'Locations Data'!$G:$G,$B20,'Locations Data'!$B:$B,JV$5)&gt;0,1,0)</f>
        <v>0</v>
      </c>
      <c r="JW20" s="6">
        <f>IF(SUMIFS('Locations Data'!$C:$C,'Locations Data'!$G:$G,$B20,'Locations Data'!$B:$B,JW$5)&gt;0,1,0)</f>
        <v>0</v>
      </c>
      <c r="JX20" s="6">
        <f>IF(SUMIFS('Locations Data'!$C:$C,'Locations Data'!$G:$G,$B20,'Locations Data'!$B:$B,JX$5)&gt;0,1,0)</f>
        <v>0</v>
      </c>
      <c r="JY20" s="6">
        <f>IF(SUMIFS('Locations Data'!$C:$C,'Locations Data'!$G:$G,$B20,'Locations Data'!$B:$B,JY$5)&gt;0,1,0)</f>
        <v>0</v>
      </c>
      <c r="JZ20" s="6">
        <f>IF(SUMIFS('Locations Data'!$C:$C,'Locations Data'!$G:$G,$B20,'Locations Data'!$B:$B,JZ$5)&gt;0,1,0)</f>
        <v>0</v>
      </c>
      <c r="KA20" s="6">
        <f>IF(SUMIFS('Locations Data'!$C:$C,'Locations Data'!$G:$G,$B20,'Locations Data'!$B:$B,KA$5)&gt;0,1,0)</f>
        <v>0</v>
      </c>
      <c r="KB20" s="6">
        <f>IF(SUMIFS('Locations Data'!$C:$C,'Locations Data'!$G:$G,$B20,'Locations Data'!$B:$B,KB$5)&gt;0,1,0)</f>
        <v>0</v>
      </c>
      <c r="KC20" s="6">
        <f>IF(SUMIFS('Locations Data'!$C:$C,'Locations Data'!$G:$G,$B20,'Locations Data'!$B:$B,KC$5)&gt;0,1,0)</f>
        <v>0</v>
      </c>
      <c r="KD20" s="6">
        <f>IF(SUMIFS('Locations Data'!$C:$C,'Locations Data'!$G:$G,$B20,'Locations Data'!$B:$B,KD$5)&gt;0,1,0)</f>
        <v>0</v>
      </c>
      <c r="KE20" s="6">
        <f>IF(SUMIFS('Locations Data'!$C:$C,'Locations Data'!$G:$G,$B20,'Locations Data'!$B:$B,KE$5)&gt;0,1,0)</f>
        <v>0</v>
      </c>
      <c r="KF20" s="6">
        <f>IF(SUMIFS('Locations Data'!$C:$C,'Locations Data'!$G:$G,$B20,'Locations Data'!$B:$B,KF$5)&gt;0,1,0)</f>
        <v>0</v>
      </c>
      <c r="KG20" s="6">
        <f>IF(SUMIFS('Locations Data'!$C:$C,'Locations Data'!$G:$G,$B20,'Locations Data'!$B:$B,KG$5)&gt;0,1,0)</f>
        <v>0</v>
      </c>
      <c r="KH20" s="6">
        <f>IF(SUMIFS('Locations Data'!$C:$C,'Locations Data'!$G:$G,$B20,'Locations Data'!$B:$B,KH$5)&gt;0,1,0)</f>
        <v>0</v>
      </c>
      <c r="KI20" s="6">
        <f>IF(SUMIFS('Locations Data'!$C:$C,'Locations Data'!$G:$G,$B20,'Locations Data'!$B:$B,KI$5)&gt;0,1,0)</f>
        <v>0</v>
      </c>
      <c r="KJ20" s="6">
        <f>IF(SUMIFS('Locations Data'!$C:$C,'Locations Data'!$G:$G,$B20,'Locations Data'!$B:$B,KJ$5)&gt;0,1,0)</f>
        <v>0</v>
      </c>
      <c r="KK20" s="6">
        <f>IF(SUMIFS('Locations Data'!$C:$C,'Locations Data'!$G:$G,$B20,'Locations Data'!$B:$B,KK$5)&gt;0,1,0)</f>
        <v>0</v>
      </c>
      <c r="KL20" s="6">
        <f>IF(SUMIFS('Locations Data'!$C:$C,'Locations Data'!$G:$G,$B20,'Locations Data'!$B:$B,KL$5)&gt;0,1,0)</f>
        <v>0</v>
      </c>
      <c r="KM20" s="6">
        <f>IF(SUMIFS('Locations Data'!$C:$C,'Locations Data'!$G:$G,$B20,'Locations Data'!$B:$B,KM$5)&gt;0,1,0)</f>
        <v>0</v>
      </c>
      <c r="KN20" s="6">
        <f>IF(SUMIFS('Locations Data'!$C:$C,'Locations Data'!$G:$G,$B20,'Locations Data'!$B:$B,KN$5)&gt;0,1,0)</f>
        <v>0</v>
      </c>
      <c r="KO20" s="6">
        <f>IF(SUMIFS('Locations Data'!$C:$C,'Locations Data'!$G:$G,$B20,'Locations Data'!$B:$B,KO$5)&gt;0,1,0)</f>
        <v>0</v>
      </c>
      <c r="KP20" s="6">
        <f>IF(SUMIFS('Locations Data'!$C:$C,'Locations Data'!$G:$G,$B20,'Locations Data'!$B:$B,KP$5)&gt;0,1,0)</f>
        <v>0</v>
      </c>
      <c r="KQ20" s="6">
        <f>IF(SUMIFS('Locations Data'!$C:$C,'Locations Data'!$G:$G,$B20,'Locations Data'!$B:$B,KQ$5)&gt;0,1,0)</f>
        <v>0</v>
      </c>
      <c r="KR20" s="6">
        <f>IF(SUMIFS('Locations Data'!$C:$C,'Locations Data'!$G:$G,$B20,'Locations Data'!$B:$B,KR$5)&gt;0,1,0)</f>
        <v>0</v>
      </c>
      <c r="KS20" s="6">
        <f>IF(SUMIFS('Locations Data'!$C:$C,'Locations Data'!$G:$G,$B20,'Locations Data'!$B:$B,KS$5)&gt;0,1,0)</f>
        <v>0</v>
      </c>
      <c r="KT20" s="6">
        <f>IF(SUMIFS('Locations Data'!$C:$C,'Locations Data'!$G:$G,$B20,'Locations Data'!$B:$B,KT$5)&gt;0,1,0)</f>
        <v>0</v>
      </c>
      <c r="KU20" s="6">
        <f>IF(SUMIFS('Locations Data'!$C:$C,'Locations Data'!$G:$G,$B20,'Locations Data'!$B:$B,KU$5)&gt;0,1,0)</f>
        <v>0</v>
      </c>
      <c r="KV20" s="6">
        <f>IF(SUMIFS('Locations Data'!$C:$C,'Locations Data'!$G:$G,$B20,'Locations Data'!$B:$B,KV$5)&gt;0,1,0)</f>
        <v>0</v>
      </c>
      <c r="KW20" s="6">
        <f>IF(SUMIFS('Locations Data'!$C:$C,'Locations Data'!$G:$G,$B20,'Locations Data'!$B:$B,KW$5)&gt;0,1,0)</f>
        <v>0</v>
      </c>
      <c r="KX20" s="6">
        <f>IF(SUMIFS('Locations Data'!$C:$C,'Locations Data'!$G:$G,$B20,'Locations Data'!$B:$B,KX$5)&gt;0,1,0)</f>
        <v>0</v>
      </c>
      <c r="KY20" s="6">
        <f>IF(SUMIFS('Locations Data'!$C:$C,'Locations Data'!$G:$G,$B20,'Locations Data'!$B:$B,KY$5)&gt;0,1,0)</f>
        <v>0</v>
      </c>
      <c r="KZ20" s="6">
        <f>IF(SUMIFS('Locations Data'!$C:$C,'Locations Data'!$G:$G,$B20,'Locations Data'!$B:$B,KZ$5)&gt;0,1,0)</f>
        <v>0</v>
      </c>
      <c r="LA20" s="6">
        <f>IF(SUMIFS('Locations Data'!$C:$C,'Locations Data'!$G:$G,$B20,'Locations Data'!$B:$B,LA$5)&gt;0,1,0)</f>
        <v>0</v>
      </c>
      <c r="LB20" s="6">
        <f>IF(SUMIFS('Locations Data'!$C:$C,'Locations Data'!$G:$G,$B20,'Locations Data'!$B:$B,LB$5)&gt;0,1,0)</f>
        <v>0</v>
      </c>
      <c r="LC20" s="6">
        <f>IF(SUMIFS('Locations Data'!$C:$C,'Locations Data'!$G:$G,$B20,'Locations Data'!$B:$B,LC$5)&gt;0,1,0)</f>
        <v>0</v>
      </c>
      <c r="LD20" s="6">
        <f>IF(SUMIFS('Locations Data'!$C:$C,'Locations Data'!$G:$G,$B20,'Locations Data'!$B:$B,LD$5)&gt;0,1,0)</f>
        <v>0</v>
      </c>
      <c r="LE20" s="6">
        <f>IF(SUMIFS('Locations Data'!$C:$C,'Locations Data'!$G:$G,$B20,'Locations Data'!$B:$B,LE$5)&gt;0,1,0)</f>
        <v>0</v>
      </c>
      <c r="LF20" s="6">
        <f>IF(SUMIFS('Locations Data'!$C:$C,'Locations Data'!$G:$G,$B20,'Locations Data'!$B:$B,LF$5)&gt;0,1,0)</f>
        <v>0</v>
      </c>
      <c r="LG20" s="6">
        <f>IF(SUMIFS('Locations Data'!$C:$C,'Locations Data'!$G:$G,$B20,'Locations Data'!$B:$B,LG$5)&gt;0,1,0)</f>
        <v>0</v>
      </c>
      <c r="LH20" s="6">
        <f>IF(SUMIFS('Locations Data'!$C:$C,'Locations Data'!$G:$G,$B20,'Locations Data'!$B:$B,LH$5)&gt;0,1,0)</f>
        <v>0</v>
      </c>
      <c r="LI20" s="6">
        <f>IF(SUMIFS('Locations Data'!$C:$C,'Locations Data'!$G:$G,$B20,'Locations Data'!$B:$B,LI$5)&gt;0,1,0)</f>
        <v>0</v>
      </c>
      <c r="LJ20" s="6">
        <f>IF(SUMIFS('Locations Data'!$C:$C,'Locations Data'!$G:$G,$B20,'Locations Data'!$B:$B,LJ$5)&gt;0,1,0)</f>
        <v>0</v>
      </c>
      <c r="LK20" s="6">
        <f>IF(SUMIFS('Locations Data'!$C:$C,'Locations Data'!$G:$G,$B20,'Locations Data'!$B:$B,LK$5)&gt;0,1,0)</f>
        <v>0</v>
      </c>
      <c r="LL20" s="6">
        <f>IF(SUMIFS('Locations Data'!$C:$C,'Locations Data'!$G:$G,$B20,'Locations Data'!$B:$B,LL$5)&gt;0,1,0)</f>
        <v>0</v>
      </c>
      <c r="LM20" s="6">
        <f>IF(SUMIFS('Locations Data'!$C:$C,'Locations Data'!$G:$G,$B20,'Locations Data'!$B:$B,LM$5)&gt;0,1,0)</f>
        <v>0</v>
      </c>
      <c r="LN20" s="6">
        <f>IF(SUMIFS('Locations Data'!$C:$C,'Locations Data'!$G:$G,$B20,'Locations Data'!$B:$B,LN$5)&gt;0,1,0)</f>
        <v>0</v>
      </c>
      <c r="LO20" s="6">
        <f>IF(SUMIFS('Locations Data'!$C:$C,'Locations Data'!$G:$G,$B20,'Locations Data'!$B:$B,LO$5)&gt;0,1,0)</f>
        <v>0</v>
      </c>
      <c r="LP20" s="6">
        <f>IF(SUMIFS('Locations Data'!$C:$C,'Locations Data'!$G:$G,$B20,'Locations Data'!$B:$B,LP$5)&gt;0,1,0)</f>
        <v>0</v>
      </c>
      <c r="LQ20" s="6">
        <f>IF(SUMIFS('Locations Data'!$C:$C,'Locations Data'!$G:$G,$B20,'Locations Data'!$B:$B,LQ$5)&gt;0,1,0)</f>
        <v>0</v>
      </c>
      <c r="LR20" s="6">
        <f>IF(SUMIFS('Locations Data'!$C:$C,'Locations Data'!$G:$G,$B20,'Locations Data'!$B:$B,LR$5)&gt;0,1,0)</f>
        <v>0</v>
      </c>
      <c r="LS20" s="6">
        <f>IF(SUMIFS('Locations Data'!$C:$C,'Locations Data'!$G:$G,$B20,'Locations Data'!$B:$B,LS$5)&gt;0,1,0)</f>
        <v>0</v>
      </c>
      <c r="LT20" s="6">
        <f>IF(SUMIFS('Locations Data'!$C:$C,'Locations Data'!$G:$G,$B20,'Locations Data'!$B:$B,LT$5)&gt;0,1,0)</f>
        <v>0</v>
      </c>
      <c r="LU20" s="6">
        <f>IF(SUMIFS('Locations Data'!$C:$C,'Locations Data'!$G:$G,$B20,'Locations Data'!$B:$B,LU$5)&gt;0,1,0)</f>
        <v>0</v>
      </c>
      <c r="LV20" s="6">
        <f>IF(SUMIFS('Locations Data'!$C:$C,'Locations Data'!$G:$G,$B20,'Locations Data'!$B:$B,LV$5)&gt;0,1,0)</f>
        <v>0</v>
      </c>
      <c r="LW20" s="6">
        <f>IF(SUMIFS('Locations Data'!$C:$C,'Locations Data'!$G:$G,$B20,'Locations Data'!$B:$B,LW$5)&gt;0,1,0)</f>
        <v>0</v>
      </c>
      <c r="LX20" s="6">
        <f>IF(SUMIFS('Locations Data'!$C:$C,'Locations Data'!$G:$G,$B20,'Locations Data'!$B:$B,LX$5)&gt;0,1,0)</f>
        <v>0</v>
      </c>
      <c r="LY20" s="6">
        <f>IF(SUMIFS('Locations Data'!$C:$C,'Locations Data'!$G:$G,$B20,'Locations Data'!$B:$B,LY$5)&gt;0,1,0)</f>
        <v>0</v>
      </c>
      <c r="LZ20" s="6">
        <f>IF(SUMIFS('Locations Data'!$C:$C,'Locations Data'!$G:$G,$B20,'Locations Data'!$B:$B,LZ$5)&gt;0,1,0)</f>
        <v>0</v>
      </c>
      <c r="MA20" s="6">
        <f>IF(SUMIFS('Locations Data'!$C:$C,'Locations Data'!$G:$G,$B20,'Locations Data'!$B:$B,MA$5)&gt;0,1,0)</f>
        <v>0</v>
      </c>
      <c r="MB20" s="6">
        <f>IF(SUMIFS('Locations Data'!$C:$C,'Locations Data'!$G:$G,$B20,'Locations Data'!$B:$B,MB$5)&gt;0,1,0)</f>
        <v>0</v>
      </c>
      <c r="MC20" s="6">
        <f>IF(SUMIFS('Locations Data'!$C:$C,'Locations Data'!$G:$G,$B20,'Locations Data'!$B:$B,MC$5)&gt;0,1,0)</f>
        <v>0</v>
      </c>
      <c r="MD20" s="6">
        <f>IF(SUMIFS('Locations Data'!$C:$C,'Locations Data'!$G:$G,$B20,'Locations Data'!$B:$B,MD$5)&gt;0,1,0)</f>
        <v>0</v>
      </c>
      <c r="ME20" s="6">
        <f>IF(SUMIFS('Locations Data'!$C:$C,'Locations Data'!$G:$G,$B20,'Locations Data'!$B:$B,ME$5)&gt;0,1,0)</f>
        <v>0</v>
      </c>
      <c r="MF20" s="6">
        <f>IF(SUMIFS('Locations Data'!$C:$C,'Locations Data'!$G:$G,$B20,'Locations Data'!$B:$B,MF$5)&gt;0,1,0)</f>
        <v>0</v>
      </c>
      <c r="MG20" s="6">
        <f>IF(SUMIFS('Locations Data'!$C:$C,'Locations Data'!$G:$G,$B20,'Locations Data'!$B:$B,MG$5)&gt;0,1,0)</f>
        <v>0</v>
      </c>
      <c r="MH20" s="6">
        <f>IF(SUMIFS('Locations Data'!$C:$C,'Locations Data'!$G:$G,$B20,'Locations Data'!$B:$B,MH$5)&gt;0,1,0)</f>
        <v>0</v>
      </c>
      <c r="MI20" s="6">
        <f>IF(SUMIFS('Locations Data'!$C:$C,'Locations Data'!$G:$G,$B20,'Locations Data'!$B:$B,MI$5)&gt;0,1,0)</f>
        <v>0</v>
      </c>
      <c r="MJ20" s="6">
        <f>IF(SUMIFS('Locations Data'!$C:$C,'Locations Data'!$G:$G,$B20,'Locations Data'!$B:$B,MJ$5)&gt;0,1,0)</f>
        <v>0</v>
      </c>
      <c r="MK20" s="6">
        <f>IF(SUMIFS('Locations Data'!$C:$C,'Locations Data'!$G:$G,$B20,'Locations Data'!$B:$B,MK$5)&gt;0,1,0)</f>
        <v>0</v>
      </c>
      <c r="ML20" s="6">
        <f>IF(SUMIFS('Locations Data'!$C:$C,'Locations Data'!$G:$G,$B20,'Locations Data'!$B:$B,ML$5)&gt;0,1,0)</f>
        <v>0</v>
      </c>
      <c r="MM20" s="6">
        <f>IF(SUMIFS('Locations Data'!$C:$C,'Locations Data'!$G:$G,$B20,'Locations Data'!$B:$B,MM$5)&gt;0,1,0)</f>
        <v>0</v>
      </c>
      <c r="MN20" s="6">
        <f>IF(SUMIFS('Locations Data'!$C:$C,'Locations Data'!$G:$G,$B20,'Locations Data'!$B:$B,MN$5)&gt;0,1,0)</f>
        <v>0</v>
      </c>
      <c r="MO20" s="6">
        <f>IF(SUMIFS('Locations Data'!$C:$C,'Locations Data'!$G:$G,$B20,'Locations Data'!$B:$B,MO$5)&gt;0,1,0)</f>
        <v>0</v>
      </c>
      <c r="MP20" s="6">
        <f>IF(SUMIFS('Locations Data'!$C:$C,'Locations Data'!$G:$G,$B20,'Locations Data'!$B:$B,MP$5)&gt;0,1,0)</f>
        <v>0</v>
      </c>
      <c r="MQ20" s="6">
        <f>IF(SUMIFS('Locations Data'!$C:$C,'Locations Data'!$G:$G,$B20,'Locations Data'!$B:$B,MQ$5)&gt;0,1,0)</f>
        <v>0</v>
      </c>
      <c r="MR20" s="6">
        <f>IF(SUMIFS('Locations Data'!$C:$C,'Locations Data'!$G:$G,$B20,'Locations Data'!$B:$B,MR$5)&gt;0,1,0)</f>
        <v>0</v>
      </c>
      <c r="MS20" s="6">
        <f>IF(SUMIFS('Locations Data'!$C:$C,'Locations Data'!$G:$G,$B20,'Locations Data'!$B:$B,MS$5)&gt;0,1,0)</f>
        <v>0</v>
      </c>
      <c r="MT20" s="6">
        <f>IF(SUMIFS('Locations Data'!$C:$C,'Locations Data'!$G:$G,$B20,'Locations Data'!$B:$B,MT$5)&gt;0,1,0)</f>
        <v>0</v>
      </c>
      <c r="MU20" s="6">
        <f>IF(SUMIFS('Locations Data'!$C:$C,'Locations Data'!$G:$G,$B20,'Locations Data'!$B:$B,MU$5)&gt;0,1,0)</f>
        <v>0</v>
      </c>
      <c r="MV20" s="6">
        <f>IF(SUMIFS('Locations Data'!$C:$C,'Locations Data'!$G:$G,$B20,'Locations Data'!$B:$B,MV$5)&gt;0,1,0)</f>
        <v>0</v>
      </c>
      <c r="MW20" s="26">
        <v>0</v>
      </c>
      <c r="MX20" s="6">
        <f>IF(SUMIFS('Locations Data'!$C:$C,'Locations Data'!$G:$G,$B20,'Locations Data'!$B:$B,MX$5)&gt;0,1,0)</f>
        <v>0</v>
      </c>
      <c r="MY20" s="6">
        <f>IF(SUMIFS('Locations Data'!$C:$C,'Locations Data'!$G:$G,$B20,'Locations Data'!$B:$B,MY$5)&gt;0,1,0)</f>
        <v>0</v>
      </c>
      <c r="MZ20" s="6">
        <f>IF(SUMIFS('Locations Data'!$C:$C,'Locations Data'!$G:$G,$B20,'Locations Data'!$B:$B,MZ$5)&gt;0,1,0)</f>
        <v>0</v>
      </c>
      <c r="NA20" s="6">
        <f>IF(SUMIFS('Locations Data'!$C:$C,'Locations Data'!$G:$G,$B20,'Locations Data'!$B:$B,NA$5)&gt;0,1,0)</f>
        <v>0</v>
      </c>
      <c r="NB20" s="6">
        <f>IF(SUMIFS('Locations Data'!$C:$C,'Locations Data'!$G:$G,$B20,'Locations Data'!$B:$B,NB$5)&gt;0,1,0)</f>
        <v>0</v>
      </c>
      <c r="NC20" s="6">
        <f>IF(SUMIFS('Locations Data'!$C:$C,'Locations Data'!$G:$G,$B20,'Locations Data'!$B:$B,NC$5)&gt;0,1,0)</f>
        <v>0</v>
      </c>
    </row>
    <row r="21" spans="2:367">
      <c r="B21" s="20">
        <v>0</v>
      </c>
      <c r="C21" s="6">
        <v>0</v>
      </c>
      <c r="D21" s="6">
        <f>IF(SUMIFS('Locations Data'!$C:$C,'Locations Data'!$G:$G,$B21,'Locations Data'!$B:$B,D$5)&gt;0,1,0)</f>
        <v>0</v>
      </c>
      <c r="E21" s="6">
        <f>IF(SUMIFS('Locations Data'!$C:$C,'Locations Data'!$G:$G,$B21,'Locations Data'!$B:$B,E$5)&gt;0,1,0)</f>
        <v>0</v>
      </c>
      <c r="F21" s="6">
        <f>IF(SUMIFS('Locations Data'!$C:$C,'Locations Data'!$G:$G,$B21,'Locations Data'!$B:$B,F$5)&gt;0,1,0)</f>
        <v>0</v>
      </c>
      <c r="G21" s="6">
        <f>IF(SUMIFS('Locations Data'!$C:$C,'Locations Data'!$G:$G,$B21,'Locations Data'!$B:$B,G$5)&gt;0,1,0)</f>
        <v>0</v>
      </c>
      <c r="H21" s="6">
        <f>IF(SUMIFS('Locations Data'!$C:$C,'Locations Data'!$G:$G,$B21,'Locations Data'!$B:$B,H$5)&gt;0,1,0)</f>
        <v>0</v>
      </c>
      <c r="I21" s="6">
        <f>IF(SUMIFS('Locations Data'!$C:$C,'Locations Data'!$G:$G,$B21,'Locations Data'!$B:$B,I$5)&gt;0,1,0)</f>
        <v>0</v>
      </c>
      <c r="J21" s="6">
        <f>IF(SUMIFS('Locations Data'!$C:$C,'Locations Data'!$G:$G,$B21,'Locations Data'!$B:$B,J$5)&gt;0,1,0)</f>
        <v>0</v>
      </c>
      <c r="K21" s="6">
        <f>IF(SUMIFS('Locations Data'!$C:$C,'Locations Data'!$G:$G,$B21,'Locations Data'!$B:$B,K$5)&gt;0,1,0)</f>
        <v>0</v>
      </c>
      <c r="L21" s="6">
        <f>IF(SUMIFS('Locations Data'!$C:$C,'Locations Data'!$G:$G,$B21,'Locations Data'!$B:$B,L$5)&gt;0,1,0)</f>
        <v>0</v>
      </c>
      <c r="M21" s="6">
        <f>IF(SUMIFS('Locations Data'!$C:$C,'Locations Data'!$G:$G,$B21,'Locations Data'!$B:$B,M$5)&gt;0,1,0)</f>
        <v>0</v>
      </c>
      <c r="N21" s="6">
        <f>IF(SUMIFS('Locations Data'!$C:$C,'Locations Data'!$G:$G,$B21,'Locations Data'!$B:$B,N$5)&gt;0,1,0)</f>
        <v>0</v>
      </c>
      <c r="O21" s="6">
        <f>IF(SUMIFS('Locations Data'!$C:$C,'Locations Data'!$G:$G,$B21,'Locations Data'!$B:$B,O$5)&gt;0,1,0)</f>
        <v>0</v>
      </c>
      <c r="P21" s="6">
        <f>IF(SUMIFS('Locations Data'!$C:$C,'Locations Data'!$G:$G,$B21,'Locations Data'!$B:$B,P$5)&gt;0,1,0)</f>
        <v>0</v>
      </c>
      <c r="Q21" s="6">
        <f>IF(SUMIFS('Locations Data'!$C:$C,'Locations Data'!$G:$G,$B21,'Locations Data'!$B:$B,Q$5)&gt;0,1,0)</f>
        <v>0</v>
      </c>
      <c r="R21" s="6">
        <f>IF(SUMIFS('Locations Data'!$C:$C,'Locations Data'!$G:$G,$B21,'Locations Data'!$B:$B,R$5)&gt;0,1,0)</f>
        <v>0</v>
      </c>
      <c r="S21" s="6">
        <f>IF(SUMIFS('Locations Data'!$C:$C,'Locations Data'!$G:$G,$B21,'Locations Data'!$B:$B,S$5)&gt;0,1,0)</f>
        <v>0</v>
      </c>
      <c r="T21" s="6">
        <f>IF(SUMIFS('Locations Data'!$C:$C,'Locations Data'!$G:$G,$B21,'Locations Data'!$B:$B,T$5)&gt;0,1,0)</f>
        <v>0</v>
      </c>
      <c r="U21" s="6">
        <f>IF(SUMIFS('Locations Data'!$C:$C,'Locations Data'!$G:$G,$B21,'Locations Data'!$B:$B,U$5)&gt;0,1,0)</f>
        <v>0</v>
      </c>
      <c r="V21" s="6">
        <f>IF(SUMIFS('Locations Data'!$C:$C,'Locations Data'!$G:$G,$B21,'Locations Data'!$B:$B,V$5)&gt;0,1,0)</f>
        <v>0</v>
      </c>
      <c r="W21" s="6">
        <f>IF(SUMIFS('Locations Data'!$C:$C,'Locations Data'!$G:$G,$B21,'Locations Data'!$B:$B,W$5)&gt;0,1,0)</f>
        <v>0</v>
      </c>
      <c r="X21" s="6">
        <f>IF(SUMIFS('Locations Data'!$C:$C,'Locations Data'!$G:$G,$B21,'Locations Data'!$B:$B,X$5)&gt;0,1,0)</f>
        <v>0</v>
      </c>
      <c r="Y21" s="6">
        <f>IF(SUMIFS('Locations Data'!$C:$C,'Locations Data'!$G:$G,$B21,'Locations Data'!$B:$B,Y$5)&gt;0,1,0)</f>
        <v>0</v>
      </c>
      <c r="Z21" s="6">
        <f>IF(SUMIFS('Locations Data'!$C:$C,'Locations Data'!$G:$G,$B21,'Locations Data'!$B:$B,Z$5)&gt;0,1,0)</f>
        <v>0</v>
      </c>
      <c r="AA21" s="6">
        <f>IF(SUMIFS('Locations Data'!$C:$C,'Locations Data'!$G:$G,$B21,'Locations Data'!$B:$B,AA$5)&gt;0,1,0)</f>
        <v>0</v>
      </c>
      <c r="AB21" s="6">
        <f>IF(SUMIFS('Locations Data'!$C:$C,'Locations Data'!$G:$G,$B21,'Locations Data'!$B:$B,AB$5)&gt;0,1,0)</f>
        <v>0</v>
      </c>
      <c r="AC21" s="6">
        <f>IF(SUMIFS('Locations Data'!$C:$C,'Locations Data'!$G:$G,$B21,'Locations Data'!$B:$B,AC$5)&gt;0,1,0)</f>
        <v>0</v>
      </c>
      <c r="AD21" s="6">
        <f>IF(SUMIFS('Locations Data'!$C:$C,'Locations Data'!$G:$G,$B21,'Locations Data'!$B:$B,AD$5)&gt;0,1,0)</f>
        <v>0</v>
      </c>
      <c r="AE21" s="6">
        <f>IF(SUMIFS('Locations Data'!$C:$C,'Locations Data'!$G:$G,$B21,'Locations Data'!$B:$B,AE$5)&gt;0,1,0)</f>
        <v>0</v>
      </c>
      <c r="AF21" s="6">
        <f>IF(SUMIFS('Locations Data'!$C:$C,'Locations Data'!$G:$G,$B21,'Locations Data'!$B:$B,AF$5)&gt;0,1,0)</f>
        <v>0</v>
      </c>
      <c r="AG21" s="6">
        <f>IF(SUMIFS('Locations Data'!$C:$C,'Locations Data'!$G:$G,$B21,'Locations Data'!$B:$B,AG$5)&gt;0,1,0)</f>
        <v>0</v>
      </c>
      <c r="AH21" s="6">
        <f>IF(SUMIFS('Locations Data'!$C:$C,'Locations Data'!$G:$G,$B21,'Locations Data'!$B:$B,AH$5)&gt;0,1,0)</f>
        <v>0</v>
      </c>
      <c r="AI21" s="6">
        <f>IF(SUMIFS('Locations Data'!$C:$C,'Locations Data'!$G:$G,$B21,'Locations Data'!$B:$B,AI$5)&gt;0,1,0)</f>
        <v>0</v>
      </c>
      <c r="AJ21" s="6">
        <f>IF(SUMIFS('Locations Data'!$C:$C,'Locations Data'!$G:$G,$B21,'Locations Data'!$B:$B,AJ$5)&gt;0,1,0)</f>
        <v>0</v>
      </c>
      <c r="AK21" s="6">
        <f>IF(SUMIFS('Locations Data'!$C:$C,'Locations Data'!$G:$G,$B21,'Locations Data'!$B:$B,AK$5)&gt;0,1,0)</f>
        <v>0</v>
      </c>
      <c r="AL21" s="6">
        <f>IF(SUMIFS('Locations Data'!$C:$C,'Locations Data'!$G:$G,$B21,'Locations Data'!$B:$B,AL$5)&gt;0,1,0)</f>
        <v>0</v>
      </c>
      <c r="AM21" s="6">
        <f>IF(SUMIFS('Locations Data'!$C:$C,'Locations Data'!$G:$G,$B21,'Locations Data'!$B:$B,AM$5)&gt;0,1,0)</f>
        <v>0</v>
      </c>
      <c r="AN21" s="6">
        <f>IF(SUMIFS('Locations Data'!$C:$C,'Locations Data'!$G:$G,$B21,'Locations Data'!$B:$B,AN$5)&gt;0,1,0)</f>
        <v>0</v>
      </c>
      <c r="AO21" s="6">
        <f>IF(SUMIFS('Locations Data'!$C:$C,'Locations Data'!$G:$G,$B21,'Locations Data'!$B:$B,AO$5)&gt;0,1,0)</f>
        <v>0</v>
      </c>
      <c r="AP21" s="6">
        <f>IF(SUMIFS('Locations Data'!$C:$C,'Locations Data'!$G:$G,$B21,'Locations Data'!$B:$B,AP$5)&gt;0,1,0)</f>
        <v>0</v>
      </c>
      <c r="AQ21" s="6">
        <f>IF(SUMIFS('Locations Data'!$C:$C,'Locations Data'!$G:$G,$B21,'Locations Data'!$B:$B,AQ$5)&gt;0,1,0)</f>
        <v>0</v>
      </c>
      <c r="AR21" s="6">
        <f>IF(SUMIFS('Locations Data'!$C:$C,'Locations Data'!$G:$G,$B21,'Locations Data'!$B:$B,AR$5)&gt;0,1,0)</f>
        <v>0</v>
      </c>
      <c r="AS21" s="6">
        <f>IF(SUMIFS('Locations Data'!$C:$C,'Locations Data'!$G:$G,$B21,'Locations Data'!$B:$B,AS$5)&gt;0,1,0)</f>
        <v>0</v>
      </c>
      <c r="AT21" s="6">
        <f>IF(SUMIFS('Locations Data'!$C:$C,'Locations Data'!$G:$G,$B21,'Locations Data'!$B:$B,AT$5)&gt;0,1,0)</f>
        <v>0</v>
      </c>
      <c r="AU21" s="6">
        <f>IF(SUMIFS('Locations Data'!$C:$C,'Locations Data'!$G:$G,$B21,'Locations Data'!$B:$B,AU$5)&gt;0,1,0)</f>
        <v>0</v>
      </c>
      <c r="AV21" s="6">
        <f>IF(SUMIFS('Locations Data'!$C:$C,'Locations Data'!$G:$G,$B21,'Locations Data'!$B:$B,AV$5)&gt;0,1,0)</f>
        <v>0</v>
      </c>
      <c r="AW21" s="6">
        <f>IF(SUMIFS('Locations Data'!$C:$C,'Locations Data'!$G:$G,$B21,'Locations Data'!$B:$B,AW$5)&gt;0,1,0)</f>
        <v>0</v>
      </c>
      <c r="AX21" s="6">
        <f>IF(SUMIFS('Locations Data'!$C:$C,'Locations Data'!$G:$G,$B21,'Locations Data'!$B:$B,AX$5)&gt;0,1,0)</f>
        <v>0</v>
      </c>
      <c r="AY21" s="6">
        <f>IF(SUMIFS('Locations Data'!$C:$C,'Locations Data'!$G:$G,$B21,'Locations Data'!$B:$B,AY$5)&gt;0,1,0)</f>
        <v>0</v>
      </c>
      <c r="AZ21" s="6">
        <f>IF(SUMIFS('Locations Data'!$C:$C,'Locations Data'!$G:$G,$B21,'Locations Data'!$B:$B,AZ$5)&gt;0,1,0)</f>
        <v>0</v>
      </c>
      <c r="BA21" s="6">
        <f>IF(SUMIFS('Locations Data'!$C:$C,'Locations Data'!$G:$G,$B21,'Locations Data'!$B:$B,BA$5)&gt;0,1,0)</f>
        <v>0</v>
      </c>
      <c r="BB21" s="6">
        <f>IF(SUMIFS('Locations Data'!$C:$C,'Locations Data'!$G:$G,$B21,'Locations Data'!$B:$B,BB$5)&gt;0,1,0)</f>
        <v>0</v>
      </c>
      <c r="BC21" s="6">
        <f>IF(SUMIFS('Locations Data'!$C:$C,'Locations Data'!$G:$G,$B21,'Locations Data'!$B:$B,BC$5)&gt;0,1,0)</f>
        <v>0</v>
      </c>
      <c r="BD21" s="6">
        <f>IF(SUMIFS('Locations Data'!$C:$C,'Locations Data'!$G:$G,$B21,'Locations Data'!$B:$B,BD$5)&gt;0,1,0)</f>
        <v>0</v>
      </c>
      <c r="BE21" s="6">
        <f>IF(SUMIFS('Locations Data'!$C:$C,'Locations Data'!$G:$G,$B21,'Locations Data'!$B:$B,BE$5)&gt;0,1,0)</f>
        <v>0</v>
      </c>
      <c r="BF21" s="6">
        <f>IF(SUMIFS('Locations Data'!$C:$C,'Locations Data'!$G:$G,$B21,'Locations Data'!$B:$B,BF$5)&gt;0,1,0)</f>
        <v>0</v>
      </c>
      <c r="BG21" s="6">
        <f>IF(SUMIFS('Locations Data'!$C:$C,'Locations Data'!$G:$G,$B21,'Locations Data'!$B:$B,BG$5)&gt;0,1,0)</f>
        <v>0</v>
      </c>
      <c r="BH21" s="6">
        <f>IF(SUMIFS('Locations Data'!$C:$C,'Locations Data'!$G:$G,$B21,'Locations Data'!$B:$B,BH$5)&gt;0,1,0)</f>
        <v>0</v>
      </c>
      <c r="BI21" s="6">
        <f>IF(SUMIFS('Locations Data'!$C:$C,'Locations Data'!$G:$G,$B21,'Locations Data'!$B:$B,BI$5)&gt;0,1,0)</f>
        <v>0</v>
      </c>
      <c r="BJ21" s="6">
        <f>IF(SUMIFS('Locations Data'!$C:$C,'Locations Data'!$G:$G,$B21,'Locations Data'!$B:$B,BJ$5)&gt;0,1,0)</f>
        <v>0</v>
      </c>
      <c r="BK21" s="6">
        <f>IF(SUMIFS('Locations Data'!$C:$C,'Locations Data'!$G:$G,$B21,'Locations Data'!$B:$B,BK$5)&gt;0,1,0)</f>
        <v>0</v>
      </c>
      <c r="BL21" s="6">
        <f>IF(SUMIFS('Locations Data'!$C:$C,'Locations Data'!$G:$G,$B21,'Locations Data'!$B:$B,BL$5)&gt;0,1,0)</f>
        <v>0</v>
      </c>
      <c r="BM21" s="6">
        <f>IF(SUMIFS('Locations Data'!$C:$C,'Locations Data'!$G:$G,$B21,'Locations Data'!$B:$B,BM$5)&gt;0,1,0)</f>
        <v>0</v>
      </c>
      <c r="BN21" s="6">
        <f>IF(SUMIFS('Locations Data'!$C:$C,'Locations Data'!$G:$G,$B21,'Locations Data'!$B:$B,BN$5)&gt;0,1,0)</f>
        <v>0</v>
      </c>
      <c r="BO21" s="6">
        <f>IF(SUMIFS('Locations Data'!$C:$C,'Locations Data'!$G:$G,$B21,'Locations Data'!$B:$B,BO$5)&gt;0,1,0)</f>
        <v>0</v>
      </c>
      <c r="BP21" s="6">
        <f>IF(SUMIFS('Locations Data'!$C:$C,'Locations Data'!$G:$G,$B21,'Locations Data'!$B:$B,BP$5)&gt;0,1,0)</f>
        <v>0</v>
      </c>
      <c r="BQ21" s="6">
        <f>IF(SUMIFS('Locations Data'!$C:$C,'Locations Data'!$G:$G,$B21,'Locations Data'!$B:$B,BQ$5)&gt;0,1,0)</f>
        <v>0</v>
      </c>
      <c r="BR21" s="6">
        <f>IF(SUMIFS('Locations Data'!$C:$C,'Locations Data'!$G:$G,$B21,'Locations Data'!$B:$B,BR$5)&gt;0,1,0)</f>
        <v>0</v>
      </c>
      <c r="BS21" s="6">
        <f>IF(SUMIFS('Locations Data'!$C:$C,'Locations Data'!$G:$G,$B21,'Locations Data'!$B:$B,BS$5)&gt;0,1,0)</f>
        <v>0</v>
      </c>
      <c r="BT21" s="6">
        <f>IF(SUMIFS('Locations Data'!$C:$C,'Locations Data'!$G:$G,$B21,'Locations Data'!$B:$B,BT$5)&gt;0,1,0)</f>
        <v>0</v>
      </c>
      <c r="BU21" s="6">
        <f>IF(SUMIFS('Locations Data'!$C:$C,'Locations Data'!$G:$G,$B21,'Locations Data'!$B:$B,BU$5)&gt;0,1,0)</f>
        <v>0</v>
      </c>
      <c r="BV21" s="6">
        <f>IF(SUMIFS('Locations Data'!$C:$C,'Locations Data'!$G:$G,$B21,'Locations Data'!$B:$B,BV$5)&gt;0,1,0)</f>
        <v>0</v>
      </c>
      <c r="BW21" s="6">
        <f>IF(SUMIFS('Locations Data'!$C:$C,'Locations Data'!$G:$G,$B21,'Locations Data'!$B:$B,BW$5)&gt;0,1,0)</f>
        <v>0</v>
      </c>
      <c r="BX21" s="6">
        <f>IF(SUMIFS('Locations Data'!$C:$C,'Locations Data'!$G:$G,$B21,'Locations Data'!$B:$B,BX$5)&gt;0,1,0)</f>
        <v>0</v>
      </c>
      <c r="BY21" s="6">
        <f>IF(SUMIFS('Locations Data'!$C:$C,'Locations Data'!$G:$G,$B21,'Locations Data'!$B:$B,BY$5)&gt;0,1,0)</f>
        <v>0</v>
      </c>
      <c r="BZ21" s="6">
        <f>IF(SUMIFS('Locations Data'!$C:$C,'Locations Data'!$G:$G,$B21,'Locations Data'!$B:$B,BZ$5)&gt;0,1,0)</f>
        <v>0</v>
      </c>
      <c r="CA21" s="6">
        <f>IF(SUMIFS('Locations Data'!$C:$C,'Locations Data'!$G:$G,$B21,'Locations Data'!$B:$B,CA$5)&gt;0,1,0)</f>
        <v>0</v>
      </c>
      <c r="CB21" s="6">
        <f>IF(SUMIFS('Locations Data'!$C:$C,'Locations Data'!$G:$G,$B21,'Locations Data'!$B:$B,CB$5)&gt;0,1,0)</f>
        <v>0</v>
      </c>
      <c r="CC21" s="6">
        <f>IF(SUMIFS('Locations Data'!$C:$C,'Locations Data'!$G:$G,$B21,'Locations Data'!$B:$B,CC$5)&gt;0,1,0)</f>
        <v>0</v>
      </c>
      <c r="CD21" s="6">
        <f>IF(SUMIFS('Locations Data'!$C:$C,'Locations Data'!$G:$G,$B21,'Locations Data'!$B:$B,CD$5)&gt;0,1,0)</f>
        <v>0</v>
      </c>
      <c r="CE21" s="6">
        <f>IF(SUMIFS('Locations Data'!$C:$C,'Locations Data'!$G:$G,$B21,'Locations Data'!$B:$B,CE$5)&gt;0,1,0)</f>
        <v>0</v>
      </c>
      <c r="CF21" s="6">
        <f>IF(SUMIFS('Locations Data'!$C:$C,'Locations Data'!$G:$G,$B21,'Locations Data'!$B:$B,CF$5)&gt;0,1,0)</f>
        <v>0</v>
      </c>
      <c r="CG21" s="6">
        <f>IF(SUMIFS('Locations Data'!$C:$C,'Locations Data'!$G:$G,$B21,'Locations Data'!$B:$B,CG$5)&gt;0,1,0)</f>
        <v>0</v>
      </c>
      <c r="CH21" s="6">
        <f>IF(SUMIFS('Locations Data'!$C:$C,'Locations Data'!$G:$G,$B21,'Locations Data'!$B:$B,CH$5)&gt;0,1,0)</f>
        <v>0</v>
      </c>
      <c r="CI21" s="6">
        <f>IF(SUMIFS('Locations Data'!$C:$C,'Locations Data'!$G:$G,$B21,'Locations Data'!$B:$B,CI$5)&gt;0,1,0)</f>
        <v>0</v>
      </c>
      <c r="CJ21" s="6">
        <f>IF(SUMIFS('Locations Data'!$C:$C,'Locations Data'!$G:$G,$B21,'Locations Data'!$B:$B,CJ$5)&gt;0,1,0)</f>
        <v>0</v>
      </c>
      <c r="CK21" s="6">
        <f>IF(SUMIFS('Locations Data'!$C:$C,'Locations Data'!$G:$G,$B21,'Locations Data'!$B:$B,CK$5)&gt;0,1,0)</f>
        <v>0</v>
      </c>
      <c r="CL21" s="6">
        <f>IF(SUMIFS('Locations Data'!$C:$C,'Locations Data'!$G:$G,$B21,'Locations Data'!$B:$B,CL$5)&gt;0,1,0)</f>
        <v>0</v>
      </c>
      <c r="CM21" s="6">
        <f>IF(SUMIFS('Locations Data'!$C:$C,'Locations Data'!$G:$G,$B21,'Locations Data'!$B:$B,CM$5)&gt;0,1,0)</f>
        <v>0</v>
      </c>
      <c r="CN21" s="6">
        <f>IF(SUMIFS('Locations Data'!$C:$C,'Locations Data'!$G:$G,$B21,'Locations Data'!$B:$B,CN$5)&gt;0,1,0)</f>
        <v>0</v>
      </c>
      <c r="CO21" s="6">
        <f>IF(SUMIFS('Locations Data'!$C:$C,'Locations Data'!$G:$G,$B21,'Locations Data'!$B:$B,CO$5)&gt;0,1,0)</f>
        <v>0</v>
      </c>
      <c r="CP21" s="6">
        <f>IF(SUMIFS('Locations Data'!$C:$C,'Locations Data'!$G:$G,$B21,'Locations Data'!$B:$B,CP$5)&gt;0,1,0)</f>
        <v>0</v>
      </c>
      <c r="CQ21" s="6">
        <f>IF(SUMIFS('Locations Data'!$C:$C,'Locations Data'!$G:$G,$B21,'Locations Data'!$B:$B,CQ$5)&gt;0,1,0)</f>
        <v>0</v>
      </c>
      <c r="CR21" s="6">
        <f>IF(SUMIFS('Locations Data'!$C:$C,'Locations Data'!$G:$G,$B21,'Locations Data'!$B:$B,CR$5)&gt;0,1,0)</f>
        <v>0</v>
      </c>
      <c r="CS21" s="6">
        <f>IF(SUMIFS('Locations Data'!$C:$C,'Locations Data'!$G:$G,$B21,'Locations Data'!$B:$B,CS$5)&gt;0,1,0)</f>
        <v>0</v>
      </c>
      <c r="CT21" s="6">
        <f>IF(SUMIFS('Locations Data'!$C:$C,'Locations Data'!$G:$G,$B21,'Locations Data'!$B:$B,CT$5)&gt;0,1,0)</f>
        <v>0</v>
      </c>
      <c r="CU21" s="6">
        <f>IF(SUMIFS('Locations Data'!$C:$C,'Locations Data'!$G:$G,$B21,'Locations Data'!$B:$B,CU$5)&gt;0,1,0)</f>
        <v>0</v>
      </c>
      <c r="CV21" s="6">
        <f>IF(SUMIFS('Locations Data'!$C:$C,'Locations Data'!$G:$G,$B21,'Locations Data'!$B:$B,CV$5)&gt;0,1,0)</f>
        <v>0</v>
      </c>
      <c r="CW21" s="6">
        <f>IF(SUMIFS('Locations Data'!$C:$C,'Locations Data'!$G:$G,$B21,'Locations Data'!$B:$B,CW$5)&gt;0,1,0)</f>
        <v>0</v>
      </c>
      <c r="CX21" s="6">
        <f>IF(SUMIFS('Locations Data'!$C:$C,'Locations Data'!$G:$G,$B21,'Locations Data'!$B:$B,CX$5)&gt;0,1,0)</f>
        <v>0</v>
      </c>
      <c r="CY21" s="6">
        <f>IF(SUMIFS('Locations Data'!$C:$C,'Locations Data'!$G:$G,$B21,'Locations Data'!$B:$B,CY$5)&gt;0,1,0)</f>
        <v>0</v>
      </c>
      <c r="CZ21" s="6">
        <f>IF(SUMIFS('Locations Data'!$C:$C,'Locations Data'!$G:$G,$B21,'Locations Data'!$B:$B,CZ$5)&gt;0,1,0)</f>
        <v>0</v>
      </c>
      <c r="DA21" s="6">
        <f>IF(SUMIFS('Locations Data'!$C:$C,'Locations Data'!$G:$G,$B21,'Locations Data'!$B:$B,DA$5)&gt;0,1,0)</f>
        <v>0</v>
      </c>
      <c r="DB21" s="6">
        <f>IF(SUMIFS('Locations Data'!$C:$C,'Locations Data'!$G:$G,$B21,'Locations Data'!$B:$B,DB$5)&gt;0,1,0)</f>
        <v>0</v>
      </c>
      <c r="DC21" s="6">
        <f>IF(SUMIFS('Locations Data'!$C:$C,'Locations Data'!$G:$G,$B21,'Locations Data'!$B:$B,DC$5)&gt;0,1,0)</f>
        <v>0</v>
      </c>
      <c r="DD21" s="6">
        <f>IF(SUMIFS('Locations Data'!$C:$C,'Locations Data'!$G:$G,$B21,'Locations Data'!$B:$B,DD$5)&gt;0,1,0)</f>
        <v>0</v>
      </c>
      <c r="DE21" s="6">
        <f>IF(SUMIFS('Locations Data'!$C:$C,'Locations Data'!$G:$G,$B21,'Locations Data'!$B:$B,DE$5)&gt;0,1,0)</f>
        <v>0</v>
      </c>
      <c r="DF21" s="6">
        <f>IF(SUMIFS('Locations Data'!$C:$C,'Locations Data'!$G:$G,$B21,'Locations Data'!$B:$B,DF$5)&gt;0,1,0)</f>
        <v>0</v>
      </c>
      <c r="DG21" s="6">
        <f>IF(SUMIFS('Locations Data'!$C:$C,'Locations Data'!$G:$G,$B21,'Locations Data'!$B:$B,DG$5)&gt;0,1,0)</f>
        <v>0</v>
      </c>
      <c r="DH21" s="6">
        <f>IF(SUMIFS('Locations Data'!$C:$C,'Locations Data'!$G:$G,$B21,'Locations Data'!$B:$B,DH$5)&gt;0,1,0)</f>
        <v>0</v>
      </c>
      <c r="DI21" s="6">
        <f>IF(SUMIFS('Locations Data'!$C:$C,'Locations Data'!$G:$G,$B21,'Locations Data'!$B:$B,DI$5)&gt;0,1,0)</f>
        <v>0</v>
      </c>
      <c r="DJ21" s="6">
        <f>IF(SUMIFS('Locations Data'!$C:$C,'Locations Data'!$G:$G,$B21,'Locations Data'!$B:$B,DJ$5)&gt;0,1,0)</f>
        <v>0</v>
      </c>
      <c r="DK21" s="6">
        <f>IF(SUMIFS('Locations Data'!$C:$C,'Locations Data'!$G:$G,$B21,'Locations Data'!$B:$B,DK$5)&gt;0,1,0)</f>
        <v>0</v>
      </c>
      <c r="DL21" s="6">
        <f>IF(SUMIFS('Locations Data'!$C:$C,'Locations Data'!$G:$G,$B21,'Locations Data'!$B:$B,DL$5)&gt;0,1,0)</f>
        <v>0</v>
      </c>
      <c r="DM21" s="6">
        <f>IF(SUMIFS('Locations Data'!$C:$C,'Locations Data'!$G:$G,$B21,'Locations Data'!$B:$B,DM$5)&gt;0,1,0)</f>
        <v>0</v>
      </c>
      <c r="DN21" s="6">
        <f>IF(SUMIFS('Locations Data'!$C:$C,'Locations Data'!$G:$G,$B21,'Locations Data'!$B:$B,DN$5)&gt;0,1,0)</f>
        <v>0</v>
      </c>
      <c r="DO21" s="6">
        <f>IF(SUMIFS('Locations Data'!$C:$C,'Locations Data'!$G:$G,$B21,'Locations Data'!$B:$B,DO$5)&gt;0,1,0)</f>
        <v>0</v>
      </c>
      <c r="DP21" s="6">
        <f>IF(SUMIFS('Locations Data'!$C:$C,'Locations Data'!$G:$G,$B21,'Locations Data'!$B:$B,DP$5)&gt;0,1,0)</f>
        <v>0</v>
      </c>
      <c r="DQ21" s="6">
        <f>IF(SUMIFS('Locations Data'!$C:$C,'Locations Data'!$G:$G,$B21,'Locations Data'!$B:$B,DQ$5)&gt;0,1,0)</f>
        <v>0</v>
      </c>
      <c r="DR21" s="6">
        <f>IF(SUMIFS('Locations Data'!$C:$C,'Locations Data'!$G:$G,$B21,'Locations Data'!$B:$B,DR$5)&gt;0,1,0)</f>
        <v>0</v>
      </c>
      <c r="DS21" s="6">
        <f>IF(SUMIFS('Locations Data'!$C:$C,'Locations Data'!$G:$G,$B21,'Locations Data'!$B:$B,DS$5)&gt;0,1,0)</f>
        <v>0</v>
      </c>
      <c r="DT21" s="6">
        <f>IF(SUMIFS('Locations Data'!$C:$C,'Locations Data'!$G:$G,$B21,'Locations Data'!$B:$B,DT$5)&gt;0,1,0)</f>
        <v>0</v>
      </c>
      <c r="DU21" s="6">
        <f>IF(SUMIFS('Locations Data'!$C:$C,'Locations Data'!$G:$G,$B21,'Locations Data'!$B:$B,DU$5)&gt;0,1,0)</f>
        <v>0</v>
      </c>
      <c r="DV21" s="6">
        <f>IF(SUMIFS('Locations Data'!$C:$C,'Locations Data'!$G:$G,$B21,'Locations Data'!$B:$B,DV$5)&gt;0,1,0)</f>
        <v>0</v>
      </c>
      <c r="DW21" s="6">
        <f>IF(SUMIFS('Locations Data'!$C:$C,'Locations Data'!$G:$G,$B21,'Locations Data'!$B:$B,DW$5)&gt;0,1,0)</f>
        <v>0</v>
      </c>
      <c r="DX21" s="6">
        <f>IF(SUMIFS('Locations Data'!$C:$C,'Locations Data'!$G:$G,$B21,'Locations Data'!$B:$B,DX$5)&gt;0,1,0)</f>
        <v>0</v>
      </c>
      <c r="DY21" s="6">
        <f>IF(SUMIFS('Locations Data'!$C:$C,'Locations Data'!$G:$G,$B21,'Locations Data'!$B:$B,DY$5)&gt;0,1,0)</f>
        <v>0</v>
      </c>
      <c r="DZ21" s="6">
        <f>IF(SUMIFS('Locations Data'!$C:$C,'Locations Data'!$G:$G,$B21,'Locations Data'!$B:$B,DZ$5)&gt;0,1,0)</f>
        <v>0</v>
      </c>
      <c r="EA21" s="6">
        <f>IF(SUMIFS('Locations Data'!$C:$C,'Locations Data'!$G:$G,$B21,'Locations Data'!$B:$B,EA$5)&gt;0,1,0)</f>
        <v>0</v>
      </c>
      <c r="EB21" s="6">
        <f>IF(SUMIFS('Locations Data'!$C:$C,'Locations Data'!$G:$G,$B21,'Locations Data'!$B:$B,EB$5)&gt;0,1,0)</f>
        <v>0</v>
      </c>
      <c r="EC21" s="6">
        <f>IF(SUMIFS('Locations Data'!$C:$C,'Locations Data'!$G:$G,$B21,'Locations Data'!$B:$B,EC$5)&gt;0,1,0)</f>
        <v>0</v>
      </c>
      <c r="ED21" s="6">
        <f>IF(SUMIFS('Locations Data'!$C:$C,'Locations Data'!$G:$G,$B21,'Locations Data'!$B:$B,ED$5)&gt;0,1,0)</f>
        <v>0</v>
      </c>
      <c r="EE21" s="6">
        <f>IF(SUMIFS('Locations Data'!$C:$C,'Locations Data'!$G:$G,$B21,'Locations Data'!$B:$B,EE$5)&gt;0,1,0)</f>
        <v>0</v>
      </c>
      <c r="EF21" s="6">
        <f>IF(SUMIFS('Locations Data'!$C:$C,'Locations Data'!$G:$G,$B21,'Locations Data'!$B:$B,EF$5)&gt;0,1,0)</f>
        <v>0</v>
      </c>
      <c r="EG21" s="6">
        <f>IF(SUMIFS('Locations Data'!$C:$C,'Locations Data'!$G:$G,$B21,'Locations Data'!$B:$B,EG$5)&gt;0,1,0)</f>
        <v>0</v>
      </c>
      <c r="EH21" s="6">
        <f>IF(SUMIFS('Locations Data'!$C:$C,'Locations Data'!$G:$G,$B21,'Locations Data'!$B:$B,EH$5)&gt;0,1,0)</f>
        <v>0</v>
      </c>
      <c r="EI21" s="6">
        <f>IF(SUMIFS('Locations Data'!$C:$C,'Locations Data'!$G:$G,$B21,'Locations Data'!$B:$B,EI$5)&gt;0,1,0)</f>
        <v>0</v>
      </c>
      <c r="EJ21" s="6">
        <f>IF(SUMIFS('Locations Data'!$C:$C,'Locations Data'!$G:$G,$B21,'Locations Data'!$B:$B,EJ$5)&gt;0,1,0)</f>
        <v>0</v>
      </c>
      <c r="EK21" s="6">
        <f>IF(SUMIFS('Locations Data'!$C:$C,'Locations Data'!$G:$G,$B21,'Locations Data'!$B:$B,EK$5)&gt;0,1,0)</f>
        <v>0</v>
      </c>
      <c r="EL21" s="6">
        <f>IF(SUMIFS('Locations Data'!$C:$C,'Locations Data'!$G:$G,$B21,'Locations Data'!$B:$B,EL$5)&gt;0,1,0)</f>
        <v>0</v>
      </c>
      <c r="EM21" s="6">
        <f>IF(SUMIFS('Locations Data'!$C:$C,'Locations Data'!$G:$G,$B21,'Locations Data'!$B:$B,EM$5)&gt;0,1,0)</f>
        <v>0</v>
      </c>
      <c r="EN21" s="6">
        <f>IF(SUMIFS('Locations Data'!$C:$C,'Locations Data'!$G:$G,$B21,'Locations Data'!$B:$B,EN$5)&gt;0,1,0)</f>
        <v>0</v>
      </c>
      <c r="EO21" s="6">
        <f>IF(SUMIFS('Locations Data'!$C:$C,'Locations Data'!$G:$G,$B21,'Locations Data'!$B:$B,EO$5)&gt;0,1,0)</f>
        <v>0</v>
      </c>
      <c r="EP21" s="6">
        <f>IF(SUMIFS('Locations Data'!$C:$C,'Locations Data'!$G:$G,$B21,'Locations Data'!$B:$B,EP$5)&gt;0,1,0)</f>
        <v>0</v>
      </c>
      <c r="EQ21" s="6">
        <f>IF(SUMIFS('Locations Data'!$C:$C,'Locations Data'!$G:$G,$B21,'Locations Data'!$B:$B,EQ$5)&gt;0,1,0)</f>
        <v>0</v>
      </c>
      <c r="ER21" s="6">
        <f>IF(SUMIFS('Locations Data'!$C:$C,'Locations Data'!$G:$G,$B21,'Locations Data'!$B:$B,ER$5)&gt;0,1,0)</f>
        <v>0</v>
      </c>
      <c r="ES21" s="6">
        <f>IF(SUMIFS('Locations Data'!$C:$C,'Locations Data'!$G:$G,$B21,'Locations Data'!$B:$B,ES$5)&gt;0,1,0)</f>
        <v>0</v>
      </c>
      <c r="ET21" s="6">
        <f>IF(SUMIFS('Locations Data'!$C:$C,'Locations Data'!$G:$G,$B21,'Locations Data'!$B:$B,ET$5)&gt;0,1,0)</f>
        <v>0</v>
      </c>
      <c r="EU21" s="6">
        <f>IF(SUMIFS('Locations Data'!$C:$C,'Locations Data'!$G:$G,$B21,'Locations Data'!$B:$B,EU$5)&gt;0,1,0)</f>
        <v>0</v>
      </c>
      <c r="EV21" s="6">
        <f>IF(SUMIFS('Locations Data'!$C:$C,'Locations Data'!$G:$G,$B21,'Locations Data'!$B:$B,EV$5)&gt;0,1,0)</f>
        <v>0</v>
      </c>
      <c r="EW21" s="6">
        <f>IF(SUMIFS('Locations Data'!$C:$C,'Locations Data'!$G:$G,$B21,'Locations Data'!$B:$B,EW$5)&gt;0,1,0)</f>
        <v>0</v>
      </c>
      <c r="EX21" s="6">
        <f>IF(SUMIFS('Locations Data'!$C:$C,'Locations Data'!$G:$G,$B21,'Locations Data'!$B:$B,EX$5)&gt;0,1,0)</f>
        <v>0</v>
      </c>
      <c r="EY21" s="6">
        <f>IF(SUMIFS('Locations Data'!$C:$C,'Locations Data'!$G:$G,$B21,'Locations Data'!$B:$B,EY$5)&gt;0,1,0)</f>
        <v>0</v>
      </c>
      <c r="EZ21" s="6">
        <f>IF(SUMIFS('Locations Data'!$C:$C,'Locations Data'!$G:$G,$B21,'Locations Data'!$B:$B,EZ$5)&gt;0,1,0)</f>
        <v>0</v>
      </c>
      <c r="FA21" s="6">
        <f>IF(SUMIFS('Locations Data'!$C:$C,'Locations Data'!$G:$G,$B21,'Locations Data'!$B:$B,FA$5)&gt;0,1,0)</f>
        <v>0</v>
      </c>
      <c r="FB21" s="6">
        <f>IF(SUMIFS('Locations Data'!$C:$C,'Locations Data'!$G:$G,$B21,'Locations Data'!$B:$B,FB$5)&gt;0,1,0)</f>
        <v>0</v>
      </c>
      <c r="FC21" s="6">
        <f>IF(SUMIFS('Locations Data'!$C:$C,'Locations Data'!$G:$G,$B21,'Locations Data'!$B:$B,FC$5)&gt;0,1,0)</f>
        <v>0</v>
      </c>
      <c r="FD21" s="6">
        <f>IF(SUMIFS('Locations Data'!$C:$C,'Locations Data'!$G:$G,$B21,'Locations Data'!$B:$B,FD$5)&gt;0,1,0)</f>
        <v>0</v>
      </c>
      <c r="FE21" s="6">
        <f>IF(SUMIFS('Locations Data'!$C:$C,'Locations Data'!$G:$G,$B21,'Locations Data'!$B:$B,FE$5)&gt;0,1,0)</f>
        <v>0</v>
      </c>
      <c r="FF21" s="6">
        <f>IF(SUMIFS('Locations Data'!$C:$C,'Locations Data'!$G:$G,$B21,'Locations Data'!$B:$B,FF$5)&gt;0,1,0)</f>
        <v>0</v>
      </c>
      <c r="FG21" s="6">
        <f>IF(SUMIFS('Locations Data'!$C:$C,'Locations Data'!$G:$G,$B21,'Locations Data'!$B:$B,FG$5)&gt;0,1,0)</f>
        <v>0</v>
      </c>
      <c r="FH21" s="6">
        <f>IF(SUMIFS('Locations Data'!$C:$C,'Locations Data'!$G:$G,$B21,'Locations Data'!$B:$B,FH$5)&gt;0,1,0)</f>
        <v>0</v>
      </c>
      <c r="FI21" s="6">
        <f>IF(SUMIFS('Locations Data'!$C:$C,'Locations Data'!$G:$G,$B21,'Locations Data'!$B:$B,FI$5)&gt;0,1,0)</f>
        <v>0</v>
      </c>
      <c r="FJ21" s="6">
        <f>IF(SUMIFS('Locations Data'!$C:$C,'Locations Data'!$G:$G,$B21,'Locations Data'!$B:$B,FJ$5)&gt;0,1,0)</f>
        <v>0</v>
      </c>
      <c r="FK21" s="6">
        <f>IF(SUMIFS('Locations Data'!$C:$C,'Locations Data'!$G:$G,$B21,'Locations Data'!$B:$B,FK$5)&gt;0,1,0)</f>
        <v>0</v>
      </c>
      <c r="FL21" s="6">
        <f>IF(SUMIFS('Locations Data'!$C:$C,'Locations Data'!$G:$G,$B21,'Locations Data'!$B:$B,FL$5)&gt;0,1,0)</f>
        <v>0</v>
      </c>
      <c r="FM21" s="6">
        <f>IF(SUMIFS('Locations Data'!$C:$C,'Locations Data'!$G:$G,$B21,'Locations Data'!$B:$B,FM$5)&gt;0,1,0)</f>
        <v>0</v>
      </c>
      <c r="FN21" s="6">
        <f>IF(SUMIFS('Locations Data'!$C:$C,'Locations Data'!$G:$G,$B21,'Locations Data'!$B:$B,FN$5)&gt;0,1,0)</f>
        <v>0</v>
      </c>
      <c r="FO21" s="6">
        <f>IF(SUMIFS('Locations Data'!$C:$C,'Locations Data'!$G:$G,$B21,'Locations Data'!$B:$B,FO$5)&gt;0,1,0)</f>
        <v>0</v>
      </c>
      <c r="FP21" s="6">
        <f>IF(SUMIFS('Locations Data'!$C:$C,'Locations Data'!$G:$G,$B21,'Locations Data'!$B:$B,FP$5)&gt;0,1,0)</f>
        <v>0</v>
      </c>
      <c r="FQ21" s="6">
        <f>IF(SUMIFS('Locations Data'!$C:$C,'Locations Data'!$G:$G,$B21,'Locations Data'!$B:$B,FQ$5)&gt;0,1,0)</f>
        <v>0</v>
      </c>
      <c r="FR21" s="6">
        <f>IF(SUMIFS('Locations Data'!$C:$C,'Locations Data'!$G:$G,$B21,'Locations Data'!$B:$B,FR$5)&gt;0,1,0)</f>
        <v>0</v>
      </c>
      <c r="FS21" s="6">
        <f>IF(SUMIFS('Locations Data'!$C:$C,'Locations Data'!$G:$G,$B21,'Locations Data'!$B:$B,FS$5)&gt;0,1,0)</f>
        <v>0</v>
      </c>
      <c r="FT21" s="6">
        <f>IF(SUMIFS('Locations Data'!$C:$C,'Locations Data'!$G:$G,$B21,'Locations Data'!$B:$B,FT$5)&gt;0,1,0)</f>
        <v>0</v>
      </c>
      <c r="FU21" s="6">
        <f>IF(SUMIFS('Locations Data'!$C:$C,'Locations Data'!$G:$G,$B21,'Locations Data'!$B:$B,FU$5)&gt;0,1,0)</f>
        <v>0</v>
      </c>
      <c r="FV21" s="6">
        <f>IF(SUMIFS('Locations Data'!$C:$C,'Locations Data'!$G:$G,$B21,'Locations Data'!$B:$B,FV$5)&gt;0,1,0)</f>
        <v>0</v>
      </c>
      <c r="FW21" s="6">
        <f>IF(SUMIFS('Locations Data'!$C:$C,'Locations Data'!$G:$G,$B21,'Locations Data'!$B:$B,FW$5)&gt;0,1,0)</f>
        <v>0</v>
      </c>
      <c r="FX21" s="6">
        <f>IF(SUMIFS('Locations Data'!$C:$C,'Locations Data'!$G:$G,$B21,'Locations Data'!$B:$B,FX$5)&gt;0,1,0)</f>
        <v>0</v>
      </c>
      <c r="FY21" s="6">
        <f>IF(SUMIFS('Locations Data'!$C:$C,'Locations Data'!$G:$G,$B21,'Locations Data'!$B:$B,FY$5)&gt;0,1,0)</f>
        <v>0</v>
      </c>
      <c r="FZ21" s="6">
        <f>IF(SUMIFS('Locations Data'!$C:$C,'Locations Data'!$G:$G,$B21,'Locations Data'!$B:$B,FZ$5)&gt;0,1,0)</f>
        <v>0</v>
      </c>
      <c r="GA21" s="6">
        <f>IF(SUMIFS('Locations Data'!$C:$C,'Locations Data'!$G:$G,$B21,'Locations Data'!$B:$B,GA$5)&gt;0,1,0)</f>
        <v>0</v>
      </c>
      <c r="GB21" s="6">
        <f>IF(SUMIFS('Locations Data'!$C:$C,'Locations Data'!$G:$G,$B21,'Locations Data'!$B:$B,GB$5)&gt;0,1,0)</f>
        <v>0</v>
      </c>
      <c r="GC21" s="6">
        <f>IF(SUMIFS('Locations Data'!$C:$C,'Locations Data'!$G:$G,$B21,'Locations Data'!$B:$B,GC$5)&gt;0,1,0)</f>
        <v>0</v>
      </c>
      <c r="GD21" s="6">
        <f>IF(SUMIFS('Locations Data'!$C:$C,'Locations Data'!$G:$G,$B21,'Locations Data'!$B:$B,GD$5)&gt;0,1,0)</f>
        <v>0</v>
      </c>
      <c r="GE21" s="6">
        <f>IF(SUMIFS('Locations Data'!$C:$C,'Locations Data'!$G:$G,$B21,'Locations Data'!$B:$B,GE$5)&gt;0,1,0)</f>
        <v>0</v>
      </c>
      <c r="GF21" s="6">
        <f>IF(SUMIFS('Locations Data'!$C:$C,'Locations Data'!$G:$G,$B21,'Locations Data'!$B:$B,GF$5)&gt;0,1,0)</f>
        <v>0</v>
      </c>
      <c r="GG21" s="6">
        <f>IF(SUMIFS('Locations Data'!$C:$C,'Locations Data'!$G:$G,$B21,'Locations Data'!$B:$B,GG$5)&gt;0,1,0)</f>
        <v>0</v>
      </c>
      <c r="GH21" s="6">
        <f>IF(SUMIFS('Locations Data'!$C:$C,'Locations Data'!$G:$G,$B21,'Locations Data'!$B:$B,GH$5)&gt;0,1,0)</f>
        <v>0</v>
      </c>
      <c r="GI21" s="6">
        <f>IF(SUMIFS('Locations Data'!$C:$C,'Locations Data'!$G:$G,$B21,'Locations Data'!$B:$B,GI$5)&gt;0,1,0)</f>
        <v>0</v>
      </c>
      <c r="GJ21" s="6">
        <f>IF(SUMIFS('Locations Data'!$C:$C,'Locations Data'!$G:$G,$B21,'Locations Data'!$B:$B,GJ$5)&gt;0,1,0)</f>
        <v>0</v>
      </c>
      <c r="GK21" s="6">
        <f>IF(SUMIFS('Locations Data'!$C:$C,'Locations Data'!$G:$G,$B21,'Locations Data'!$B:$B,GK$5)&gt;0,1,0)</f>
        <v>0</v>
      </c>
      <c r="GL21" s="6">
        <f>IF(SUMIFS('Locations Data'!$C:$C,'Locations Data'!$G:$G,$B21,'Locations Data'!$B:$B,GL$5)&gt;0,1,0)</f>
        <v>0</v>
      </c>
      <c r="GM21" s="6">
        <f>IF(SUMIFS('Locations Data'!$C:$C,'Locations Data'!$G:$G,$B21,'Locations Data'!$B:$B,GM$5)&gt;0,1,0)</f>
        <v>0</v>
      </c>
      <c r="GN21" s="6">
        <f>IF(SUMIFS('Locations Data'!$C:$C,'Locations Data'!$G:$G,$B21,'Locations Data'!$B:$B,GN$5)&gt;0,1,0)</f>
        <v>0</v>
      </c>
      <c r="GO21" s="6">
        <f>IF(SUMIFS('Locations Data'!$C:$C,'Locations Data'!$G:$G,$B21,'Locations Data'!$B:$B,GO$5)&gt;0,1,0)</f>
        <v>0</v>
      </c>
      <c r="GP21" s="6">
        <f>IF(SUMIFS('Locations Data'!$C:$C,'Locations Data'!$G:$G,$B21,'Locations Data'!$B:$B,GP$5)&gt;0,1,0)</f>
        <v>0</v>
      </c>
      <c r="GQ21" s="6">
        <f>IF(SUMIFS('Locations Data'!$C:$C,'Locations Data'!$G:$G,$B21,'Locations Data'!$B:$B,GQ$5)&gt;0,1,0)</f>
        <v>0</v>
      </c>
      <c r="GR21" s="6">
        <f>IF(SUMIFS('Locations Data'!$C:$C,'Locations Data'!$G:$G,$B21,'Locations Data'!$B:$B,GR$5)&gt;0,1,0)</f>
        <v>0</v>
      </c>
      <c r="GS21" s="6">
        <f>IF(SUMIFS('Locations Data'!$C:$C,'Locations Data'!$G:$G,$B21,'Locations Data'!$B:$B,GS$5)&gt;0,1,0)</f>
        <v>0</v>
      </c>
      <c r="GT21" s="6">
        <f>IF(SUMIFS('Locations Data'!$C:$C,'Locations Data'!$G:$G,$B21,'Locations Data'!$B:$B,GT$5)&gt;0,1,0)</f>
        <v>0</v>
      </c>
      <c r="GU21" s="6">
        <f>IF(SUMIFS('Locations Data'!$C:$C,'Locations Data'!$G:$G,$B21,'Locations Data'!$B:$B,GU$5)&gt;0,1,0)</f>
        <v>0</v>
      </c>
      <c r="GV21" s="6">
        <f>IF(SUMIFS('Locations Data'!$C:$C,'Locations Data'!$G:$G,$B21,'Locations Data'!$B:$B,GV$5)&gt;0,1,0)</f>
        <v>0</v>
      </c>
      <c r="GW21" s="6">
        <f>IF(SUMIFS('Locations Data'!$C:$C,'Locations Data'!$G:$G,$B21,'Locations Data'!$B:$B,GW$5)&gt;0,1,0)</f>
        <v>0</v>
      </c>
      <c r="GX21" s="6">
        <f>IF(SUMIFS('Locations Data'!$C:$C,'Locations Data'!$G:$G,$B21,'Locations Data'!$B:$B,GX$5)&gt;0,1,0)</f>
        <v>0</v>
      </c>
      <c r="GY21" s="6">
        <f>IF(SUMIFS('Locations Data'!$C:$C,'Locations Data'!$G:$G,$B21,'Locations Data'!$B:$B,GY$5)&gt;0,1,0)</f>
        <v>0</v>
      </c>
      <c r="GZ21" s="6">
        <f>IF(SUMIFS('Locations Data'!$C:$C,'Locations Data'!$G:$G,$B21,'Locations Data'!$B:$B,GZ$5)&gt;0,1,0)</f>
        <v>0</v>
      </c>
      <c r="HA21" s="6">
        <f>IF(SUMIFS('Locations Data'!$C:$C,'Locations Data'!$G:$G,$B21,'Locations Data'!$B:$B,HA$5)&gt;0,1,0)</f>
        <v>0</v>
      </c>
      <c r="HB21" s="6">
        <f>IF(SUMIFS('Locations Data'!$C:$C,'Locations Data'!$G:$G,$B21,'Locations Data'!$B:$B,HB$5)&gt;0,1,0)</f>
        <v>0</v>
      </c>
      <c r="HC21" s="6">
        <f>IF(SUMIFS('Locations Data'!$C:$C,'Locations Data'!$G:$G,$B21,'Locations Data'!$B:$B,HC$5)&gt;0,1,0)</f>
        <v>0</v>
      </c>
      <c r="HD21" s="6">
        <f>IF(SUMIFS('Locations Data'!$C:$C,'Locations Data'!$G:$G,$B21,'Locations Data'!$B:$B,HD$5)&gt;0,1,0)</f>
        <v>0</v>
      </c>
      <c r="HE21" s="6">
        <f>IF(SUMIFS('Locations Data'!$C:$C,'Locations Data'!$G:$G,$B21,'Locations Data'!$B:$B,HE$5)&gt;0,1,0)</f>
        <v>0</v>
      </c>
      <c r="HF21" s="6">
        <f>IF(SUMIFS('Locations Data'!$C:$C,'Locations Data'!$G:$G,$B21,'Locations Data'!$B:$B,HF$5)&gt;0,1,0)</f>
        <v>0</v>
      </c>
      <c r="HG21" s="6">
        <f>IF(SUMIFS('Locations Data'!$C:$C,'Locations Data'!$G:$G,$B21,'Locations Data'!$B:$B,HG$5)&gt;0,1,0)</f>
        <v>0</v>
      </c>
      <c r="HH21" s="6">
        <f>IF(SUMIFS('Locations Data'!$C:$C,'Locations Data'!$G:$G,$B21,'Locations Data'!$B:$B,HH$5)&gt;0,1,0)</f>
        <v>0</v>
      </c>
      <c r="HI21" s="6">
        <f>IF(SUMIFS('Locations Data'!$C:$C,'Locations Data'!$G:$G,$B21,'Locations Data'!$B:$B,HI$5)&gt;0,1,0)</f>
        <v>0</v>
      </c>
      <c r="HJ21" s="6">
        <f>IF(SUMIFS('Locations Data'!$C:$C,'Locations Data'!$G:$G,$B21,'Locations Data'!$B:$B,HJ$5)&gt;0,1,0)</f>
        <v>0</v>
      </c>
      <c r="HK21" s="6">
        <f>IF(SUMIFS('Locations Data'!$C:$C,'Locations Data'!$G:$G,$B21,'Locations Data'!$B:$B,HK$5)&gt;0,1,0)</f>
        <v>0</v>
      </c>
      <c r="HL21" s="6">
        <f>IF(SUMIFS('Locations Data'!$C:$C,'Locations Data'!$G:$G,$B21,'Locations Data'!$B:$B,HL$5)&gt;0,1,0)</f>
        <v>0</v>
      </c>
      <c r="HM21" s="6">
        <f>IF(SUMIFS('Locations Data'!$C:$C,'Locations Data'!$G:$G,$B21,'Locations Data'!$B:$B,HM$5)&gt;0,1,0)</f>
        <v>0</v>
      </c>
      <c r="HN21" s="6">
        <f>IF(SUMIFS('Locations Data'!$C:$C,'Locations Data'!$G:$G,$B21,'Locations Data'!$B:$B,HN$5)&gt;0,1,0)</f>
        <v>0</v>
      </c>
      <c r="HO21" s="6">
        <f>IF(SUMIFS('Locations Data'!$C:$C,'Locations Data'!$G:$G,$B21,'Locations Data'!$B:$B,HO$5)&gt;0,1,0)</f>
        <v>0</v>
      </c>
      <c r="HP21" s="6">
        <f>IF(SUMIFS('Locations Data'!$C:$C,'Locations Data'!$G:$G,$B21,'Locations Data'!$B:$B,HP$5)&gt;0,1,0)</f>
        <v>0</v>
      </c>
      <c r="HQ21" s="6">
        <f>IF(SUMIFS('Locations Data'!$C:$C,'Locations Data'!$G:$G,$B21,'Locations Data'!$B:$B,HQ$5)&gt;0,1,0)</f>
        <v>0</v>
      </c>
      <c r="HR21" s="6">
        <f>IF(SUMIFS('Locations Data'!$C:$C,'Locations Data'!$G:$G,$B21,'Locations Data'!$B:$B,HR$5)&gt;0,1,0)</f>
        <v>0</v>
      </c>
      <c r="HS21" s="6">
        <f>IF(SUMIFS('Locations Data'!$C:$C,'Locations Data'!$G:$G,$B21,'Locations Data'!$B:$B,HS$5)&gt;0,1,0)</f>
        <v>0</v>
      </c>
      <c r="HT21" s="6">
        <f>IF(SUMIFS('Locations Data'!$C:$C,'Locations Data'!$G:$G,$B21,'Locations Data'!$B:$B,HT$5)&gt;0,1,0)</f>
        <v>0</v>
      </c>
      <c r="HU21" s="6">
        <f>IF(SUMIFS('Locations Data'!$C:$C,'Locations Data'!$G:$G,$B21,'Locations Data'!$B:$B,HU$5)&gt;0,1,0)</f>
        <v>0</v>
      </c>
      <c r="HV21" s="6">
        <f>IF(SUMIFS('Locations Data'!$C:$C,'Locations Data'!$G:$G,$B21,'Locations Data'!$B:$B,HV$5)&gt;0,1,0)</f>
        <v>0</v>
      </c>
      <c r="HW21" s="6">
        <f>IF(SUMIFS('Locations Data'!$C:$C,'Locations Data'!$G:$G,$B21,'Locations Data'!$B:$B,HW$5)&gt;0,1,0)</f>
        <v>0</v>
      </c>
      <c r="HX21" s="6">
        <f>IF(SUMIFS('Locations Data'!$C:$C,'Locations Data'!$G:$G,$B21,'Locations Data'!$B:$B,HX$5)&gt;0,1,0)</f>
        <v>0</v>
      </c>
      <c r="HY21" s="6">
        <f>IF(SUMIFS('Locations Data'!$C:$C,'Locations Data'!$G:$G,$B21,'Locations Data'!$B:$B,HY$5)&gt;0,1,0)</f>
        <v>0</v>
      </c>
      <c r="HZ21" s="6">
        <f>IF(SUMIFS('Locations Data'!$C:$C,'Locations Data'!$G:$G,$B21,'Locations Data'!$B:$B,HZ$5)&gt;0,1,0)</f>
        <v>0</v>
      </c>
      <c r="IA21" s="6">
        <f>IF(SUMIFS('Locations Data'!$C:$C,'Locations Data'!$G:$G,$B21,'Locations Data'!$B:$B,IA$5)&gt;0,1,0)</f>
        <v>0</v>
      </c>
      <c r="IB21" s="6">
        <f>IF(SUMIFS('Locations Data'!$C:$C,'Locations Data'!$G:$G,$B21,'Locations Data'!$B:$B,IB$5)&gt;0,1,0)</f>
        <v>0</v>
      </c>
      <c r="IC21" s="6">
        <f>IF(SUMIFS('Locations Data'!$C:$C,'Locations Data'!$G:$G,$B21,'Locations Data'!$B:$B,IC$5)&gt;0,1,0)</f>
        <v>0</v>
      </c>
      <c r="ID21" s="6">
        <f>IF(SUMIFS('Locations Data'!$C:$C,'Locations Data'!$G:$G,$B21,'Locations Data'!$B:$B,ID$5)&gt;0,1,0)</f>
        <v>0</v>
      </c>
      <c r="IE21" s="6">
        <f>IF(SUMIFS('Locations Data'!$C:$C,'Locations Data'!$G:$G,$B21,'Locations Data'!$B:$B,IE$5)&gt;0,1,0)</f>
        <v>0</v>
      </c>
      <c r="IF21" s="6">
        <f>IF(SUMIFS('Locations Data'!$C:$C,'Locations Data'!$G:$G,$B21,'Locations Data'!$B:$B,IF$5)&gt;0,1,0)</f>
        <v>0</v>
      </c>
      <c r="IG21" s="6">
        <f>IF(SUMIFS('Locations Data'!$C:$C,'Locations Data'!$G:$G,$B21,'Locations Data'!$B:$B,IG$5)&gt;0,1,0)</f>
        <v>0</v>
      </c>
      <c r="IH21" s="6">
        <f>IF(SUMIFS('Locations Data'!$C:$C,'Locations Data'!$G:$G,$B21,'Locations Data'!$B:$B,IH$5)&gt;0,1,0)</f>
        <v>0</v>
      </c>
      <c r="II21" s="6">
        <f>IF(SUMIFS('Locations Data'!$C:$C,'Locations Data'!$G:$G,$B21,'Locations Data'!$B:$B,II$5)&gt;0,1,0)</f>
        <v>0</v>
      </c>
      <c r="IJ21" s="6">
        <f>IF(SUMIFS('Locations Data'!$C:$C,'Locations Data'!$G:$G,$B21,'Locations Data'!$B:$B,IJ$5)&gt;0,1,0)</f>
        <v>0</v>
      </c>
      <c r="IK21" s="6">
        <f>IF(SUMIFS('Locations Data'!$C:$C,'Locations Data'!$G:$G,$B21,'Locations Data'!$B:$B,IK$5)&gt;0,1,0)</f>
        <v>0</v>
      </c>
      <c r="IL21" s="6">
        <f>IF(SUMIFS('Locations Data'!$C:$C,'Locations Data'!$G:$G,$B21,'Locations Data'!$B:$B,IL$5)&gt;0,1,0)</f>
        <v>0</v>
      </c>
      <c r="IM21" s="6">
        <f>IF(SUMIFS('Locations Data'!$C:$C,'Locations Data'!$G:$G,$B21,'Locations Data'!$B:$B,IM$5)&gt;0,1,0)</f>
        <v>0</v>
      </c>
      <c r="IN21" s="6">
        <f>IF(SUMIFS('Locations Data'!$C:$C,'Locations Data'!$G:$G,$B21,'Locations Data'!$B:$B,IN$5)&gt;0,1,0)</f>
        <v>0</v>
      </c>
      <c r="IO21" s="6">
        <f>IF(SUMIFS('Locations Data'!$C:$C,'Locations Data'!$G:$G,$B21,'Locations Data'!$B:$B,IO$5)&gt;0,1,0)</f>
        <v>0</v>
      </c>
      <c r="IP21" s="6">
        <f>IF(SUMIFS('Locations Data'!$C:$C,'Locations Data'!$G:$G,$B21,'Locations Data'!$B:$B,IP$5)&gt;0,1,0)</f>
        <v>0</v>
      </c>
      <c r="IQ21" s="6">
        <f>IF(SUMIFS('Locations Data'!$C:$C,'Locations Data'!$G:$G,$B21,'Locations Data'!$B:$B,IQ$5)&gt;0,1,0)</f>
        <v>0</v>
      </c>
      <c r="IR21" s="6">
        <f>IF(SUMIFS('Locations Data'!$C:$C,'Locations Data'!$G:$G,$B21,'Locations Data'!$B:$B,IR$5)&gt;0,1,0)</f>
        <v>0</v>
      </c>
      <c r="IS21" s="6">
        <f>IF(SUMIFS('Locations Data'!$C:$C,'Locations Data'!$G:$G,$B21,'Locations Data'!$B:$B,IS$5)&gt;0,1,0)</f>
        <v>0</v>
      </c>
      <c r="IT21" s="6">
        <f>IF(SUMIFS('Locations Data'!$C:$C,'Locations Data'!$G:$G,$B21,'Locations Data'!$B:$B,IT$5)&gt;0,1,0)</f>
        <v>0</v>
      </c>
      <c r="IU21" s="6">
        <f>IF(SUMIFS('Locations Data'!$C:$C,'Locations Data'!$G:$G,$B21,'Locations Data'!$B:$B,IU$5)&gt;0,1,0)</f>
        <v>0</v>
      </c>
      <c r="IV21" s="6">
        <f>IF(SUMIFS('Locations Data'!$C:$C,'Locations Data'!$G:$G,$B21,'Locations Data'!$B:$B,IV$5)&gt;0,1,0)</f>
        <v>0</v>
      </c>
      <c r="IW21" s="6">
        <f>IF(SUMIFS('Locations Data'!$C:$C,'Locations Data'!$G:$G,$B21,'Locations Data'!$B:$B,IW$5)&gt;0,1,0)</f>
        <v>0</v>
      </c>
      <c r="IX21" s="6">
        <f>IF(SUMIFS('Locations Data'!$C:$C,'Locations Data'!$G:$G,$B21,'Locations Data'!$B:$B,IX$5)&gt;0,1,0)</f>
        <v>0</v>
      </c>
      <c r="IY21" s="6">
        <f>IF(SUMIFS('Locations Data'!$C:$C,'Locations Data'!$G:$G,$B21,'Locations Data'!$B:$B,IY$5)&gt;0,1,0)</f>
        <v>0</v>
      </c>
      <c r="IZ21" s="6">
        <f>IF(SUMIFS('Locations Data'!$C:$C,'Locations Data'!$G:$G,$B21,'Locations Data'!$B:$B,IZ$5)&gt;0,1,0)</f>
        <v>0</v>
      </c>
      <c r="JA21" s="6">
        <f>IF(SUMIFS('Locations Data'!$C:$C,'Locations Data'!$G:$G,$B21,'Locations Data'!$B:$B,JA$5)&gt;0,1,0)</f>
        <v>0</v>
      </c>
      <c r="JB21" s="6">
        <f>IF(SUMIFS('Locations Data'!$C:$C,'Locations Data'!$G:$G,$B21,'Locations Data'!$B:$B,JB$5)&gt;0,1,0)</f>
        <v>0</v>
      </c>
      <c r="JC21" s="6">
        <f>IF(SUMIFS('Locations Data'!$C:$C,'Locations Data'!$G:$G,$B21,'Locations Data'!$B:$B,JC$5)&gt;0,1,0)</f>
        <v>0</v>
      </c>
      <c r="JD21" s="6">
        <f>IF(SUMIFS('Locations Data'!$C:$C,'Locations Data'!$G:$G,$B21,'Locations Data'!$B:$B,JD$5)&gt;0,1,0)</f>
        <v>0</v>
      </c>
      <c r="JE21" s="6">
        <f>IF(SUMIFS('Locations Data'!$C:$C,'Locations Data'!$G:$G,$B21,'Locations Data'!$B:$B,JE$5)&gt;0,1,0)</f>
        <v>0</v>
      </c>
      <c r="JF21" s="6">
        <f>IF(SUMIFS('Locations Data'!$C:$C,'Locations Data'!$G:$G,$B21,'Locations Data'!$B:$B,JF$5)&gt;0,1,0)</f>
        <v>0</v>
      </c>
      <c r="JG21" s="6">
        <f>IF(SUMIFS('Locations Data'!$C:$C,'Locations Data'!$G:$G,$B21,'Locations Data'!$B:$B,JG$5)&gt;0,1,0)</f>
        <v>0</v>
      </c>
      <c r="JH21" s="6">
        <f>IF(SUMIFS('Locations Data'!$C:$C,'Locations Data'!$G:$G,$B21,'Locations Data'!$B:$B,JH$5)&gt;0,1,0)</f>
        <v>0</v>
      </c>
      <c r="JI21" s="6">
        <f>IF(SUMIFS('Locations Data'!$C:$C,'Locations Data'!$G:$G,$B21,'Locations Data'!$B:$B,JI$5)&gt;0,1,0)</f>
        <v>0</v>
      </c>
      <c r="JJ21" s="6">
        <f>IF(SUMIFS('Locations Data'!$C:$C,'Locations Data'!$G:$G,$B21,'Locations Data'!$B:$B,JJ$5)&gt;0,1,0)</f>
        <v>0</v>
      </c>
      <c r="JK21" s="6">
        <f>IF(SUMIFS('Locations Data'!$C:$C,'Locations Data'!$G:$G,$B21,'Locations Data'!$B:$B,JK$5)&gt;0,1,0)</f>
        <v>0</v>
      </c>
      <c r="JL21" s="6">
        <f>IF(SUMIFS('Locations Data'!$C:$C,'Locations Data'!$G:$G,$B21,'Locations Data'!$B:$B,JL$5)&gt;0,1,0)</f>
        <v>0</v>
      </c>
      <c r="JM21" s="6">
        <f>IF(SUMIFS('Locations Data'!$C:$C,'Locations Data'!$G:$G,$B21,'Locations Data'!$B:$B,JM$5)&gt;0,1,0)</f>
        <v>0</v>
      </c>
      <c r="JN21" s="6">
        <f>IF(SUMIFS('Locations Data'!$C:$C,'Locations Data'!$G:$G,$B21,'Locations Data'!$B:$B,JN$5)&gt;0,1,0)</f>
        <v>0</v>
      </c>
      <c r="JO21" s="6">
        <f>IF(SUMIFS('Locations Data'!$C:$C,'Locations Data'!$G:$G,$B21,'Locations Data'!$B:$B,JO$5)&gt;0,1,0)</f>
        <v>0</v>
      </c>
      <c r="JP21" s="6">
        <f>IF(SUMIFS('Locations Data'!$C:$C,'Locations Data'!$G:$G,$B21,'Locations Data'!$B:$B,JP$5)&gt;0,1,0)</f>
        <v>0</v>
      </c>
      <c r="JQ21" s="6">
        <f>IF(SUMIFS('Locations Data'!$C:$C,'Locations Data'!$G:$G,$B21,'Locations Data'!$B:$B,JQ$5)&gt;0,1,0)</f>
        <v>0</v>
      </c>
      <c r="JR21" s="6">
        <f>IF(SUMIFS('Locations Data'!$C:$C,'Locations Data'!$G:$G,$B21,'Locations Data'!$B:$B,JR$5)&gt;0,1,0)</f>
        <v>0</v>
      </c>
      <c r="JS21" s="6">
        <f>IF(SUMIFS('Locations Data'!$C:$C,'Locations Data'!$G:$G,$B21,'Locations Data'!$B:$B,JS$5)&gt;0,1,0)</f>
        <v>0</v>
      </c>
      <c r="JT21" s="6">
        <f>IF(SUMIFS('Locations Data'!$C:$C,'Locations Data'!$G:$G,$B21,'Locations Data'!$B:$B,JT$5)&gt;0,1,0)</f>
        <v>0</v>
      </c>
      <c r="JU21" s="6">
        <f>IF(SUMIFS('Locations Data'!$C:$C,'Locations Data'!$G:$G,$B21,'Locations Data'!$B:$B,JU$5)&gt;0,1,0)</f>
        <v>0</v>
      </c>
      <c r="JV21" s="6">
        <f>IF(SUMIFS('Locations Data'!$C:$C,'Locations Data'!$G:$G,$B21,'Locations Data'!$B:$B,JV$5)&gt;0,1,0)</f>
        <v>0</v>
      </c>
      <c r="JW21" s="6">
        <f>IF(SUMIFS('Locations Data'!$C:$C,'Locations Data'!$G:$G,$B21,'Locations Data'!$B:$B,JW$5)&gt;0,1,0)</f>
        <v>0</v>
      </c>
      <c r="JX21" s="6">
        <f>IF(SUMIFS('Locations Data'!$C:$C,'Locations Data'!$G:$G,$B21,'Locations Data'!$B:$B,JX$5)&gt;0,1,0)</f>
        <v>0</v>
      </c>
      <c r="JY21" s="6">
        <f>IF(SUMIFS('Locations Data'!$C:$C,'Locations Data'!$G:$G,$B21,'Locations Data'!$B:$B,JY$5)&gt;0,1,0)</f>
        <v>0</v>
      </c>
      <c r="JZ21" s="6">
        <f>IF(SUMIFS('Locations Data'!$C:$C,'Locations Data'!$G:$G,$B21,'Locations Data'!$B:$B,JZ$5)&gt;0,1,0)</f>
        <v>0</v>
      </c>
      <c r="KA21" s="6">
        <f>IF(SUMIFS('Locations Data'!$C:$C,'Locations Data'!$G:$G,$B21,'Locations Data'!$B:$B,KA$5)&gt;0,1,0)</f>
        <v>0</v>
      </c>
      <c r="KB21" s="6">
        <f>IF(SUMIFS('Locations Data'!$C:$C,'Locations Data'!$G:$G,$B21,'Locations Data'!$B:$B,KB$5)&gt;0,1,0)</f>
        <v>0</v>
      </c>
      <c r="KC21" s="6">
        <f>IF(SUMIFS('Locations Data'!$C:$C,'Locations Data'!$G:$G,$B21,'Locations Data'!$B:$B,KC$5)&gt;0,1,0)</f>
        <v>0</v>
      </c>
      <c r="KD21" s="6">
        <f>IF(SUMIFS('Locations Data'!$C:$C,'Locations Data'!$G:$G,$B21,'Locations Data'!$B:$B,KD$5)&gt;0,1,0)</f>
        <v>0</v>
      </c>
      <c r="KE21" s="6">
        <f>IF(SUMIFS('Locations Data'!$C:$C,'Locations Data'!$G:$G,$B21,'Locations Data'!$B:$B,KE$5)&gt;0,1,0)</f>
        <v>0</v>
      </c>
      <c r="KF21" s="6">
        <f>IF(SUMIFS('Locations Data'!$C:$C,'Locations Data'!$G:$G,$B21,'Locations Data'!$B:$B,KF$5)&gt;0,1,0)</f>
        <v>0</v>
      </c>
      <c r="KG21" s="6">
        <f>IF(SUMIFS('Locations Data'!$C:$C,'Locations Data'!$G:$G,$B21,'Locations Data'!$B:$B,KG$5)&gt;0,1,0)</f>
        <v>0</v>
      </c>
      <c r="KH21" s="6">
        <f>IF(SUMIFS('Locations Data'!$C:$C,'Locations Data'!$G:$G,$B21,'Locations Data'!$B:$B,KH$5)&gt;0,1,0)</f>
        <v>0</v>
      </c>
      <c r="KI21" s="6">
        <f>IF(SUMIFS('Locations Data'!$C:$C,'Locations Data'!$G:$G,$B21,'Locations Data'!$B:$B,KI$5)&gt;0,1,0)</f>
        <v>0</v>
      </c>
      <c r="KJ21" s="6">
        <f>IF(SUMIFS('Locations Data'!$C:$C,'Locations Data'!$G:$G,$B21,'Locations Data'!$B:$B,KJ$5)&gt;0,1,0)</f>
        <v>0</v>
      </c>
      <c r="KK21" s="6">
        <f>IF(SUMIFS('Locations Data'!$C:$C,'Locations Data'!$G:$G,$B21,'Locations Data'!$B:$B,KK$5)&gt;0,1,0)</f>
        <v>0</v>
      </c>
      <c r="KL21" s="6">
        <f>IF(SUMIFS('Locations Data'!$C:$C,'Locations Data'!$G:$G,$B21,'Locations Data'!$B:$B,KL$5)&gt;0,1,0)</f>
        <v>0</v>
      </c>
      <c r="KM21" s="6">
        <f>IF(SUMIFS('Locations Data'!$C:$C,'Locations Data'!$G:$G,$B21,'Locations Data'!$B:$B,KM$5)&gt;0,1,0)</f>
        <v>0</v>
      </c>
      <c r="KN21" s="6">
        <f>IF(SUMIFS('Locations Data'!$C:$C,'Locations Data'!$G:$G,$B21,'Locations Data'!$B:$B,KN$5)&gt;0,1,0)</f>
        <v>0</v>
      </c>
      <c r="KO21" s="6">
        <f>IF(SUMIFS('Locations Data'!$C:$C,'Locations Data'!$G:$G,$B21,'Locations Data'!$B:$B,KO$5)&gt;0,1,0)</f>
        <v>0</v>
      </c>
      <c r="KP21" s="6">
        <f>IF(SUMIFS('Locations Data'!$C:$C,'Locations Data'!$G:$G,$B21,'Locations Data'!$B:$B,KP$5)&gt;0,1,0)</f>
        <v>0</v>
      </c>
      <c r="KQ21" s="6">
        <f>IF(SUMIFS('Locations Data'!$C:$C,'Locations Data'!$G:$G,$B21,'Locations Data'!$B:$B,KQ$5)&gt;0,1,0)</f>
        <v>0</v>
      </c>
      <c r="KR21" s="6">
        <f>IF(SUMIFS('Locations Data'!$C:$C,'Locations Data'!$G:$G,$B21,'Locations Data'!$B:$B,KR$5)&gt;0,1,0)</f>
        <v>0</v>
      </c>
      <c r="KS21" s="6">
        <f>IF(SUMIFS('Locations Data'!$C:$C,'Locations Data'!$G:$G,$B21,'Locations Data'!$B:$B,KS$5)&gt;0,1,0)</f>
        <v>0</v>
      </c>
      <c r="KT21" s="6">
        <f>IF(SUMIFS('Locations Data'!$C:$C,'Locations Data'!$G:$G,$B21,'Locations Data'!$B:$B,KT$5)&gt;0,1,0)</f>
        <v>0</v>
      </c>
      <c r="KU21" s="6">
        <f>IF(SUMIFS('Locations Data'!$C:$C,'Locations Data'!$G:$G,$B21,'Locations Data'!$B:$B,KU$5)&gt;0,1,0)</f>
        <v>0</v>
      </c>
      <c r="KV21" s="6">
        <f>IF(SUMIFS('Locations Data'!$C:$C,'Locations Data'!$G:$G,$B21,'Locations Data'!$B:$B,KV$5)&gt;0,1,0)</f>
        <v>0</v>
      </c>
      <c r="KW21" s="6">
        <f>IF(SUMIFS('Locations Data'!$C:$C,'Locations Data'!$G:$G,$B21,'Locations Data'!$B:$B,KW$5)&gt;0,1,0)</f>
        <v>0</v>
      </c>
      <c r="KX21" s="6">
        <f>IF(SUMIFS('Locations Data'!$C:$C,'Locations Data'!$G:$G,$B21,'Locations Data'!$B:$B,KX$5)&gt;0,1,0)</f>
        <v>0</v>
      </c>
      <c r="KY21" s="6">
        <f>IF(SUMIFS('Locations Data'!$C:$C,'Locations Data'!$G:$G,$B21,'Locations Data'!$B:$B,KY$5)&gt;0,1,0)</f>
        <v>0</v>
      </c>
      <c r="KZ21" s="6">
        <f>IF(SUMIFS('Locations Data'!$C:$C,'Locations Data'!$G:$G,$B21,'Locations Data'!$B:$B,KZ$5)&gt;0,1,0)</f>
        <v>0</v>
      </c>
      <c r="LA21" s="6">
        <f>IF(SUMIFS('Locations Data'!$C:$C,'Locations Data'!$G:$G,$B21,'Locations Data'!$B:$B,LA$5)&gt;0,1,0)</f>
        <v>0</v>
      </c>
      <c r="LB21" s="6">
        <f>IF(SUMIFS('Locations Data'!$C:$C,'Locations Data'!$G:$G,$B21,'Locations Data'!$B:$B,LB$5)&gt;0,1,0)</f>
        <v>0</v>
      </c>
      <c r="LC21" s="6">
        <f>IF(SUMIFS('Locations Data'!$C:$C,'Locations Data'!$G:$G,$B21,'Locations Data'!$B:$B,LC$5)&gt;0,1,0)</f>
        <v>0</v>
      </c>
      <c r="LD21" s="6">
        <f>IF(SUMIFS('Locations Data'!$C:$C,'Locations Data'!$G:$G,$B21,'Locations Data'!$B:$B,LD$5)&gt;0,1,0)</f>
        <v>0</v>
      </c>
      <c r="LE21" s="6">
        <f>IF(SUMIFS('Locations Data'!$C:$C,'Locations Data'!$G:$G,$B21,'Locations Data'!$B:$B,LE$5)&gt;0,1,0)</f>
        <v>0</v>
      </c>
      <c r="LF21" s="6">
        <f>IF(SUMIFS('Locations Data'!$C:$C,'Locations Data'!$G:$G,$B21,'Locations Data'!$B:$B,LF$5)&gt;0,1,0)</f>
        <v>0</v>
      </c>
      <c r="LG21" s="6">
        <f>IF(SUMIFS('Locations Data'!$C:$C,'Locations Data'!$G:$G,$B21,'Locations Data'!$B:$B,LG$5)&gt;0,1,0)</f>
        <v>0</v>
      </c>
      <c r="LH21" s="6">
        <f>IF(SUMIFS('Locations Data'!$C:$C,'Locations Data'!$G:$G,$B21,'Locations Data'!$B:$B,LH$5)&gt;0,1,0)</f>
        <v>0</v>
      </c>
      <c r="LI21" s="6">
        <f>IF(SUMIFS('Locations Data'!$C:$C,'Locations Data'!$G:$G,$B21,'Locations Data'!$B:$B,LI$5)&gt;0,1,0)</f>
        <v>0</v>
      </c>
      <c r="LJ21" s="6">
        <f>IF(SUMIFS('Locations Data'!$C:$C,'Locations Data'!$G:$G,$B21,'Locations Data'!$B:$B,LJ$5)&gt;0,1,0)</f>
        <v>0</v>
      </c>
      <c r="LK21" s="6">
        <f>IF(SUMIFS('Locations Data'!$C:$C,'Locations Data'!$G:$G,$B21,'Locations Data'!$B:$B,LK$5)&gt;0,1,0)</f>
        <v>0</v>
      </c>
      <c r="LL21" s="6">
        <f>IF(SUMIFS('Locations Data'!$C:$C,'Locations Data'!$G:$G,$B21,'Locations Data'!$B:$B,LL$5)&gt;0,1,0)</f>
        <v>0</v>
      </c>
      <c r="LM21" s="6">
        <f>IF(SUMIFS('Locations Data'!$C:$C,'Locations Data'!$G:$G,$B21,'Locations Data'!$B:$B,LM$5)&gt;0,1,0)</f>
        <v>0</v>
      </c>
      <c r="LN21" s="6">
        <f>IF(SUMIFS('Locations Data'!$C:$C,'Locations Data'!$G:$G,$B21,'Locations Data'!$B:$B,LN$5)&gt;0,1,0)</f>
        <v>0</v>
      </c>
      <c r="LO21" s="6">
        <f>IF(SUMIFS('Locations Data'!$C:$C,'Locations Data'!$G:$G,$B21,'Locations Data'!$B:$B,LO$5)&gt;0,1,0)</f>
        <v>0</v>
      </c>
      <c r="LP21" s="6">
        <f>IF(SUMIFS('Locations Data'!$C:$C,'Locations Data'!$G:$G,$B21,'Locations Data'!$B:$B,LP$5)&gt;0,1,0)</f>
        <v>0</v>
      </c>
      <c r="LQ21" s="6">
        <f>IF(SUMIFS('Locations Data'!$C:$C,'Locations Data'!$G:$G,$B21,'Locations Data'!$B:$B,LQ$5)&gt;0,1,0)</f>
        <v>0</v>
      </c>
      <c r="LR21" s="6">
        <f>IF(SUMIFS('Locations Data'!$C:$C,'Locations Data'!$G:$G,$B21,'Locations Data'!$B:$B,LR$5)&gt;0,1,0)</f>
        <v>0</v>
      </c>
      <c r="LS21" s="6">
        <f>IF(SUMIFS('Locations Data'!$C:$C,'Locations Data'!$G:$G,$B21,'Locations Data'!$B:$B,LS$5)&gt;0,1,0)</f>
        <v>0</v>
      </c>
      <c r="LT21" s="6">
        <f>IF(SUMIFS('Locations Data'!$C:$C,'Locations Data'!$G:$G,$B21,'Locations Data'!$B:$B,LT$5)&gt;0,1,0)</f>
        <v>0</v>
      </c>
      <c r="LU21" s="6">
        <f>IF(SUMIFS('Locations Data'!$C:$C,'Locations Data'!$G:$G,$B21,'Locations Data'!$B:$B,LU$5)&gt;0,1,0)</f>
        <v>0</v>
      </c>
      <c r="LV21" s="6">
        <f>IF(SUMIFS('Locations Data'!$C:$C,'Locations Data'!$G:$G,$B21,'Locations Data'!$B:$B,LV$5)&gt;0,1,0)</f>
        <v>0</v>
      </c>
      <c r="LW21" s="6">
        <f>IF(SUMIFS('Locations Data'!$C:$C,'Locations Data'!$G:$G,$B21,'Locations Data'!$B:$B,LW$5)&gt;0,1,0)</f>
        <v>0</v>
      </c>
      <c r="LX21" s="6">
        <f>IF(SUMIFS('Locations Data'!$C:$C,'Locations Data'!$G:$G,$B21,'Locations Data'!$B:$B,LX$5)&gt;0,1,0)</f>
        <v>0</v>
      </c>
      <c r="LY21" s="6">
        <f>IF(SUMIFS('Locations Data'!$C:$C,'Locations Data'!$G:$G,$B21,'Locations Data'!$B:$B,LY$5)&gt;0,1,0)</f>
        <v>0</v>
      </c>
      <c r="LZ21" s="6">
        <f>IF(SUMIFS('Locations Data'!$C:$C,'Locations Data'!$G:$G,$B21,'Locations Data'!$B:$B,LZ$5)&gt;0,1,0)</f>
        <v>0</v>
      </c>
      <c r="MA21" s="6">
        <f>IF(SUMIFS('Locations Data'!$C:$C,'Locations Data'!$G:$G,$B21,'Locations Data'!$B:$B,MA$5)&gt;0,1,0)</f>
        <v>0</v>
      </c>
      <c r="MB21" s="6">
        <f>IF(SUMIFS('Locations Data'!$C:$C,'Locations Data'!$G:$G,$B21,'Locations Data'!$B:$B,MB$5)&gt;0,1,0)</f>
        <v>0</v>
      </c>
      <c r="MC21" s="6">
        <f>IF(SUMIFS('Locations Data'!$C:$C,'Locations Data'!$G:$G,$B21,'Locations Data'!$B:$B,MC$5)&gt;0,1,0)</f>
        <v>0</v>
      </c>
      <c r="MD21" s="6">
        <f>IF(SUMIFS('Locations Data'!$C:$C,'Locations Data'!$G:$G,$B21,'Locations Data'!$B:$B,MD$5)&gt;0,1,0)</f>
        <v>0</v>
      </c>
      <c r="ME21" s="6">
        <f>IF(SUMIFS('Locations Data'!$C:$C,'Locations Data'!$G:$G,$B21,'Locations Data'!$B:$B,ME$5)&gt;0,1,0)</f>
        <v>0</v>
      </c>
      <c r="MF21" s="6">
        <f>IF(SUMIFS('Locations Data'!$C:$C,'Locations Data'!$G:$G,$B21,'Locations Data'!$B:$B,MF$5)&gt;0,1,0)</f>
        <v>0</v>
      </c>
      <c r="MG21" s="6">
        <f>IF(SUMIFS('Locations Data'!$C:$C,'Locations Data'!$G:$G,$B21,'Locations Data'!$B:$B,MG$5)&gt;0,1,0)</f>
        <v>0</v>
      </c>
      <c r="MH21" s="6">
        <f>IF(SUMIFS('Locations Data'!$C:$C,'Locations Data'!$G:$G,$B21,'Locations Data'!$B:$B,MH$5)&gt;0,1,0)</f>
        <v>0</v>
      </c>
      <c r="MI21" s="6">
        <f>IF(SUMIFS('Locations Data'!$C:$C,'Locations Data'!$G:$G,$B21,'Locations Data'!$B:$B,MI$5)&gt;0,1,0)</f>
        <v>0</v>
      </c>
      <c r="MJ21" s="6">
        <f>IF(SUMIFS('Locations Data'!$C:$C,'Locations Data'!$G:$G,$B21,'Locations Data'!$B:$B,MJ$5)&gt;0,1,0)</f>
        <v>0</v>
      </c>
      <c r="MK21" s="6">
        <f>IF(SUMIFS('Locations Data'!$C:$C,'Locations Data'!$G:$G,$B21,'Locations Data'!$B:$B,MK$5)&gt;0,1,0)</f>
        <v>0</v>
      </c>
      <c r="ML21" s="6">
        <f>IF(SUMIFS('Locations Data'!$C:$C,'Locations Data'!$G:$G,$B21,'Locations Data'!$B:$B,ML$5)&gt;0,1,0)</f>
        <v>0</v>
      </c>
      <c r="MM21" s="6">
        <f>IF(SUMIFS('Locations Data'!$C:$C,'Locations Data'!$G:$G,$B21,'Locations Data'!$B:$B,MM$5)&gt;0,1,0)</f>
        <v>0</v>
      </c>
      <c r="MN21" s="6">
        <f>IF(SUMIFS('Locations Data'!$C:$C,'Locations Data'!$G:$G,$B21,'Locations Data'!$B:$B,MN$5)&gt;0,1,0)</f>
        <v>0</v>
      </c>
      <c r="MO21" s="6">
        <f>IF(SUMIFS('Locations Data'!$C:$C,'Locations Data'!$G:$G,$B21,'Locations Data'!$B:$B,MO$5)&gt;0,1,0)</f>
        <v>0</v>
      </c>
      <c r="MP21" s="6">
        <f>IF(SUMIFS('Locations Data'!$C:$C,'Locations Data'!$G:$G,$B21,'Locations Data'!$B:$B,MP$5)&gt;0,1,0)</f>
        <v>0</v>
      </c>
      <c r="MQ21" s="6">
        <f>IF(SUMIFS('Locations Data'!$C:$C,'Locations Data'!$G:$G,$B21,'Locations Data'!$B:$B,MQ$5)&gt;0,1,0)</f>
        <v>0</v>
      </c>
      <c r="MR21" s="6">
        <f>IF(SUMIFS('Locations Data'!$C:$C,'Locations Data'!$G:$G,$B21,'Locations Data'!$B:$B,MR$5)&gt;0,1,0)</f>
        <v>0</v>
      </c>
      <c r="MS21" s="6">
        <f>IF(SUMIFS('Locations Data'!$C:$C,'Locations Data'!$G:$G,$B21,'Locations Data'!$B:$B,MS$5)&gt;0,1,0)</f>
        <v>0</v>
      </c>
      <c r="MT21" s="6">
        <f>IF(SUMIFS('Locations Data'!$C:$C,'Locations Data'!$G:$G,$B21,'Locations Data'!$B:$B,MT$5)&gt;0,1,0)</f>
        <v>0</v>
      </c>
      <c r="MU21" s="6">
        <f>IF(SUMIFS('Locations Data'!$C:$C,'Locations Data'!$G:$G,$B21,'Locations Data'!$B:$B,MU$5)&gt;0,1,0)</f>
        <v>0</v>
      </c>
      <c r="MV21" s="6">
        <f>IF(SUMIFS('Locations Data'!$C:$C,'Locations Data'!$G:$G,$B21,'Locations Data'!$B:$B,MV$5)&gt;0,1,0)</f>
        <v>0</v>
      </c>
      <c r="MW21" s="26">
        <v>0</v>
      </c>
      <c r="MX21" s="6">
        <f>IF(SUMIFS('Locations Data'!$C:$C,'Locations Data'!$G:$G,$B21,'Locations Data'!$B:$B,MX$5)&gt;0,1,0)</f>
        <v>0</v>
      </c>
      <c r="MY21" s="6">
        <f>IF(SUMIFS('Locations Data'!$C:$C,'Locations Data'!$G:$G,$B21,'Locations Data'!$B:$B,MY$5)&gt;0,1,0)</f>
        <v>0</v>
      </c>
      <c r="MZ21" s="6">
        <f>IF(SUMIFS('Locations Data'!$C:$C,'Locations Data'!$G:$G,$B21,'Locations Data'!$B:$B,MZ$5)&gt;0,1,0)</f>
        <v>0</v>
      </c>
      <c r="NA21" s="6">
        <f>IF(SUMIFS('Locations Data'!$C:$C,'Locations Data'!$G:$G,$B21,'Locations Data'!$B:$B,NA$5)&gt;0,1,0)</f>
        <v>0</v>
      </c>
      <c r="NB21" s="6">
        <f>IF(SUMIFS('Locations Data'!$C:$C,'Locations Data'!$G:$G,$B21,'Locations Data'!$B:$B,NB$5)&gt;0,1,0)</f>
        <v>0</v>
      </c>
      <c r="NC21" s="6">
        <f>IF(SUMIFS('Locations Data'!$C:$C,'Locations Data'!$G:$G,$B21,'Locations Data'!$B:$B,NC$5)&gt;0,1,0)</f>
        <v>0</v>
      </c>
    </row>
    <row r="24" spans="2:367">
      <c r="B24" s="2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2:367" ht="25.9">
      <c r="B25" s="22" t="s">
        <v>314</v>
      </c>
      <c r="C25" s="21">
        <f>EOMONTH(C3,0)</f>
        <v>46053</v>
      </c>
      <c r="D25" s="21">
        <f>EOMONTH(C25,1)</f>
        <v>46081</v>
      </c>
      <c r="E25" s="21">
        <f t="shared" ref="E25:M25" si="25">EOMONTH(D25,1)</f>
        <v>46112</v>
      </c>
      <c r="F25" s="21">
        <f t="shared" si="25"/>
        <v>46142</v>
      </c>
      <c r="G25" s="21">
        <f t="shared" si="25"/>
        <v>46173</v>
      </c>
      <c r="H25" s="21">
        <f t="shared" si="25"/>
        <v>46203</v>
      </c>
      <c r="I25" s="21">
        <f t="shared" si="25"/>
        <v>46234</v>
      </c>
      <c r="J25" s="21">
        <f t="shared" si="25"/>
        <v>46265</v>
      </c>
      <c r="K25" s="21">
        <f t="shared" si="25"/>
        <v>46295</v>
      </c>
      <c r="L25" s="21">
        <f t="shared" si="25"/>
        <v>46326</v>
      </c>
      <c r="M25" s="21">
        <f t="shared" si="25"/>
        <v>46356</v>
      </c>
      <c r="N25" s="21">
        <f>EOMONTH(M25,1)</f>
        <v>46387</v>
      </c>
    </row>
    <row r="26" spans="2:367">
      <c r="B26" s="27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2:367">
      <c r="B27" s="27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2:367">
      <c r="B28" s="20" t="str">
        <f>B6</f>
        <v>Denville, NJ</v>
      </c>
      <c r="C28" s="6">
        <f>SUMIFS(6:6,$2:$2,C$25)</f>
        <v>26</v>
      </c>
      <c r="D28" s="6">
        <f t="shared" ref="D28:N28" si="26">SUMIFS(6:6,$2:$2,D$25)</f>
        <v>24</v>
      </c>
      <c r="E28" s="6">
        <f t="shared" si="26"/>
        <v>26</v>
      </c>
      <c r="F28" s="6">
        <f t="shared" si="26"/>
        <v>26</v>
      </c>
      <c r="G28" s="6">
        <f t="shared" si="26"/>
        <v>26</v>
      </c>
      <c r="H28" s="6">
        <f t="shared" si="26"/>
        <v>26</v>
      </c>
      <c r="I28" s="6">
        <f t="shared" si="26"/>
        <v>27</v>
      </c>
      <c r="J28" s="6">
        <f t="shared" si="26"/>
        <v>26</v>
      </c>
      <c r="K28" s="6">
        <f t="shared" si="26"/>
        <v>26</v>
      </c>
      <c r="L28" s="6">
        <f t="shared" si="26"/>
        <v>27</v>
      </c>
      <c r="M28" s="6">
        <f t="shared" si="26"/>
        <v>25</v>
      </c>
      <c r="N28" s="6">
        <f t="shared" si="26"/>
        <v>26</v>
      </c>
    </row>
    <row r="29" spans="2:367">
      <c r="B29" s="20" t="str">
        <f t="shared" ref="B29:B43" si="27">B7</f>
        <v>Hoboken, NJ</v>
      </c>
      <c r="C29" s="6">
        <f t="shared" ref="C29:N43" si="28">SUMIFS(7:7,$2:$2,C$25)</f>
        <v>26</v>
      </c>
      <c r="D29" s="6">
        <f t="shared" si="28"/>
        <v>24</v>
      </c>
      <c r="E29" s="6">
        <f t="shared" si="28"/>
        <v>26</v>
      </c>
      <c r="F29" s="6">
        <f t="shared" si="28"/>
        <v>26</v>
      </c>
      <c r="G29" s="6">
        <f t="shared" si="28"/>
        <v>26</v>
      </c>
      <c r="H29" s="6">
        <f t="shared" si="28"/>
        <v>26</v>
      </c>
      <c r="I29" s="6">
        <f t="shared" si="28"/>
        <v>27</v>
      </c>
      <c r="J29" s="6">
        <f t="shared" si="28"/>
        <v>26</v>
      </c>
      <c r="K29" s="6">
        <f t="shared" si="28"/>
        <v>26</v>
      </c>
      <c r="L29" s="6">
        <f t="shared" si="28"/>
        <v>27</v>
      </c>
      <c r="M29" s="6">
        <f t="shared" si="28"/>
        <v>25</v>
      </c>
      <c r="N29" s="6">
        <f t="shared" si="28"/>
        <v>26</v>
      </c>
    </row>
    <row r="30" spans="2:367">
      <c r="B30" s="20" t="str">
        <f t="shared" si="27"/>
        <v>Jersey City, NJ</v>
      </c>
      <c r="C30" s="6">
        <f t="shared" si="28"/>
        <v>26</v>
      </c>
      <c r="D30" s="6">
        <f t="shared" si="28"/>
        <v>24</v>
      </c>
      <c r="E30" s="6">
        <f t="shared" si="28"/>
        <v>26</v>
      </c>
      <c r="F30" s="6">
        <f t="shared" si="28"/>
        <v>26</v>
      </c>
      <c r="G30" s="6">
        <f t="shared" si="28"/>
        <v>26</v>
      </c>
      <c r="H30" s="6">
        <f t="shared" si="28"/>
        <v>26</v>
      </c>
      <c r="I30" s="6">
        <f t="shared" si="28"/>
        <v>27</v>
      </c>
      <c r="J30" s="6">
        <f t="shared" si="28"/>
        <v>26</v>
      </c>
      <c r="K30" s="6">
        <f t="shared" si="28"/>
        <v>26</v>
      </c>
      <c r="L30" s="6">
        <f t="shared" si="28"/>
        <v>27</v>
      </c>
      <c r="M30" s="6">
        <f t="shared" si="28"/>
        <v>25</v>
      </c>
      <c r="N30" s="6">
        <f t="shared" si="28"/>
        <v>26</v>
      </c>
    </row>
    <row r="31" spans="2:367">
      <c r="B31" s="20" t="str">
        <f t="shared" si="27"/>
        <v>Red Bank, NJ</v>
      </c>
      <c r="C31" s="6">
        <f t="shared" si="28"/>
        <v>22</v>
      </c>
      <c r="D31" s="6">
        <f t="shared" si="28"/>
        <v>20</v>
      </c>
      <c r="E31" s="6">
        <f t="shared" si="28"/>
        <v>21</v>
      </c>
      <c r="F31" s="6">
        <f t="shared" si="28"/>
        <v>22</v>
      </c>
      <c r="G31" s="6">
        <f t="shared" si="28"/>
        <v>22</v>
      </c>
      <c r="H31" s="6">
        <f t="shared" si="28"/>
        <v>21</v>
      </c>
      <c r="I31" s="6">
        <f t="shared" si="28"/>
        <v>23</v>
      </c>
      <c r="J31" s="6">
        <f t="shared" si="28"/>
        <v>21</v>
      </c>
      <c r="K31" s="6">
        <f t="shared" si="28"/>
        <v>22</v>
      </c>
      <c r="L31" s="6">
        <f t="shared" si="28"/>
        <v>23</v>
      </c>
      <c r="M31" s="6">
        <f t="shared" si="28"/>
        <v>20</v>
      </c>
      <c r="N31" s="6">
        <f t="shared" si="28"/>
        <v>22</v>
      </c>
    </row>
    <row r="32" spans="2:367">
      <c r="B32" s="20" t="str">
        <f t="shared" si="27"/>
        <v>Tribeca, NY</v>
      </c>
      <c r="C32" s="6">
        <f t="shared" si="28"/>
        <v>21</v>
      </c>
      <c r="D32" s="6">
        <f t="shared" si="28"/>
        <v>20</v>
      </c>
      <c r="E32" s="6">
        <f t="shared" si="28"/>
        <v>22</v>
      </c>
      <c r="F32" s="6">
        <f t="shared" si="28"/>
        <v>22</v>
      </c>
      <c r="G32" s="6">
        <f t="shared" si="28"/>
        <v>21</v>
      </c>
      <c r="H32" s="6">
        <f t="shared" si="28"/>
        <v>22</v>
      </c>
      <c r="I32" s="6">
        <f t="shared" si="28"/>
        <v>23</v>
      </c>
      <c r="J32" s="6">
        <f t="shared" si="28"/>
        <v>21</v>
      </c>
      <c r="K32" s="6">
        <f t="shared" si="28"/>
        <v>22</v>
      </c>
      <c r="L32" s="6">
        <f t="shared" si="28"/>
        <v>22</v>
      </c>
      <c r="M32" s="6">
        <f t="shared" si="28"/>
        <v>21</v>
      </c>
      <c r="N32" s="6">
        <f t="shared" si="28"/>
        <v>22</v>
      </c>
    </row>
    <row r="33" spans="2:14">
      <c r="B33" s="20" t="str">
        <f t="shared" si="27"/>
        <v>Bel Air, MD</v>
      </c>
      <c r="C33" s="6">
        <f t="shared" si="28"/>
        <v>22</v>
      </c>
      <c r="D33" s="6">
        <f t="shared" si="28"/>
        <v>20</v>
      </c>
      <c r="E33" s="6">
        <f t="shared" si="28"/>
        <v>21</v>
      </c>
      <c r="F33" s="6">
        <f t="shared" si="28"/>
        <v>22</v>
      </c>
      <c r="G33" s="6">
        <f t="shared" si="28"/>
        <v>22</v>
      </c>
      <c r="H33" s="6">
        <f t="shared" si="28"/>
        <v>21</v>
      </c>
      <c r="I33" s="6">
        <f t="shared" si="28"/>
        <v>23</v>
      </c>
      <c r="J33" s="6">
        <f t="shared" si="28"/>
        <v>21</v>
      </c>
      <c r="K33" s="6">
        <f t="shared" si="28"/>
        <v>22</v>
      </c>
      <c r="L33" s="6">
        <f t="shared" si="28"/>
        <v>23</v>
      </c>
      <c r="M33" s="6">
        <f t="shared" si="28"/>
        <v>20</v>
      </c>
      <c r="N33" s="6">
        <f t="shared" si="28"/>
        <v>22</v>
      </c>
    </row>
    <row r="34" spans="2:14">
      <c r="B34" s="20" t="str">
        <f t="shared" si="27"/>
        <v>Bridgewater, NJ</v>
      </c>
      <c r="C34" s="6">
        <f t="shared" si="28"/>
        <v>22</v>
      </c>
      <c r="D34" s="6">
        <f t="shared" si="28"/>
        <v>20</v>
      </c>
      <c r="E34" s="6">
        <f t="shared" si="28"/>
        <v>21</v>
      </c>
      <c r="F34" s="6">
        <f t="shared" si="28"/>
        <v>22</v>
      </c>
      <c r="G34" s="6">
        <f t="shared" si="28"/>
        <v>22</v>
      </c>
      <c r="H34" s="6">
        <f t="shared" si="28"/>
        <v>21</v>
      </c>
      <c r="I34" s="6">
        <f t="shared" si="28"/>
        <v>23</v>
      </c>
      <c r="J34" s="6">
        <f t="shared" si="28"/>
        <v>21</v>
      </c>
      <c r="K34" s="6">
        <f t="shared" si="28"/>
        <v>22</v>
      </c>
      <c r="L34" s="6">
        <f t="shared" si="28"/>
        <v>23</v>
      </c>
      <c r="M34" s="6">
        <f t="shared" si="28"/>
        <v>20</v>
      </c>
      <c r="N34" s="6">
        <f t="shared" si="28"/>
        <v>22</v>
      </c>
    </row>
    <row r="35" spans="2:14">
      <c r="B35" s="20" t="str">
        <f t="shared" si="27"/>
        <v>Frederick, MD</v>
      </c>
      <c r="C35" s="6">
        <f t="shared" si="28"/>
        <v>26</v>
      </c>
      <c r="D35" s="6">
        <f t="shared" si="28"/>
        <v>24</v>
      </c>
      <c r="E35" s="6">
        <f t="shared" si="28"/>
        <v>26</v>
      </c>
      <c r="F35" s="6">
        <f t="shared" si="28"/>
        <v>26</v>
      </c>
      <c r="G35" s="6">
        <f t="shared" si="28"/>
        <v>26</v>
      </c>
      <c r="H35" s="6">
        <f t="shared" si="28"/>
        <v>26</v>
      </c>
      <c r="I35" s="6">
        <f t="shared" si="28"/>
        <v>27</v>
      </c>
      <c r="J35" s="6">
        <f t="shared" si="28"/>
        <v>26</v>
      </c>
      <c r="K35" s="6">
        <f t="shared" si="28"/>
        <v>26</v>
      </c>
      <c r="L35" s="6">
        <f t="shared" si="28"/>
        <v>27</v>
      </c>
      <c r="M35" s="6">
        <f t="shared" si="28"/>
        <v>25</v>
      </c>
      <c r="N35" s="6">
        <f t="shared" si="28"/>
        <v>26</v>
      </c>
    </row>
    <row r="36" spans="2:14">
      <c r="B36" s="20" t="str">
        <f t="shared" si="27"/>
        <v>Lancaster, PA</v>
      </c>
      <c r="C36" s="6">
        <f t="shared" si="28"/>
        <v>22</v>
      </c>
      <c r="D36" s="6">
        <f t="shared" si="28"/>
        <v>20</v>
      </c>
      <c r="E36" s="6">
        <f t="shared" si="28"/>
        <v>21</v>
      </c>
      <c r="F36" s="6">
        <f t="shared" si="28"/>
        <v>22</v>
      </c>
      <c r="G36" s="6">
        <f t="shared" si="28"/>
        <v>22</v>
      </c>
      <c r="H36" s="6">
        <f t="shared" si="28"/>
        <v>21</v>
      </c>
      <c r="I36" s="6">
        <f t="shared" si="28"/>
        <v>23</v>
      </c>
      <c r="J36" s="6">
        <f t="shared" si="28"/>
        <v>21</v>
      </c>
      <c r="K36" s="6">
        <f t="shared" si="28"/>
        <v>22</v>
      </c>
      <c r="L36" s="6">
        <f t="shared" si="28"/>
        <v>23</v>
      </c>
      <c r="M36" s="6">
        <f t="shared" si="28"/>
        <v>20</v>
      </c>
      <c r="N36" s="6">
        <f t="shared" si="28"/>
        <v>22</v>
      </c>
    </row>
    <row r="37" spans="2:14">
      <c r="B37" s="20" t="str">
        <f t="shared" si="27"/>
        <v>Montclair, NJ</v>
      </c>
      <c r="C37" s="6">
        <f t="shared" si="28"/>
        <v>26</v>
      </c>
      <c r="D37" s="6">
        <f t="shared" si="28"/>
        <v>24</v>
      </c>
      <c r="E37" s="6">
        <f t="shared" si="28"/>
        <v>26</v>
      </c>
      <c r="F37" s="6">
        <f t="shared" si="28"/>
        <v>26</v>
      </c>
      <c r="G37" s="6">
        <f t="shared" si="28"/>
        <v>26</v>
      </c>
      <c r="H37" s="6">
        <f t="shared" si="28"/>
        <v>26</v>
      </c>
      <c r="I37" s="6">
        <f t="shared" si="28"/>
        <v>27</v>
      </c>
      <c r="J37" s="6">
        <f t="shared" si="28"/>
        <v>26</v>
      </c>
      <c r="K37" s="6">
        <f t="shared" si="28"/>
        <v>26</v>
      </c>
      <c r="L37" s="6">
        <f t="shared" si="28"/>
        <v>27</v>
      </c>
      <c r="M37" s="6">
        <f t="shared" si="28"/>
        <v>25</v>
      </c>
      <c r="N37" s="6">
        <f t="shared" si="28"/>
        <v>26</v>
      </c>
    </row>
    <row r="38" spans="2:14">
      <c r="B38" s="20" t="str">
        <f t="shared" si="27"/>
        <v>Old Bridge, NJ</v>
      </c>
      <c r="C38" s="6">
        <f t="shared" si="28"/>
        <v>22</v>
      </c>
      <c r="D38" s="6">
        <f t="shared" si="28"/>
        <v>20</v>
      </c>
      <c r="E38" s="6">
        <f t="shared" si="28"/>
        <v>21</v>
      </c>
      <c r="F38" s="6">
        <f t="shared" si="28"/>
        <v>22</v>
      </c>
      <c r="G38" s="6">
        <f t="shared" si="28"/>
        <v>22</v>
      </c>
      <c r="H38" s="6">
        <f t="shared" si="28"/>
        <v>21</v>
      </c>
      <c r="I38" s="6">
        <f t="shared" si="28"/>
        <v>23</v>
      </c>
      <c r="J38" s="6">
        <f t="shared" si="28"/>
        <v>21</v>
      </c>
      <c r="K38" s="6">
        <f t="shared" si="28"/>
        <v>22</v>
      </c>
      <c r="L38" s="6">
        <f t="shared" si="28"/>
        <v>23</v>
      </c>
      <c r="M38" s="6">
        <f t="shared" si="28"/>
        <v>20</v>
      </c>
      <c r="N38" s="6">
        <f t="shared" si="28"/>
        <v>22</v>
      </c>
    </row>
    <row r="39" spans="2:14">
      <c r="B39" s="20" t="str">
        <f t="shared" si="27"/>
        <v>Ridgewood, NJ</v>
      </c>
      <c r="C39" s="6">
        <f t="shared" si="28"/>
        <v>22</v>
      </c>
      <c r="D39" s="6">
        <f t="shared" si="28"/>
        <v>20</v>
      </c>
      <c r="E39" s="6">
        <f t="shared" si="28"/>
        <v>21</v>
      </c>
      <c r="F39" s="6">
        <f t="shared" si="28"/>
        <v>22</v>
      </c>
      <c r="G39" s="6">
        <f t="shared" si="28"/>
        <v>22</v>
      </c>
      <c r="H39" s="6">
        <f t="shared" si="28"/>
        <v>21</v>
      </c>
      <c r="I39" s="6">
        <f t="shared" si="28"/>
        <v>23</v>
      </c>
      <c r="J39" s="6">
        <f t="shared" si="28"/>
        <v>21</v>
      </c>
      <c r="K39" s="6">
        <f t="shared" si="28"/>
        <v>22</v>
      </c>
      <c r="L39" s="6">
        <f t="shared" si="28"/>
        <v>23</v>
      </c>
      <c r="M39" s="6">
        <f t="shared" si="28"/>
        <v>20</v>
      </c>
      <c r="N39" s="6">
        <f t="shared" si="28"/>
        <v>22</v>
      </c>
    </row>
    <row r="40" spans="2:14">
      <c r="B40" s="20" t="str">
        <f t="shared" si="27"/>
        <v>Short Hills, NJ</v>
      </c>
      <c r="C40" s="6">
        <f t="shared" si="28"/>
        <v>22</v>
      </c>
      <c r="D40" s="6">
        <f t="shared" si="28"/>
        <v>20</v>
      </c>
      <c r="E40" s="6">
        <f t="shared" si="28"/>
        <v>21</v>
      </c>
      <c r="F40" s="6">
        <f t="shared" si="28"/>
        <v>22</v>
      </c>
      <c r="G40" s="6">
        <f t="shared" si="28"/>
        <v>22</v>
      </c>
      <c r="H40" s="6">
        <f t="shared" si="28"/>
        <v>21</v>
      </c>
      <c r="I40" s="6">
        <f t="shared" si="28"/>
        <v>23</v>
      </c>
      <c r="J40" s="6">
        <f t="shared" si="28"/>
        <v>21</v>
      </c>
      <c r="K40" s="6">
        <f t="shared" si="28"/>
        <v>22</v>
      </c>
      <c r="L40" s="6">
        <f t="shared" si="28"/>
        <v>23</v>
      </c>
      <c r="M40" s="6">
        <f t="shared" si="28"/>
        <v>20</v>
      </c>
      <c r="N40" s="6">
        <f t="shared" si="28"/>
        <v>22</v>
      </c>
    </row>
    <row r="41" spans="2:14">
      <c r="B41" s="20" t="str">
        <f t="shared" si="27"/>
        <v>Waldorf, MD</v>
      </c>
      <c r="C41" s="6">
        <f t="shared" si="28"/>
        <v>22</v>
      </c>
      <c r="D41" s="6">
        <f t="shared" si="28"/>
        <v>20</v>
      </c>
      <c r="E41" s="6">
        <f t="shared" si="28"/>
        <v>21</v>
      </c>
      <c r="F41" s="6">
        <f t="shared" si="28"/>
        <v>22</v>
      </c>
      <c r="G41" s="6">
        <f t="shared" si="28"/>
        <v>22</v>
      </c>
      <c r="H41" s="6">
        <f t="shared" si="28"/>
        <v>21</v>
      </c>
      <c r="I41" s="6">
        <f t="shared" si="28"/>
        <v>23</v>
      </c>
      <c r="J41" s="6">
        <f t="shared" si="28"/>
        <v>21</v>
      </c>
      <c r="K41" s="6">
        <f t="shared" si="28"/>
        <v>22</v>
      </c>
      <c r="L41" s="6">
        <f t="shared" si="28"/>
        <v>23</v>
      </c>
      <c r="M41" s="6">
        <f t="shared" si="28"/>
        <v>20</v>
      </c>
      <c r="N41" s="6">
        <f t="shared" si="28"/>
        <v>22</v>
      </c>
    </row>
    <row r="42" spans="2:14">
      <c r="B42" s="20">
        <f t="shared" si="27"/>
        <v>0</v>
      </c>
      <c r="C42" s="6">
        <f t="shared" si="28"/>
        <v>0</v>
      </c>
      <c r="D42" s="6">
        <f t="shared" si="28"/>
        <v>0</v>
      </c>
      <c r="E42" s="6">
        <f t="shared" si="28"/>
        <v>0</v>
      </c>
      <c r="F42" s="6">
        <f t="shared" si="28"/>
        <v>0</v>
      </c>
      <c r="G42" s="6">
        <f t="shared" si="28"/>
        <v>0</v>
      </c>
      <c r="H42" s="6">
        <f t="shared" si="28"/>
        <v>0</v>
      </c>
      <c r="I42" s="6">
        <f t="shared" si="28"/>
        <v>0</v>
      </c>
      <c r="J42" s="6">
        <f t="shared" si="28"/>
        <v>0</v>
      </c>
      <c r="K42" s="6">
        <f t="shared" si="28"/>
        <v>0</v>
      </c>
      <c r="L42" s="6">
        <f t="shared" si="28"/>
        <v>0</v>
      </c>
      <c r="M42" s="6">
        <f t="shared" si="28"/>
        <v>0</v>
      </c>
      <c r="N42" s="6">
        <f t="shared" si="28"/>
        <v>0</v>
      </c>
    </row>
    <row r="43" spans="2:14">
      <c r="B43" s="20">
        <f t="shared" si="27"/>
        <v>0</v>
      </c>
      <c r="C43" s="6">
        <f t="shared" si="28"/>
        <v>0</v>
      </c>
      <c r="D43" s="6">
        <f t="shared" si="28"/>
        <v>0</v>
      </c>
      <c r="E43" s="6">
        <f t="shared" si="28"/>
        <v>0</v>
      </c>
      <c r="F43" s="6">
        <f t="shared" si="28"/>
        <v>0</v>
      </c>
      <c r="G43" s="6">
        <f t="shared" si="28"/>
        <v>0</v>
      </c>
      <c r="H43" s="6">
        <f t="shared" si="28"/>
        <v>0</v>
      </c>
      <c r="I43" s="6">
        <f t="shared" si="28"/>
        <v>0</v>
      </c>
      <c r="J43" s="6">
        <f t="shared" si="28"/>
        <v>0</v>
      </c>
      <c r="K43" s="6">
        <f t="shared" si="28"/>
        <v>0</v>
      </c>
      <c r="L43" s="6">
        <f t="shared" si="28"/>
        <v>0</v>
      </c>
      <c r="M43" s="6">
        <f t="shared" si="28"/>
        <v>0</v>
      </c>
      <c r="N43" s="6">
        <f t="shared" si="28"/>
        <v>0</v>
      </c>
    </row>
    <row r="44" spans="2:14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D268-D9A2-47BF-BC80-37E163D6AF8F}">
  <sheetPr>
    <tabColor theme="0" tint="-0.89999084444715716"/>
  </sheetPr>
  <dimension ref="A1:P106"/>
  <sheetViews>
    <sheetView workbookViewId="0">
      <pane ySplit="1" topLeftCell="A2" activePane="bottomLeft" state="frozen"/>
      <selection pane="bottomLeft" activeCell="F20" sqref="F20"/>
      <selection activeCell="B25" sqref="B25:P40"/>
    </sheetView>
  </sheetViews>
  <sheetFormatPr defaultRowHeight="14.45"/>
  <cols>
    <col min="1" max="1" width="13.28515625" customWidth="1"/>
    <col min="2" max="2" width="12.28515625" bestFit="1" customWidth="1"/>
    <col min="3" max="3" width="18.7109375" style="6" bestFit="1" customWidth="1"/>
    <col min="4" max="4" width="25.5703125" style="6" bestFit="1" customWidth="1"/>
    <col min="5" max="5" width="17.28515625" style="6" bestFit="1" customWidth="1"/>
    <col min="6" max="6" width="14.5703125" style="6" bestFit="1" customWidth="1"/>
    <col min="7" max="7" width="21.7109375" style="6" customWidth="1"/>
    <col min="10" max="10" width="11.28515625" bestFit="1" customWidth="1"/>
    <col min="11" max="11" width="15" customWidth="1"/>
    <col min="13" max="13" width="9.7109375" style="6" bestFit="1" customWidth="1"/>
    <col min="15" max="15" width="16.7109375" bestFit="1" customWidth="1"/>
  </cols>
  <sheetData>
    <row r="1" spans="1:16">
      <c r="A1" s="29" t="s">
        <v>315</v>
      </c>
      <c r="B1" s="29" t="s">
        <v>316</v>
      </c>
      <c r="C1" s="30" t="s">
        <v>317</v>
      </c>
      <c r="D1" s="30" t="s">
        <v>318</v>
      </c>
      <c r="E1" s="30" t="s">
        <v>319</v>
      </c>
      <c r="F1" s="30" t="s">
        <v>320</v>
      </c>
      <c r="G1" s="31" t="s">
        <v>321</v>
      </c>
      <c r="K1" s="29" t="s">
        <v>322</v>
      </c>
      <c r="M1" s="30" t="s">
        <v>323</v>
      </c>
    </row>
    <row r="2" spans="1:16">
      <c r="A2" s="32" t="s">
        <v>324</v>
      </c>
      <c r="B2" s="33" t="s">
        <v>325</v>
      </c>
      <c r="C2" s="34">
        <v>8</v>
      </c>
      <c r="D2" s="34">
        <v>0.5</v>
      </c>
      <c r="E2" s="35">
        <v>6</v>
      </c>
      <c r="F2" s="35">
        <v>2</v>
      </c>
      <c r="G2" s="34" t="str">
        <f>_xlfn.XLOOKUP(A2,$J$3:$J$17,$K$3:$K$17)</f>
        <v>Hoboken, NJ</v>
      </c>
      <c r="K2" s="32" t="s">
        <v>326</v>
      </c>
      <c r="M2" s="34" t="s">
        <v>326</v>
      </c>
      <c r="O2" t="s">
        <v>5</v>
      </c>
      <c r="P2" t="s">
        <v>327</v>
      </c>
    </row>
    <row r="3" spans="1:16">
      <c r="A3" s="32" t="s">
        <v>324</v>
      </c>
      <c r="B3" s="33" t="s">
        <v>328</v>
      </c>
      <c r="C3" s="34">
        <v>9</v>
      </c>
      <c r="D3" s="34">
        <v>0.5</v>
      </c>
      <c r="E3" s="35">
        <v>6</v>
      </c>
      <c r="F3" s="35">
        <v>2</v>
      </c>
      <c r="G3" s="34" t="str">
        <f t="shared" ref="G3:G66" si="0">_xlfn.XLOOKUP(A3,$J$3:$J$17,$K$3:$K$17)</f>
        <v>Hoboken, NJ</v>
      </c>
      <c r="J3" t="s">
        <v>329</v>
      </c>
      <c r="K3" s="32" t="s">
        <v>305</v>
      </c>
      <c r="M3" s="36">
        <v>45688</v>
      </c>
      <c r="O3" t="s">
        <v>12</v>
      </c>
      <c r="P3" t="s">
        <v>327</v>
      </c>
    </row>
    <row r="4" spans="1:16">
      <c r="A4" s="32" t="s">
        <v>324</v>
      </c>
      <c r="B4" s="33" t="s">
        <v>330</v>
      </c>
      <c r="C4" s="34">
        <v>10</v>
      </c>
      <c r="D4" s="34">
        <v>0.5</v>
      </c>
      <c r="E4" s="35">
        <v>6</v>
      </c>
      <c r="F4" s="35">
        <v>2</v>
      </c>
      <c r="G4" s="34" t="str">
        <f t="shared" si="0"/>
        <v>Hoboken, NJ</v>
      </c>
      <c r="J4" t="s">
        <v>331</v>
      </c>
      <c r="K4" s="32" t="s">
        <v>300</v>
      </c>
      <c r="M4" s="37">
        <f t="shared" ref="M4:M14" si="1">EOMONTH(M3,1)</f>
        <v>45716</v>
      </c>
      <c r="O4" t="s">
        <v>53</v>
      </c>
      <c r="P4" t="s">
        <v>332</v>
      </c>
    </row>
    <row r="5" spans="1:16">
      <c r="A5" s="32" t="s">
        <v>324</v>
      </c>
      <c r="B5" s="33" t="s">
        <v>333</v>
      </c>
      <c r="C5" s="34">
        <v>10</v>
      </c>
      <c r="D5" s="34">
        <v>0.5</v>
      </c>
      <c r="E5" s="35">
        <v>6</v>
      </c>
      <c r="F5" s="35">
        <v>2</v>
      </c>
      <c r="G5" s="34" t="str">
        <f t="shared" si="0"/>
        <v>Hoboken, NJ</v>
      </c>
      <c r="J5" t="s">
        <v>334</v>
      </c>
      <c r="K5" s="32" t="s">
        <v>307</v>
      </c>
      <c r="M5" s="37">
        <f t="shared" si="1"/>
        <v>45747</v>
      </c>
      <c r="O5" t="s">
        <v>100</v>
      </c>
      <c r="P5" t="s">
        <v>332</v>
      </c>
    </row>
    <row r="6" spans="1:16">
      <c r="A6" s="32" t="s">
        <v>324</v>
      </c>
      <c r="B6" s="33" t="s">
        <v>335</v>
      </c>
      <c r="C6" s="34">
        <v>8</v>
      </c>
      <c r="D6" s="34">
        <v>0.5</v>
      </c>
      <c r="E6" s="35">
        <v>6</v>
      </c>
      <c r="F6" s="35">
        <v>2</v>
      </c>
      <c r="G6" s="34" t="str">
        <f t="shared" si="0"/>
        <v>Hoboken, NJ</v>
      </c>
      <c r="J6" t="s">
        <v>324</v>
      </c>
      <c r="K6" s="32" t="s">
        <v>301</v>
      </c>
      <c r="M6" s="37">
        <f t="shared" si="1"/>
        <v>45777</v>
      </c>
      <c r="O6" t="s">
        <v>152</v>
      </c>
      <c r="P6" t="s">
        <v>332</v>
      </c>
    </row>
    <row r="7" spans="1:16">
      <c r="A7" s="32" t="s">
        <v>324</v>
      </c>
      <c r="B7" s="33" t="s">
        <v>336</v>
      </c>
      <c r="C7" s="34">
        <v>8</v>
      </c>
      <c r="D7" s="34">
        <v>0.5</v>
      </c>
      <c r="E7" s="35">
        <v>6</v>
      </c>
      <c r="F7" s="35">
        <v>2</v>
      </c>
      <c r="G7" s="34" t="str">
        <f t="shared" si="0"/>
        <v>Hoboken, NJ</v>
      </c>
      <c r="J7" t="s">
        <v>337</v>
      </c>
      <c r="K7" s="32" t="s">
        <v>302</v>
      </c>
      <c r="M7" s="37">
        <f t="shared" si="1"/>
        <v>45808</v>
      </c>
      <c r="O7" t="s">
        <v>90</v>
      </c>
      <c r="P7" t="s">
        <v>332</v>
      </c>
    </row>
    <row r="8" spans="1:16">
      <c r="A8" s="32" t="s">
        <v>324</v>
      </c>
      <c r="B8" s="33" t="s">
        <v>338</v>
      </c>
      <c r="C8" s="34">
        <v>0</v>
      </c>
      <c r="D8" s="34">
        <v>0</v>
      </c>
      <c r="E8" s="35">
        <v>6</v>
      </c>
      <c r="F8" s="35">
        <v>2</v>
      </c>
      <c r="G8" s="34" t="str">
        <f t="shared" si="0"/>
        <v>Hoboken, NJ</v>
      </c>
      <c r="J8" t="s">
        <v>339</v>
      </c>
      <c r="K8" s="32" t="s">
        <v>309</v>
      </c>
      <c r="M8" s="37">
        <f t="shared" si="1"/>
        <v>45838</v>
      </c>
      <c r="O8" t="s">
        <v>207</v>
      </c>
      <c r="P8" t="s">
        <v>332</v>
      </c>
    </row>
    <row r="9" spans="1:16">
      <c r="A9" s="32" t="s">
        <v>337</v>
      </c>
      <c r="B9" s="32" t="s">
        <v>325</v>
      </c>
      <c r="C9" s="34">
        <v>10</v>
      </c>
      <c r="D9" s="34">
        <v>0.5</v>
      </c>
      <c r="E9" s="35">
        <v>4</v>
      </c>
      <c r="F9" s="35">
        <v>1</v>
      </c>
      <c r="G9" s="34" t="str">
        <f t="shared" si="0"/>
        <v>Jersey City, NJ</v>
      </c>
      <c r="J9" t="s">
        <v>340</v>
      </c>
      <c r="K9" s="32" t="s">
        <v>310</v>
      </c>
      <c r="M9" s="37">
        <f t="shared" si="1"/>
        <v>45869</v>
      </c>
      <c r="O9" t="s">
        <v>96</v>
      </c>
      <c r="P9" t="s">
        <v>332</v>
      </c>
    </row>
    <row r="10" spans="1:16">
      <c r="A10" s="32" t="s">
        <v>337</v>
      </c>
      <c r="B10" s="32" t="s">
        <v>328</v>
      </c>
      <c r="C10" s="34">
        <v>10</v>
      </c>
      <c r="D10" s="34">
        <v>0.5</v>
      </c>
      <c r="E10" s="35">
        <v>4</v>
      </c>
      <c r="F10" s="35">
        <v>1</v>
      </c>
      <c r="G10" s="34" t="str">
        <f t="shared" si="0"/>
        <v>Jersey City, NJ</v>
      </c>
      <c r="J10" t="s">
        <v>341</v>
      </c>
      <c r="K10" s="32" t="s">
        <v>303</v>
      </c>
      <c r="M10" s="37">
        <f t="shared" si="1"/>
        <v>45900</v>
      </c>
      <c r="O10" t="s">
        <v>181</v>
      </c>
      <c r="P10" t="s">
        <v>332</v>
      </c>
    </row>
    <row r="11" spans="1:16">
      <c r="A11" s="32" t="s">
        <v>337</v>
      </c>
      <c r="B11" s="32" t="s">
        <v>330</v>
      </c>
      <c r="C11" s="34">
        <v>10</v>
      </c>
      <c r="D11" s="34">
        <v>0.5</v>
      </c>
      <c r="E11" s="35">
        <v>4</v>
      </c>
      <c r="F11" s="35">
        <v>1</v>
      </c>
      <c r="G11" s="34" t="str">
        <f t="shared" si="0"/>
        <v>Jersey City, NJ</v>
      </c>
      <c r="J11" t="s">
        <v>342</v>
      </c>
      <c r="K11" s="32" t="s">
        <v>311</v>
      </c>
      <c r="M11" s="37">
        <f t="shared" si="1"/>
        <v>45930</v>
      </c>
    </row>
    <row r="12" spans="1:16">
      <c r="A12" s="32" t="s">
        <v>337</v>
      </c>
      <c r="B12" s="32" t="s">
        <v>333</v>
      </c>
      <c r="C12" s="34">
        <v>10</v>
      </c>
      <c r="D12" s="34">
        <v>0.5</v>
      </c>
      <c r="E12" s="35">
        <v>4</v>
      </c>
      <c r="F12" s="35">
        <v>1</v>
      </c>
      <c r="G12" s="34" t="str">
        <f t="shared" si="0"/>
        <v>Jersey City, NJ</v>
      </c>
      <c r="J12" t="s">
        <v>343</v>
      </c>
      <c r="K12" s="32" t="s">
        <v>344</v>
      </c>
      <c r="M12" s="37">
        <f t="shared" si="1"/>
        <v>45961</v>
      </c>
    </row>
    <row r="13" spans="1:16">
      <c r="A13" s="32" t="s">
        <v>337</v>
      </c>
      <c r="B13" s="32" t="s">
        <v>335</v>
      </c>
      <c r="C13" s="34">
        <v>8</v>
      </c>
      <c r="D13" s="34">
        <v>0.5</v>
      </c>
      <c r="E13" s="35">
        <v>4</v>
      </c>
      <c r="F13" s="35">
        <v>1</v>
      </c>
      <c r="G13" s="34" t="str">
        <f t="shared" si="0"/>
        <v>Jersey City, NJ</v>
      </c>
      <c r="J13" t="s">
        <v>345</v>
      </c>
      <c r="K13" s="32" t="s">
        <v>312</v>
      </c>
      <c r="M13" s="37">
        <f t="shared" si="1"/>
        <v>45991</v>
      </c>
    </row>
    <row r="14" spans="1:16">
      <c r="A14" s="32" t="s">
        <v>337</v>
      </c>
      <c r="B14" s="32" t="s">
        <v>336</v>
      </c>
      <c r="C14" s="34">
        <v>5</v>
      </c>
      <c r="D14" s="34">
        <v>0.5</v>
      </c>
      <c r="E14" s="35">
        <v>4</v>
      </c>
      <c r="F14" s="35">
        <v>1</v>
      </c>
      <c r="G14" s="34" t="str">
        <f t="shared" si="0"/>
        <v>Jersey City, NJ</v>
      </c>
      <c r="J14" t="s">
        <v>346</v>
      </c>
      <c r="K14" s="32" t="s">
        <v>304</v>
      </c>
      <c r="M14" s="37">
        <f t="shared" si="1"/>
        <v>46022</v>
      </c>
    </row>
    <row r="15" spans="1:16">
      <c r="A15" s="32" t="s">
        <v>337</v>
      </c>
      <c r="B15" s="32" t="s">
        <v>338</v>
      </c>
      <c r="C15" s="34">
        <v>0</v>
      </c>
      <c r="D15" s="34">
        <v>0</v>
      </c>
      <c r="E15" s="35">
        <v>4</v>
      </c>
      <c r="F15" s="35">
        <v>1</v>
      </c>
      <c r="G15" s="34" t="str">
        <f t="shared" si="0"/>
        <v>Jersey City, NJ</v>
      </c>
      <c r="J15" t="s">
        <v>347</v>
      </c>
      <c r="K15" s="32" t="s">
        <v>313</v>
      </c>
      <c r="M15" s="38"/>
    </row>
    <row r="16" spans="1:16">
      <c r="A16" s="32" t="s">
        <v>339</v>
      </c>
      <c r="B16" s="32" t="s">
        <v>325</v>
      </c>
      <c r="C16" s="34">
        <v>8</v>
      </c>
      <c r="D16" s="34">
        <v>0.5</v>
      </c>
      <c r="E16" s="35">
        <v>5</v>
      </c>
      <c r="F16" s="35">
        <v>1</v>
      </c>
      <c r="G16" s="34" t="str">
        <f t="shared" si="0"/>
        <v>Montclair, NJ</v>
      </c>
      <c r="J16" t="s">
        <v>348</v>
      </c>
      <c r="K16" s="32" t="s">
        <v>308</v>
      </c>
    </row>
    <row r="17" spans="1:11">
      <c r="A17" s="32" t="s">
        <v>339</v>
      </c>
      <c r="B17" s="32" t="s">
        <v>328</v>
      </c>
      <c r="C17" s="34">
        <v>8</v>
      </c>
      <c r="D17" s="34">
        <v>0.5</v>
      </c>
      <c r="E17" s="35">
        <v>5</v>
      </c>
      <c r="F17" s="35">
        <v>1</v>
      </c>
      <c r="G17" s="34" t="str">
        <f t="shared" si="0"/>
        <v>Montclair, NJ</v>
      </c>
      <c r="J17" t="s">
        <v>349</v>
      </c>
      <c r="K17" s="32" t="s">
        <v>306</v>
      </c>
    </row>
    <row r="18" spans="1:11">
      <c r="A18" s="32" t="s">
        <v>339</v>
      </c>
      <c r="B18" s="32" t="s">
        <v>330</v>
      </c>
      <c r="C18" s="34">
        <v>10</v>
      </c>
      <c r="D18" s="34">
        <v>0.5</v>
      </c>
      <c r="E18" s="35">
        <v>5</v>
      </c>
      <c r="F18" s="35">
        <v>1</v>
      </c>
      <c r="G18" s="34" t="str">
        <f t="shared" si="0"/>
        <v>Montclair, NJ</v>
      </c>
    </row>
    <row r="19" spans="1:11">
      <c r="A19" s="32" t="s">
        <v>339</v>
      </c>
      <c r="B19" s="32" t="s">
        <v>333</v>
      </c>
      <c r="C19" s="34">
        <v>10</v>
      </c>
      <c r="D19" s="34">
        <v>0.5</v>
      </c>
      <c r="E19" s="35">
        <v>5</v>
      </c>
      <c r="F19" s="35">
        <v>1</v>
      </c>
      <c r="G19" s="34" t="str">
        <f t="shared" si="0"/>
        <v>Montclair, NJ</v>
      </c>
    </row>
    <row r="20" spans="1:11">
      <c r="A20" s="32" t="s">
        <v>339</v>
      </c>
      <c r="B20" s="32" t="s">
        <v>335</v>
      </c>
      <c r="C20" s="34">
        <v>8</v>
      </c>
      <c r="D20" s="34">
        <v>0.5</v>
      </c>
      <c r="E20" s="35">
        <v>5</v>
      </c>
      <c r="F20" s="35">
        <v>1</v>
      </c>
      <c r="G20" s="34" t="str">
        <f t="shared" si="0"/>
        <v>Montclair, NJ</v>
      </c>
    </row>
    <row r="21" spans="1:11">
      <c r="A21" s="32" t="s">
        <v>339</v>
      </c>
      <c r="B21" s="32" t="s">
        <v>336</v>
      </c>
      <c r="C21" s="34">
        <v>5</v>
      </c>
      <c r="D21" s="34">
        <v>0.5</v>
      </c>
      <c r="E21" s="35">
        <v>5</v>
      </c>
      <c r="F21" s="35">
        <v>1</v>
      </c>
      <c r="G21" s="34" t="str">
        <f t="shared" si="0"/>
        <v>Montclair, NJ</v>
      </c>
    </row>
    <row r="22" spans="1:11">
      <c r="A22" s="32" t="s">
        <v>339</v>
      </c>
      <c r="B22" s="32" t="s">
        <v>338</v>
      </c>
      <c r="C22" s="34">
        <v>0</v>
      </c>
      <c r="D22" s="34">
        <v>0</v>
      </c>
      <c r="E22" s="35">
        <v>5</v>
      </c>
      <c r="F22" s="35">
        <v>1</v>
      </c>
      <c r="G22" s="34" t="str">
        <f t="shared" si="0"/>
        <v>Montclair, NJ</v>
      </c>
    </row>
    <row r="23" spans="1:11">
      <c r="A23" s="32" t="s">
        <v>345</v>
      </c>
      <c r="B23" s="32" t="s">
        <v>325</v>
      </c>
      <c r="C23" s="34">
        <v>0</v>
      </c>
      <c r="D23" s="34">
        <v>0</v>
      </c>
      <c r="E23" s="35">
        <v>4</v>
      </c>
      <c r="F23" s="35">
        <v>1</v>
      </c>
      <c r="G23" s="34" t="str">
        <f t="shared" si="0"/>
        <v>Short Hills, NJ</v>
      </c>
    </row>
    <row r="24" spans="1:11">
      <c r="A24" s="32" t="s">
        <v>345</v>
      </c>
      <c r="B24" s="32" t="s">
        <v>328</v>
      </c>
      <c r="C24" s="34">
        <v>8</v>
      </c>
      <c r="D24" s="34">
        <v>0.5</v>
      </c>
      <c r="E24" s="35">
        <v>4</v>
      </c>
      <c r="F24" s="35">
        <v>1</v>
      </c>
      <c r="G24" s="34" t="str">
        <f t="shared" si="0"/>
        <v>Short Hills, NJ</v>
      </c>
    </row>
    <row r="25" spans="1:11">
      <c r="A25" s="32" t="s">
        <v>345</v>
      </c>
      <c r="B25" s="32" t="s">
        <v>330</v>
      </c>
      <c r="C25" s="34">
        <v>10</v>
      </c>
      <c r="D25" s="34">
        <v>0.5</v>
      </c>
      <c r="E25" s="35">
        <v>4</v>
      </c>
      <c r="F25" s="35">
        <v>1</v>
      </c>
      <c r="G25" s="34" t="str">
        <f t="shared" si="0"/>
        <v>Short Hills, NJ</v>
      </c>
    </row>
    <row r="26" spans="1:11">
      <c r="A26" s="32" t="s">
        <v>345</v>
      </c>
      <c r="B26" s="32" t="s">
        <v>333</v>
      </c>
      <c r="C26" s="34">
        <v>10</v>
      </c>
      <c r="D26" s="34">
        <v>0.5</v>
      </c>
      <c r="E26" s="35">
        <v>4</v>
      </c>
      <c r="F26" s="35">
        <v>1</v>
      </c>
      <c r="G26" s="34" t="str">
        <f t="shared" si="0"/>
        <v>Short Hills, NJ</v>
      </c>
    </row>
    <row r="27" spans="1:11">
      <c r="A27" s="32" t="s">
        <v>345</v>
      </c>
      <c r="B27" s="32" t="s">
        <v>335</v>
      </c>
      <c r="C27" s="34">
        <v>8</v>
      </c>
      <c r="D27" s="34">
        <v>0.5</v>
      </c>
      <c r="E27" s="35">
        <v>4</v>
      </c>
      <c r="F27" s="35">
        <v>1</v>
      </c>
      <c r="G27" s="34" t="str">
        <f t="shared" si="0"/>
        <v>Short Hills, NJ</v>
      </c>
    </row>
    <row r="28" spans="1:11">
      <c r="A28" s="32" t="s">
        <v>345</v>
      </c>
      <c r="B28" s="32" t="s">
        <v>336</v>
      </c>
      <c r="C28" s="34">
        <v>5</v>
      </c>
      <c r="D28" s="34">
        <v>0.5</v>
      </c>
      <c r="E28" s="35">
        <v>4</v>
      </c>
      <c r="F28" s="35">
        <v>1</v>
      </c>
      <c r="G28" s="34" t="str">
        <f t="shared" si="0"/>
        <v>Short Hills, NJ</v>
      </c>
    </row>
    <row r="29" spans="1:11">
      <c r="A29" s="32" t="s">
        <v>345</v>
      </c>
      <c r="B29" s="32" t="s">
        <v>338</v>
      </c>
      <c r="C29" s="34">
        <v>0</v>
      </c>
      <c r="D29" s="34">
        <v>0</v>
      </c>
      <c r="E29" s="35">
        <v>4</v>
      </c>
      <c r="F29" s="35">
        <v>1</v>
      </c>
      <c r="G29" s="34" t="str">
        <f t="shared" si="0"/>
        <v>Short Hills, NJ</v>
      </c>
    </row>
    <row r="30" spans="1:11">
      <c r="A30" s="32" t="s">
        <v>331</v>
      </c>
      <c r="B30" s="32" t="s">
        <v>325</v>
      </c>
      <c r="C30" s="34">
        <v>8</v>
      </c>
      <c r="D30" s="34">
        <v>0.5</v>
      </c>
      <c r="E30" s="35">
        <v>4</v>
      </c>
      <c r="F30" s="35">
        <v>1</v>
      </c>
      <c r="G30" s="34" t="str">
        <f t="shared" si="0"/>
        <v>Denville, NJ</v>
      </c>
    </row>
    <row r="31" spans="1:11">
      <c r="A31" s="32" t="s">
        <v>331</v>
      </c>
      <c r="B31" s="32" t="s">
        <v>328</v>
      </c>
      <c r="C31" s="34">
        <v>8</v>
      </c>
      <c r="D31" s="34">
        <v>0.5</v>
      </c>
      <c r="E31" s="35">
        <v>4</v>
      </c>
      <c r="F31" s="35">
        <v>1</v>
      </c>
      <c r="G31" s="34" t="str">
        <f t="shared" si="0"/>
        <v>Denville, NJ</v>
      </c>
    </row>
    <row r="32" spans="1:11">
      <c r="A32" s="32" t="s">
        <v>331</v>
      </c>
      <c r="B32" s="32" t="s">
        <v>330</v>
      </c>
      <c r="C32" s="34">
        <v>8</v>
      </c>
      <c r="D32" s="34">
        <v>0.5</v>
      </c>
      <c r="E32" s="35">
        <v>4</v>
      </c>
      <c r="F32" s="35">
        <v>1</v>
      </c>
      <c r="G32" s="34" t="str">
        <f t="shared" si="0"/>
        <v>Denville, NJ</v>
      </c>
    </row>
    <row r="33" spans="1:7">
      <c r="A33" s="32" t="s">
        <v>331</v>
      </c>
      <c r="B33" s="32" t="s">
        <v>333</v>
      </c>
      <c r="C33" s="34">
        <v>10</v>
      </c>
      <c r="D33" s="34">
        <v>0.5</v>
      </c>
      <c r="E33" s="35">
        <v>4</v>
      </c>
      <c r="F33" s="35">
        <v>1</v>
      </c>
      <c r="G33" s="34" t="str">
        <f t="shared" si="0"/>
        <v>Denville, NJ</v>
      </c>
    </row>
    <row r="34" spans="1:7">
      <c r="A34" s="32" t="s">
        <v>331</v>
      </c>
      <c r="B34" s="32" t="s">
        <v>335</v>
      </c>
      <c r="C34" s="34">
        <v>8</v>
      </c>
      <c r="D34" s="34">
        <v>0.5</v>
      </c>
      <c r="E34" s="35">
        <v>4</v>
      </c>
      <c r="F34" s="35">
        <v>1</v>
      </c>
      <c r="G34" s="34" t="str">
        <f t="shared" si="0"/>
        <v>Denville, NJ</v>
      </c>
    </row>
    <row r="35" spans="1:7">
      <c r="A35" s="32" t="s">
        <v>331</v>
      </c>
      <c r="B35" s="32" t="s">
        <v>336</v>
      </c>
      <c r="C35" s="34">
        <v>5</v>
      </c>
      <c r="D35" s="34">
        <v>0.5</v>
      </c>
      <c r="E35" s="35">
        <v>4</v>
      </c>
      <c r="F35" s="35">
        <v>1</v>
      </c>
      <c r="G35" s="34" t="str">
        <f t="shared" si="0"/>
        <v>Denville, NJ</v>
      </c>
    </row>
    <row r="36" spans="1:7">
      <c r="A36" s="32" t="s">
        <v>331</v>
      </c>
      <c r="B36" s="32" t="s">
        <v>338</v>
      </c>
      <c r="C36" s="34">
        <v>0</v>
      </c>
      <c r="D36" s="34">
        <v>0</v>
      </c>
      <c r="E36" s="35">
        <v>4</v>
      </c>
      <c r="F36" s="35">
        <v>1</v>
      </c>
      <c r="G36" s="34" t="str">
        <f t="shared" si="0"/>
        <v>Denville, NJ</v>
      </c>
    </row>
    <row r="37" spans="1:7">
      <c r="A37" s="32" t="s">
        <v>341</v>
      </c>
      <c r="B37" s="32" t="s">
        <v>325</v>
      </c>
      <c r="C37" s="34">
        <v>0</v>
      </c>
      <c r="D37" s="34">
        <v>0</v>
      </c>
      <c r="E37" s="35">
        <v>7</v>
      </c>
      <c r="F37" s="35">
        <v>1</v>
      </c>
      <c r="G37" s="34" t="str">
        <f t="shared" si="0"/>
        <v>Red Bank, NJ</v>
      </c>
    </row>
    <row r="38" spans="1:7">
      <c r="A38" s="32" t="s">
        <v>341</v>
      </c>
      <c r="B38" s="32" t="s">
        <v>328</v>
      </c>
      <c r="C38" s="34">
        <v>8</v>
      </c>
      <c r="D38" s="34">
        <v>0.5</v>
      </c>
      <c r="E38" s="35">
        <v>7</v>
      </c>
      <c r="F38" s="35">
        <v>1</v>
      </c>
      <c r="G38" s="34" t="str">
        <f t="shared" si="0"/>
        <v>Red Bank, NJ</v>
      </c>
    </row>
    <row r="39" spans="1:7">
      <c r="A39" s="32" t="s">
        <v>341</v>
      </c>
      <c r="B39" s="32" t="s">
        <v>330</v>
      </c>
      <c r="C39" s="34">
        <v>10</v>
      </c>
      <c r="D39" s="34">
        <v>0.5</v>
      </c>
      <c r="E39" s="35">
        <v>7</v>
      </c>
      <c r="F39" s="35">
        <v>1</v>
      </c>
      <c r="G39" s="34" t="str">
        <f t="shared" si="0"/>
        <v>Red Bank, NJ</v>
      </c>
    </row>
    <row r="40" spans="1:7">
      <c r="A40" s="32" t="s">
        <v>341</v>
      </c>
      <c r="B40" s="32" t="s">
        <v>333</v>
      </c>
      <c r="C40" s="34">
        <v>10</v>
      </c>
      <c r="D40" s="34">
        <v>0.5</v>
      </c>
      <c r="E40" s="35">
        <v>7</v>
      </c>
      <c r="F40" s="35">
        <v>1</v>
      </c>
      <c r="G40" s="34" t="str">
        <f t="shared" si="0"/>
        <v>Red Bank, NJ</v>
      </c>
    </row>
    <row r="41" spans="1:7">
      <c r="A41" s="32" t="s">
        <v>341</v>
      </c>
      <c r="B41" s="32" t="s">
        <v>335</v>
      </c>
      <c r="C41" s="34">
        <v>8</v>
      </c>
      <c r="D41" s="34">
        <v>0.5</v>
      </c>
      <c r="E41" s="35">
        <v>7</v>
      </c>
      <c r="F41" s="35">
        <v>1</v>
      </c>
      <c r="G41" s="34" t="str">
        <f t="shared" si="0"/>
        <v>Red Bank, NJ</v>
      </c>
    </row>
    <row r="42" spans="1:7">
      <c r="A42" s="32" t="s">
        <v>341</v>
      </c>
      <c r="B42" s="32" t="s">
        <v>336</v>
      </c>
      <c r="C42" s="34">
        <v>5</v>
      </c>
      <c r="D42" s="34">
        <v>0.5</v>
      </c>
      <c r="E42" s="35">
        <v>7</v>
      </c>
      <c r="F42" s="35">
        <v>1</v>
      </c>
      <c r="G42" s="34" t="str">
        <f t="shared" si="0"/>
        <v>Red Bank, NJ</v>
      </c>
    </row>
    <row r="43" spans="1:7">
      <c r="A43" s="32" t="s">
        <v>341</v>
      </c>
      <c r="B43" s="32" t="s">
        <v>338</v>
      </c>
      <c r="C43" s="34">
        <v>0</v>
      </c>
      <c r="D43" s="34">
        <v>0</v>
      </c>
      <c r="E43" s="35">
        <v>7</v>
      </c>
      <c r="F43" s="35">
        <v>1</v>
      </c>
      <c r="G43" s="34" t="str">
        <f t="shared" si="0"/>
        <v>Red Bank, NJ</v>
      </c>
    </row>
    <row r="44" spans="1:7">
      <c r="A44" s="32" t="s">
        <v>346</v>
      </c>
      <c r="B44" s="32" t="s">
        <v>325</v>
      </c>
      <c r="C44" s="34">
        <v>8</v>
      </c>
      <c r="D44" s="34">
        <v>0.5</v>
      </c>
      <c r="E44" s="35">
        <v>1</v>
      </c>
      <c r="F44" s="35">
        <v>1</v>
      </c>
      <c r="G44" s="34" t="str">
        <f t="shared" si="0"/>
        <v>Tribeca, NY</v>
      </c>
    </row>
    <row r="45" spans="1:7">
      <c r="A45" s="32" t="s">
        <v>346</v>
      </c>
      <c r="B45" s="32" t="s">
        <v>328</v>
      </c>
      <c r="C45" s="34">
        <v>8</v>
      </c>
      <c r="D45" s="34">
        <v>0.5</v>
      </c>
      <c r="E45" s="35">
        <v>1</v>
      </c>
      <c r="F45" s="35">
        <v>1</v>
      </c>
      <c r="G45" s="34" t="str">
        <f t="shared" si="0"/>
        <v>Tribeca, NY</v>
      </c>
    </row>
    <row r="46" spans="1:7">
      <c r="A46" s="32" t="s">
        <v>346</v>
      </c>
      <c r="B46" s="32" t="s">
        <v>330</v>
      </c>
      <c r="C46" s="34">
        <v>10</v>
      </c>
      <c r="D46" s="34">
        <v>0.5</v>
      </c>
      <c r="E46" s="35">
        <v>1</v>
      </c>
      <c r="F46" s="35">
        <v>1</v>
      </c>
      <c r="G46" s="34" t="str">
        <f t="shared" si="0"/>
        <v>Tribeca, NY</v>
      </c>
    </row>
    <row r="47" spans="1:7">
      <c r="A47" s="32" t="s">
        <v>346</v>
      </c>
      <c r="B47" s="32" t="s">
        <v>333</v>
      </c>
      <c r="C47" s="34">
        <v>10</v>
      </c>
      <c r="D47" s="34">
        <v>0.5</v>
      </c>
      <c r="E47" s="35">
        <v>1</v>
      </c>
      <c r="F47" s="35">
        <v>1</v>
      </c>
      <c r="G47" s="34" t="str">
        <f t="shared" si="0"/>
        <v>Tribeca, NY</v>
      </c>
    </row>
    <row r="48" spans="1:7">
      <c r="A48" s="32" t="s">
        <v>346</v>
      </c>
      <c r="B48" s="32" t="s">
        <v>335</v>
      </c>
      <c r="C48" s="34">
        <v>8</v>
      </c>
      <c r="D48" s="34">
        <v>0.5</v>
      </c>
      <c r="E48" s="35">
        <v>1</v>
      </c>
      <c r="F48" s="35">
        <v>1</v>
      </c>
      <c r="G48" s="34" t="str">
        <f t="shared" si="0"/>
        <v>Tribeca, NY</v>
      </c>
    </row>
    <row r="49" spans="1:7">
      <c r="A49" s="32" t="s">
        <v>346</v>
      </c>
      <c r="B49" s="32" t="s">
        <v>336</v>
      </c>
      <c r="C49" s="34">
        <v>0</v>
      </c>
      <c r="D49" s="34">
        <v>0</v>
      </c>
      <c r="E49" s="35">
        <v>1</v>
      </c>
      <c r="F49" s="35">
        <v>1</v>
      </c>
      <c r="G49" s="34" t="str">
        <f t="shared" si="0"/>
        <v>Tribeca, NY</v>
      </c>
    </row>
    <row r="50" spans="1:7">
      <c r="A50" s="32" t="s">
        <v>346</v>
      </c>
      <c r="B50" s="32" t="s">
        <v>338</v>
      </c>
      <c r="C50" s="34">
        <v>0</v>
      </c>
      <c r="D50" s="34">
        <v>0</v>
      </c>
      <c r="E50" s="35">
        <v>1</v>
      </c>
      <c r="F50" s="35">
        <v>1</v>
      </c>
      <c r="G50" s="34" t="str">
        <f t="shared" si="0"/>
        <v>Tribeca, NY</v>
      </c>
    </row>
    <row r="51" spans="1:7">
      <c r="A51" s="32" t="s">
        <v>342</v>
      </c>
      <c r="B51" s="32" t="s">
        <v>325</v>
      </c>
      <c r="C51" s="34">
        <v>0</v>
      </c>
      <c r="D51" s="34">
        <v>0</v>
      </c>
      <c r="E51" s="35">
        <v>4</v>
      </c>
      <c r="F51" s="35">
        <v>1</v>
      </c>
      <c r="G51" s="34" t="str">
        <f t="shared" si="0"/>
        <v>Ridgewood, NJ</v>
      </c>
    </row>
    <row r="52" spans="1:7">
      <c r="A52" s="32" t="s">
        <v>342</v>
      </c>
      <c r="B52" s="32" t="s">
        <v>328</v>
      </c>
      <c r="C52" s="34">
        <v>8</v>
      </c>
      <c r="D52" s="34">
        <v>0.5</v>
      </c>
      <c r="E52" s="35">
        <v>4</v>
      </c>
      <c r="F52" s="35">
        <v>1</v>
      </c>
      <c r="G52" s="34" t="str">
        <f t="shared" si="0"/>
        <v>Ridgewood, NJ</v>
      </c>
    </row>
    <row r="53" spans="1:7">
      <c r="A53" s="32" t="s">
        <v>342</v>
      </c>
      <c r="B53" s="32" t="s">
        <v>330</v>
      </c>
      <c r="C53" s="34">
        <v>8</v>
      </c>
      <c r="D53" s="34">
        <v>0.5</v>
      </c>
      <c r="E53" s="35">
        <v>4</v>
      </c>
      <c r="F53" s="35">
        <v>1</v>
      </c>
      <c r="G53" s="34" t="str">
        <f t="shared" si="0"/>
        <v>Ridgewood, NJ</v>
      </c>
    </row>
    <row r="54" spans="1:7">
      <c r="A54" s="32" t="s">
        <v>342</v>
      </c>
      <c r="B54" s="32" t="s">
        <v>333</v>
      </c>
      <c r="C54" s="34">
        <v>10</v>
      </c>
      <c r="D54" s="34">
        <v>0.5</v>
      </c>
      <c r="E54" s="35">
        <v>4</v>
      </c>
      <c r="F54" s="35">
        <v>1</v>
      </c>
      <c r="G54" s="34" t="str">
        <f t="shared" si="0"/>
        <v>Ridgewood, NJ</v>
      </c>
    </row>
    <row r="55" spans="1:7">
      <c r="A55" s="32" t="s">
        <v>342</v>
      </c>
      <c r="B55" s="32" t="s">
        <v>335</v>
      </c>
      <c r="C55" s="34">
        <v>8</v>
      </c>
      <c r="D55" s="34">
        <v>0.5</v>
      </c>
      <c r="E55" s="35">
        <v>4</v>
      </c>
      <c r="F55" s="35">
        <v>1</v>
      </c>
      <c r="G55" s="34" t="str">
        <f t="shared" si="0"/>
        <v>Ridgewood, NJ</v>
      </c>
    </row>
    <row r="56" spans="1:7">
      <c r="A56" s="32" t="s">
        <v>342</v>
      </c>
      <c r="B56" s="32" t="s">
        <v>336</v>
      </c>
      <c r="C56" s="34">
        <v>5</v>
      </c>
      <c r="D56" s="34">
        <v>0.5</v>
      </c>
      <c r="E56" s="35">
        <v>4</v>
      </c>
      <c r="F56" s="35">
        <v>1</v>
      </c>
      <c r="G56" s="34" t="str">
        <f t="shared" si="0"/>
        <v>Ridgewood, NJ</v>
      </c>
    </row>
    <row r="57" spans="1:7">
      <c r="A57" s="32" t="s">
        <v>342</v>
      </c>
      <c r="B57" s="32" t="s">
        <v>338</v>
      </c>
      <c r="C57" s="34">
        <v>0</v>
      </c>
      <c r="D57" s="34">
        <v>0</v>
      </c>
      <c r="E57" s="35">
        <v>4</v>
      </c>
      <c r="F57" s="35">
        <v>1</v>
      </c>
      <c r="G57" s="34" t="str">
        <f t="shared" si="0"/>
        <v>Ridgewood, NJ</v>
      </c>
    </row>
    <row r="58" spans="1:7">
      <c r="A58" s="32" t="s">
        <v>329</v>
      </c>
      <c r="B58" s="32" t="s">
        <v>325</v>
      </c>
      <c r="C58" s="34">
        <v>0</v>
      </c>
      <c r="D58" s="34">
        <v>0</v>
      </c>
      <c r="E58" s="35">
        <v>3</v>
      </c>
      <c r="F58" s="35">
        <v>1</v>
      </c>
      <c r="G58" s="34" t="str">
        <f t="shared" si="0"/>
        <v>Bel Air, MD</v>
      </c>
    </row>
    <row r="59" spans="1:7">
      <c r="A59" s="32" t="s">
        <v>329</v>
      </c>
      <c r="B59" s="32" t="s">
        <v>328</v>
      </c>
      <c r="C59" s="34">
        <v>8</v>
      </c>
      <c r="D59" s="34">
        <v>0.5</v>
      </c>
      <c r="E59" s="35">
        <v>3</v>
      </c>
      <c r="F59" s="35">
        <v>1</v>
      </c>
      <c r="G59" s="34" t="str">
        <f t="shared" si="0"/>
        <v>Bel Air, MD</v>
      </c>
    </row>
    <row r="60" spans="1:7">
      <c r="A60" s="32" t="s">
        <v>329</v>
      </c>
      <c r="B60" s="32" t="s">
        <v>330</v>
      </c>
      <c r="C60" s="34">
        <v>8</v>
      </c>
      <c r="D60" s="34">
        <v>0.5</v>
      </c>
      <c r="E60" s="35">
        <v>3</v>
      </c>
      <c r="F60" s="35">
        <v>1</v>
      </c>
      <c r="G60" s="34" t="str">
        <f t="shared" si="0"/>
        <v>Bel Air, MD</v>
      </c>
    </row>
    <row r="61" spans="1:7">
      <c r="A61" s="32" t="s">
        <v>329</v>
      </c>
      <c r="B61" s="32" t="s">
        <v>333</v>
      </c>
      <c r="C61" s="34">
        <v>10</v>
      </c>
      <c r="D61" s="34">
        <v>0.5</v>
      </c>
      <c r="E61" s="35">
        <v>3</v>
      </c>
      <c r="F61" s="35">
        <v>1</v>
      </c>
      <c r="G61" s="34" t="str">
        <f t="shared" si="0"/>
        <v>Bel Air, MD</v>
      </c>
    </row>
    <row r="62" spans="1:7">
      <c r="A62" s="32" t="s">
        <v>329</v>
      </c>
      <c r="B62" s="32" t="s">
        <v>335</v>
      </c>
      <c r="C62" s="34">
        <v>8</v>
      </c>
      <c r="D62" s="34">
        <v>0.5</v>
      </c>
      <c r="E62" s="35">
        <v>3</v>
      </c>
      <c r="F62" s="35">
        <v>1</v>
      </c>
      <c r="G62" s="34" t="str">
        <f t="shared" si="0"/>
        <v>Bel Air, MD</v>
      </c>
    </row>
    <row r="63" spans="1:7">
      <c r="A63" s="32" t="s">
        <v>329</v>
      </c>
      <c r="B63" s="32" t="s">
        <v>336</v>
      </c>
      <c r="C63" s="34">
        <v>8</v>
      </c>
      <c r="D63" s="34">
        <v>0.5</v>
      </c>
      <c r="E63" s="35">
        <v>3</v>
      </c>
      <c r="F63" s="35">
        <v>1</v>
      </c>
      <c r="G63" s="34" t="str">
        <f t="shared" si="0"/>
        <v>Bel Air, MD</v>
      </c>
    </row>
    <row r="64" spans="1:7">
      <c r="A64" s="32" t="s">
        <v>329</v>
      </c>
      <c r="B64" s="32" t="s">
        <v>338</v>
      </c>
      <c r="C64" s="34">
        <v>0</v>
      </c>
      <c r="D64" s="34">
        <v>0</v>
      </c>
      <c r="E64" s="35">
        <v>3</v>
      </c>
      <c r="F64" s="35">
        <v>1</v>
      </c>
      <c r="G64" s="34" t="str">
        <f t="shared" si="0"/>
        <v>Bel Air, MD</v>
      </c>
    </row>
    <row r="65" spans="1:7">
      <c r="A65" s="32" t="s">
        <v>334</v>
      </c>
      <c r="B65" s="32" t="s">
        <v>325</v>
      </c>
      <c r="C65" s="34">
        <v>6</v>
      </c>
      <c r="D65" s="34">
        <v>0.5</v>
      </c>
      <c r="E65" s="35">
        <v>3</v>
      </c>
      <c r="F65" s="35">
        <v>1</v>
      </c>
      <c r="G65" s="34" t="str">
        <f t="shared" si="0"/>
        <v>Frederick, MD</v>
      </c>
    </row>
    <row r="66" spans="1:7">
      <c r="A66" s="32" t="s">
        <v>334</v>
      </c>
      <c r="B66" s="32" t="s">
        <v>328</v>
      </c>
      <c r="C66" s="34">
        <v>8</v>
      </c>
      <c r="D66" s="34">
        <v>0.5</v>
      </c>
      <c r="E66" s="35">
        <v>3</v>
      </c>
      <c r="F66" s="35">
        <v>1</v>
      </c>
      <c r="G66" s="34" t="str">
        <f t="shared" si="0"/>
        <v>Frederick, MD</v>
      </c>
    </row>
    <row r="67" spans="1:7">
      <c r="A67" s="32" t="s">
        <v>334</v>
      </c>
      <c r="B67" s="32" t="s">
        <v>330</v>
      </c>
      <c r="C67" s="34">
        <v>8</v>
      </c>
      <c r="D67" s="34">
        <v>0.5</v>
      </c>
      <c r="E67" s="35">
        <v>3</v>
      </c>
      <c r="F67" s="35">
        <v>1</v>
      </c>
      <c r="G67" s="34" t="str">
        <f t="shared" ref="G67:G106" si="2">_xlfn.XLOOKUP(A67,$J$3:$J$17,$K$3:$K$17)</f>
        <v>Frederick, MD</v>
      </c>
    </row>
    <row r="68" spans="1:7">
      <c r="A68" s="32" t="s">
        <v>334</v>
      </c>
      <c r="B68" s="32" t="s">
        <v>333</v>
      </c>
      <c r="C68" s="34">
        <v>10</v>
      </c>
      <c r="D68" s="34">
        <v>0.5</v>
      </c>
      <c r="E68" s="35">
        <v>3</v>
      </c>
      <c r="F68" s="35">
        <v>1</v>
      </c>
      <c r="G68" s="34" t="str">
        <f t="shared" si="2"/>
        <v>Frederick, MD</v>
      </c>
    </row>
    <row r="69" spans="1:7">
      <c r="A69" s="32" t="s">
        <v>334</v>
      </c>
      <c r="B69" s="32" t="s">
        <v>335</v>
      </c>
      <c r="C69" s="34">
        <v>8</v>
      </c>
      <c r="D69" s="34">
        <v>0.5</v>
      </c>
      <c r="E69" s="35">
        <v>3</v>
      </c>
      <c r="F69" s="35">
        <v>1</v>
      </c>
      <c r="G69" s="34" t="str">
        <f t="shared" si="2"/>
        <v>Frederick, MD</v>
      </c>
    </row>
    <row r="70" spans="1:7">
      <c r="A70" s="32" t="s">
        <v>334</v>
      </c>
      <c r="B70" s="32" t="s">
        <v>336</v>
      </c>
      <c r="C70" s="34">
        <v>5</v>
      </c>
      <c r="D70" s="34">
        <v>0.5</v>
      </c>
      <c r="E70" s="35">
        <v>3</v>
      </c>
      <c r="F70" s="35">
        <v>1</v>
      </c>
      <c r="G70" s="34" t="str">
        <f t="shared" si="2"/>
        <v>Frederick, MD</v>
      </c>
    </row>
    <row r="71" spans="1:7">
      <c r="A71" s="32" t="s">
        <v>334</v>
      </c>
      <c r="B71" s="32" t="s">
        <v>338</v>
      </c>
      <c r="C71" s="34">
        <v>0</v>
      </c>
      <c r="D71" s="34">
        <v>0</v>
      </c>
      <c r="E71" s="35">
        <v>3</v>
      </c>
      <c r="F71" s="35">
        <v>1</v>
      </c>
      <c r="G71" s="34" t="str">
        <f t="shared" si="2"/>
        <v>Frederick, MD</v>
      </c>
    </row>
    <row r="72" spans="1:7">
      <c r="A72" s="32" t="s">
        <v>340</v>
      </c>
      <c r="B72" s="32" t="s">
        <v>325</v>
      </c>
      <c r="C72" s="34">
        <v>0</v>
      </c>
      <c r="D72" s="34">
        <v>0</v>
      </c>
      <c r="E72" s="35">
        <v>4</v>
      </c>
      <c r="F72" s="35">
        <v>1</v>
      </c>
      <c r="G72" s="34" t="str">
        <f t="shared" si="2"/>
        <v>Old Bridge, NJ</v>
      </c>
    </row>
    <row r="73" spans="1:7">
      <c r="A73" s="32" t="s">
        <v>340</v>
      </c>
      <c r="B73" s="32" t="s">
        <v>328</v>
      </c>
      <c r="C73" s="34">
        <v>8</v>
      </c>
      <c r="D73" s="34">
        <v>0.5</v>
      </c>
      <c r="E73" s="35">
        <v>4</v>
      </c>
      <c r="F73" s="35">
        <v>1</v>
      </c>
      <c r="G73" s="34" t="str">
        <f t="shared" si="2"/>
        <v>Old Bridge, NJ</v>
      </c>
    </row>
    <row r="74" spans="1:7">
      <c r="A74" s="32" t="s">
        <v>340</v>
      </c>
      <c r="B74" s="32" t="s">
        <v>330</v>
      </c>
      <c r="C74" s="34">
        <v>8</v>
      </c>
      <c r="D74" s="34">
        <v>0.5</v>
      </c>
      <c r="E74" s="35">
        <v>4</v>
      </c>
      <c r="F74" s="35">
        <v>1</v>
      </c>
      <c r="G74" s="34" t="str">
        <f t="shared" si="2"/>
        <v>Old Bridge, NJ</v>
      </c>
    </row>
    <row r="75" spans="1:7">
      <c r="A75" s="32" t="s">
        <v>340</v>
      </c>
      <c r="B75" s="32" t="s">
        <v>333</v>
      </c>
      <c r="C75" s="34">
        <v>10</v>
      </c>
      <c r="D75" s="34">
        <v>0.5</v>
      </c>
      <c r="E75" s="35">
        <v>4</v>
      </c>
      <c r="F75" s="35">
        <v>1</v>
      </c>
      <c r="G75" s="34" t="str">
        <f t="shared" si="2"/>
        <v>Old Bridge, NJ</v>
      </c>
    </row>
    <row r="76" spans="1:7">
      <c r="A76" s="32" t="s">
        <v>340</v>
      </c>
      <c r="B76" s="32" t="s">
        <v>335</v>
      </c>
      <c r="C76" s="34">
        <v>8</v>
      </c>
      <c r="D76" s="34">
        <v>0.5</v>
      </c>
      <c r="E76" s="35">
        <v>4</v>
      </c>
      <c r="F76" s="35">
        <v>1</v>
      </c>
      <c r="G76" s="34" t="str">
        <f t="shared" si="2"/>
        <v>Old Bridge, NJ</v>
      </c>
    </row>
    <row r="77" spans="1:7">
      <c r="A77" s="32" t="s">
        <v>340</v>
      </c>
      <c r="B77" s="32" t="s">
        <v>336</v>
      </c>
      <c r="C77" s="34">
        <v>5</v>
      </c>
      <c r="D77" s="34">
        <v>0.5</v>
      </c>
      <c r="E77" s="35">
        <v>4</v>
      </c>
      <c r="F77" s="35">
        <v>1</v>
      </c>
      <c r="G77" s="34" t="str">
        <f t="shared" si="2"/>
        <v>Old Bridge, NJ</v>
      </c>
    </row>
    <row r="78" spans="1:7">
      <c r="A78" s="32" t="s">
        <v>340</v>
      </c>
      <c r="B78" s="32" t="s">
        <v>338</v>
      </c>
      <c r="C78" s="34">
        <v>0</v>
      </c>
      <c r="D78" s="34">
        <v>0</v>
      </c>
      <c r="E78" s="35">
        <v>4</v>
      </c>
      <c r="F78" s="35">
        <v>1</v>
      </c>
      <c r="G78" s="34" t="str">
        <f t="shared" si="2"/>
        <v>Old Bridge, NJ</v>
      </c>
    </row>
    <row r="79" spans="1:7">
      <c r="A79" s="32" t="s">
        <v>343</v>
      </c>
      <c r="B79" s="32" t="s">
        <v>325</v>
      </c>
      <c r="C79" s="34">
        <v>0</v>
      </c>
      <c r="D79" s="34">
        <v>0</v>
      </c>
      <c r="E79" s="35">
        <v>7</v>
      </c>
      <c r="F79" s="35">
        <v>1</v>
      </c>
      <c r="G79" s="34" t="str">
        <f t="shared" si="2"/>
        <v>Scarsdale, NY</v>
      </c>
    </row>
    <row r="80" spans="1:7">
      <c r="A80" s="32" t="s">
        <v>343</v>
      </c>
      <c r="B80" s="32" t="s">
        <v>328</v>
      </c>
      <c r="C80" s="34">
        <v>8</v>
      </c>
      <c r="D80" s="34">
        <v>0.5</v>
      </c>
      <c r="E80" s="35">
        <v>7</v>
      </c>
      <c r="F80" s="35">
        <v>1</v>
      </c>
      <c r="G80" s="34" t="str">
        <f t="shared" si="2"/>
        <v>Scarsdale, NY</v>
      </c>
    </row>
    <row r="81" spans="1:7">
      <c r="A81" s="32" t="s">
        <v>343</v>
      </c>
      <c r="B81" s="32" t="s">
        <v>330</v>
      </c>
      <c r="C81" s="34">
        <v>8</v>
      </c>
      <c r="D81" s="34">
        <v>0.5</v>
      </c>
      <c r="E81" s="35">
        <v>7</v>
      </c>
      <c r="F81" s="35">
        <v>1</v>
      </c>
      <c r="G81" s="34" t="str">
        <f t="shared" si="2"/>
        <v>Scarsdale, NY</v>
      </c>
    </row>
    <row r="82" spans="1:7">
      <c r="A82" s="32" t="s">
        <v>343</v>
      </c>
      <c r="B82" s="32" t="s">
        <v>333</v>
      </c>
      <c r="C82" s="34">
        <v>10</v>
      </c>
      <c r="D82" s="34">
        <v>0.5</v>
      </c>
      <c r="E82" s="35">
        <v>7</v>
      </c>
      <c r="F82" s="35">
        <v>1</v>
      </c>
      <c r="G82" s="34" t="str">
        <f t="shared" si="2"/>
        <v>Scarsdale, NY</v>
      </c>
    </row>
    <row r="83" spans="1:7">
      <c r="A83" s="32" t="s">
        <v>343</v>
      </c>
      <c r="B83" s="32" t="s">
        <v>335</v>
      </c>
      <c r="C83" s="34">
        <v>8</v>
      </c>
      <c r="D83" s="34">
        <v>0.5</v>
      </c>
      <c r="E83" s="35">
        <v>7</v>
      </c>
      <c r="F83" s="35">
        <v>1</v>
      </c>
      <c r="G83" s="34" t="str">
        <f t="shared" si="2"/>
        <v>Scarsdale, NY</v>
      </c>
    </row>
    <row r="84" spans="1:7">
      <c r="A84" s="32" t="s">
        <v>343</v>
      </c>
      <c r="B84" s="32" t="s">
        <v>336</v>
      </c>
      <c r="C84" s="34">
        <v>5</v>
      </c>
      <c r="D84" s="34">
        <v>0.5</v>
      </c>
      <c r="E84" s="35">
        <v>7</v>
      </c>
      <c r="F84" s="35">
        <v>1</v>
      </c>
      <c r="G84" s="34" t="str">
        <f t="shared" si="2"/>
        <v>Scarsdale, NY</v>
      </c>
    </row>
    <row r="85" spans="1:7">
      <c r="A85" s="32" t="s">
        <v>343</v>
      </c>
      <c r="B85" s="32" t="s">
        <v>338</v>
      </c>
      <c r="C85" s="34">
        <v>0</v>
      </c>
      <c r="D85" s="34">
        <v>0</v>
      </c>
      <c r="E85" s="35">
        <v>7</v>
      </c>
      <c r="F85" s="35">
        <v>1</v>
      </c>
      <c r="G85" s="34" t="str">
        <f t="shared" si="2"/>
        <v>Scarsdale, NY</v>
      </c>
    </row>
    <row r="86" spans="1:7">
      <c r="A86" s="32" t="s">
        <v>347</v>
      </c>
      <c r="B86" s="32" t="s">
        <v>325</v>
      </c>
      <c r="C86" s="34">
        <v>0</v>
      </c>
      <c r="D86" s="34">
        <v>0</v>
      </c>
      <c r="E86" s="35">
        <v>4</v>
      </c>
      <c r="F86" s="35">
        <v>1</v>
      </c>
      <c r="G86" s="34" t="str">
        <f t="shared" si="2"/>
        <v>Waldorf, MD</v>
      </c>
    </row>
    <row r="87" spans="1:7">
      <c r="A87" s="32" t="s">
        <v>347</v>
      </c>
      <c r="B87" s="32" t="s">
        <v>328</v>
      </c>
      <c r="C87" s="34">
        <v>8</v>
      </c>
      <c r="D87" s="34">
        <v>0.5</v>
      </c>
      <c r="E87" s="35">
        <v>4</v>
      </c>
      <c r="F87" s="35">
        <v>1</v>
      </c>
      <c r="G87" s="34" t="str">
        <f t="shared" si="2"/>
        <v>Waldorf, MD</v>
      </c>
    </row>
    <row r="88" spans="1:7">
      <c r="A88" s="32" t="s">
        <v>347</v>
      </c>
      <c r="B88" s="32" t="s">
        <v>330</v>
      </c>
      <c r="C88" s="34">
        <v>8</v>
      </c>
      <c r="D88" s="34">
        <v>0.5</v>
      </c>
      <c r="E88" s="35">
        <v>4</v>
      </c>
      <c r="F88" s="35">
        <v>1</v>
      </c>
      <c r="G88" s="34" t="str">
        <f t="shared" si="2"/>
        <v>Waldorf, MD</v>
      </c>
    </row>
    <row r="89" spans="1:7">
      <c r="A89" s="32" t="s">
        <v>347</v>
      </c>
      <c r="B89" s="32" t="s">
        <v>333</v>
      </c>
      <c r="C89" s="34">
        <v>10</v>
      </c>
      <c r="D89" s="34">
        <v>0.5</v>
      </c>
      <c r="E89" s="35">
        <v>4</v>
      </c>
      <c r="F89" s="35">
        <v>1</v>
      </c>
      <c r="G89" s="34" t="str">
        <f t="shared" si="2"/>
        <v>Waldorf, MD</v>
      </c>
    </row>
    <row r="90" spans="1:7">
      <c r="A90" s="32" t="s">
        <v>347</v>
      </c>
      <c r="B90" s="32" t="s">
        <v>335</v>
      </c>
      <c r="C90" s="34">
        <v>8</v>
      </c>
      <c r="D90" s="34">
        <v>0.5</v>
      </c>
      <c r="E90" s="35">
        <v>4</v>
      </c>
      <c r="F90" s="35">
        <v>1</v>
      </c>
      <c r="G90" s="34" t="str">
        <f t="shared" si="2"/>
        <v>Waldorf, MD</v>
      </c>
    </row>
    <row r="91" spans="1:7">
      <c r="A91" s="32" t="s">
        <v>347</v>
      </c>
      <c r="B91" s="32" t="s">
        <v>336</v>
      </c>
      <c r="C91" s="34">
        <v>5</v>
      </c>
      <c r="D91" s="34">
        <v>0.5</v>
      </c>
      <c r="E91" s="35">
        <v>4</v>
      </c>
      <c r="F91" s="35">
        <v>1</v>
      </c>
      <c r="G91" s="34" t="str">
        <f t="shared" si="2"/>
        <v>Waldorf, MD</v>
      </c>
    </row>
    <row r="92" spans="1:7">
      <c r="A92" s="32" t="s">
        <v>347</v>
      </c>
      <c r="B92" s="32" t="s">
        <v>338</v>
      </c>
      <c r="C92" s="34">
        <v>0</v>
      </c>
      <c r="D92" s="34">
        <v>0</v>
      </c>
      <c r="E92" s="35">
        <v>4</v>
      </c>
      <c r="F92" s="35">
        <v>1</v>
      </c>
      <c r="G92" s="34" t="str">
        <f t="shared" si="2"/>
        <v>Waldorf, MD</v>
      </c>
    </row>
    <row r="93" spans="1:7">
      <c r="A93" s="32" t="s">
        <v>349</v>
      </c>
      <c r="B93" s="32" t="s">
        <v>325</v>
      </c>
      <c r="C93" s="34">
        <v>0</v>
      </c>
      <c r="D93" s="34">
        <v>0</v>
      </c>
      <c r="E93" s="35">
        <v>4</v>
      </c>
      <c r="F93" s="35">
        <v>1</v>
      </c>
      <c r="G93" s="34" t="str">
        <f t="shared" si="2"/>
        <v>Bridgewater, NJ</v>
      </c>
    </row>
    <row r="94" spans="1:7">
      <c r="A94" s="32" t="s">
        <v>349</v>
      </c>
      <c r="B94" s="32" t="s">
        <v>328</v>
      </c>
      <c r="C94" s="34">
        <v>8</v>
      </c>
      <c r="D94" s="34">
        <v>0.5</v>
      </c>
      <c r="E94" s="35">
        <v>4</v>
      </c>
      <c r="F94" s="35">
        <v>1</v>
      </c>
      <c r="G94" s="34" t="str">
        <f t="shared" si="2"/>
        <v>Bridgewater, NJ</v>
      </c>
    </row>
    <row r="95" spans="1:7">
      <c r="A95" s="32" t="s">
        <v>349</v>
      </c>
      <c r="B95" s="32" t="s">
        <v>330</v>
      </c>
      <c r="C95" s="34">
        <v>10</v>
      </c>
      <c r="D95" s="34">
        <v>0.5</v>
      </c>
      <c r="E95" s="35">
        <v>4</v>
      </c>
      <c r="F95" s="35">
        <v>1</v>
      </c>
      <c r="G95" s="34" t="str">
        <f t="shared" si="2"/>
        <v>Bridgewater, NJ</v>
      </c>
    </row>
    <row r="96" spans="1:7">
      <c r="A96" s="32" t="s">
        <v>349</v>
      </c>
      <c r="B96" s="32" t="s">
        <v>333</v>
      </c>
      <c r="C96" s="34">
        <v>10</v>
      </c>
      <c r="D96" s="34">
        <v>0.5</v>
      </c>
      <c r="E96" s="35">
        <v>4</v>
      </c>
      <c r="F96" s="35">
        <v>1</v>
      </c>
      <c r="G96" s="34" t="str">
        <f t="shared" si="2"/>
        <v>Bridgewater, NJ</v>
      </c>
    </row>
    <row r="97" spans="1:7">
      <c r="A97" s="32" t="s">
        <v>349</v>
      </c>
      <c r="B97" s="32" t="s">
        <v>335</v>
      </c>
      <c r="C97" s="34">
        <v>8</v>
      </c>
      <c r="D97" s="34">
        <v>0.5</v>
      </c>
      <c r="E97" s="35">
        <v>4</v>
      </c>
      <c r="F97" s="35">
        <v>1</v>
      </c>
      <c r="G97" s="34" t="str">
        <f t="shared" si="2"/>
        <v>Bridgewater, NJ</v>
      </c>
    </row>
    <row r="98" spans="1:7">
      <c r="A98" s="32" t="s">
        <v>349</v>
      </c>
      <c r="B98" s="32" t="s">
        <v>336</v>
      </c>
      <c r="C98" s="34">
        <v>5</v>
      </c>
      <c r="D98" s="34">
        <v>0.5</v>
      </c>
      <c r="E98" s="35">
        <v>4</v>
      </c>
      <c r="F98" s="35">
        <v>1</v>
      </c>
      <c r="G98" s="34" t="str">
        <f t="shared" si="2"/>
        <v>Bridgewater, NJ</v>
      </c>
    </row>
    <row r="99" spans="1:7">
      <c r="A99" s="32" t="s">
        <v>349</v>
      </c>
      <c r="B99" s="32" t="s">
        <v>338</v>
      </c>
      <c r="C99" s="34">
        <v>0</v>
      </c>
      <c r="D99" s="34">
        <v>0</v>
      </c>
      <c r="E99" s="35">
        <v>4</v>
      </c>
      <c r="F99" s="35">
        <v>1</v>
      </c>
      <c r="G99" s="34" t="str">
        <f t="shared" si="2"/>
        <v>Bridgewater, NJ</v>
      </c>
    </row>
    <row r="100" spans="1:7">
      <c r="A100" s="32" t="s">
        <v>348</v>
      </c>
      <c r="B100" s="32" t="s">
        <v>325</v>
      </c>
      <c r="C100" s="34">
        <v>0</v>
      </c>
      <c r="D100" s="34">
        <v>0</v>
      </c>
      <c r="E100" s="35">
        <v>4</v>
      </c>
      <c r="F100" s="35">
        <v>1</v>
      </c>
      <c r="G100" s="34" t="str">
        <f t="shared" si="2"/>
        <v>Lancaster, PA</v>
      </c>
    </row>
    <row r="101" spans="1:7">
      <c r="A101" s="32" t="s">
        <v>348</v>
      </c>
      <c r="B101" s="32" t="s">
        <v>328</v>
      </c>
      <c r="C101" s="34">
        <v>8</v>
      </c>
      <c r="D101" s="34">
        <v>0.5</v>
      </c>
      <c r="E101" s="35">
        <v>4</v>
      </c>
      <c r="F101" s="35">
        <v>1</v>
      </c>
      <c r="G101" s="34" t="str">
        <f t="shared" si="2"/>
        <v>Lancaster, PA</v>
      </c>
    </row>
    <row r="102" spans="1:7">
      <c r="A102" s="32" t="s">
        <v>348</v>
      </c>
      <c r="B102" s="32" t="s">
        <v>330</v>
      </c>
      <c r="C102" s="34">
        <v>10</v>
      </c>
      <c r="D102" s="34">
        <v>0.5</v>
      </c>
      <c r="E102" s="35">
        <v>4</v>
      </c>
      <c r="F102" s="35">
        <v>1</v>
      </c>
      <c r="G102" s="34" t="str">
        <f t="shared" si="2"/>
        <v>Lancaster, PA</v>
      </c>
    </row>
    <row r="103" spans="1:7">
      <c r="A103" s="32" t="s">
        <v>348</v>
      </c>
      <c r="B103" s="32" t="s">
        <v>333</v>
      </c>
      <c r="C103" s="34">
        <v>10</v>
      </c>
      <c r="D103" s="34">
        <v>0.5</v>
      </c>
      <c r="E103" s="35">
        <v>4</v>
      </c>
      <c r="F103" s="35">
        <v>1</v>
      </c>
      <c r="G103" s="34" t="str">
        <f t="shared" si="2"/>
        <v>Lancaster, PA</v>
      </c>
    </row>
    <row r="104" spans="1:7">
      <c r="A104" s="32" t="s">
        <v>348</v>
      </c>
      <c r="B104" s="32" t="s">
        <v>335</v>
      </c>
      <c r="C104" s="34">
        <v>8</v>
      </c>
      <c r="D104" s="34">
        <v>0.5</v>
      </c>
      <c r="E104" s="35">
        <v>4</v>
      </c>
      <c r="F104" s="35">
        <v>1</v>
      </c>
      <c r="G104" s="34" t="str">
        <f t="shared" si="2"/>
        <v>Lancaster, PA</v>
      </c>
    </row>
    <row r="105" spans="1:7">
      <c r="A105" s="32" t="s">
        <v>348</v>
      </c>
      <c r="B105" s="32" t="s">
        <v>336</v>
      </c>
      <c r="C105" s="34">
        <v>5</v>
      </c>
      <c r="D105" s="34">
        <v>0.5</v>
      </c>
      <c r="E105" s="35">
        <v>4</v>
      </c>
      <c r="F105" s="35">
        <v>1</v>
      </c>
      <c r="G105" s="34" t="str">
        <f t="shared" si="2"/>
        <v>Lancaster, PA</v>
      </c>
    </row>
    <row r="106" spans="1:7">
      <c r="A106" s="32" t="s">
        <v>348</v>
      </c>
      <c r="B106" s="32" t="s">
        <v>338</v>
      </c>
      <c r="C106" s="34">
        <v>0</v>
      </c>
      <c r="D106" s="34">
        <v>0</v>
      </c>
      <c r="E106" s="35">
        <v>4</v>
      </c>
      <c r="F106" s="35">
        <v>1</v>
      </c>
      <c r="G106" s="34" t="str">
        <f t="shared" si="2"/>
        <v>Lancaster, PA</v>
      </c>
    </row>
  </sheetData>
  <autoFilter ref="A1:G92" xr:uid="{E51303DE-72CE-486E-BFA6-D01A2EB9754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AF921F8853184CB3CB0DE125B76405" ma:contentTypeVersion="3" ma:contentTypeDescription="Create a new document." ma:contentTypeScope="" ma:versionID="a36441c464c342c48e06502a13b7307b">
  <xsd:schema xmlns:xsd="http://www.w3.org/2001/XMLSchema" xmlns:xs="http://www.w3.org/2001/XMLSchema" xmlns:p="http://schemas.microsoft.com/office/2006/metadata/properties" xmlns:ns2="c466de20-edca-4f42-9b44-c23a60066900" targetNamespace="http://schemas.microsoft.com/office/2006/metadata/properties" ma:root="true" ma:fieldsID="1a82e4494e41e76d48309564b51afc04" ns2:_="">
    <xsd:import namespace="c466de20-edca-4f42-9b44-c23a60066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6de20-edca-4f42-9b44-c23a60066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937CC6-3855-4A6A-B9E8-EA8E0F4B0020}"/>
</file>

<file path=customXml/itemProps2.xml><?xml version="1.0" encoding="utf-8"?>
<ds:datastoreItem xmlns:ds="http://schemas.openxmlformats.org/officeDocument/2006/customXml" ds:itemID="{DBD78CDD-24E6-4D96-8E4E-826B6FC3065D}"/>
</file>

<file path=customXml/itemProps3.xml><?xml version="1.0" encoding="utf-8"?>
<ds:datastoreItem xmlns:ds="http://schemas.openxmlformats.org/officeDocument/2006/customXml" ds:itemID="{336C581C-335F-4629-B823-8664AF0CD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Vidur Raghuraman</dc:creator>
  <cp:keywords/>
  <dc:description/>
  <cp:lastModifiedBy>Isagani Trinidas</cp:lastModifiedBy>
  <cp:revision/>
  <dcterms:created xsi:type="dcterms:W3CDTF">2026-02-09T17:50:48Z</dcterms:created>
  <dcterms:modified xsi:type="dcterms:W3CDTF">2026-06-26T20:34:34Z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0x01010066AF921F8853184CB3CB0DE125B76405</vt:lpwstr>
  </property>
</Properties>
</file>